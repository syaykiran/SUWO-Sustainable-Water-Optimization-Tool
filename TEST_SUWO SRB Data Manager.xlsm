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mxpyn\scratches\FOURDAM\SUWO_SRB_MODEL\"/>
    </mc:Choice>
  </mc:AlternateContent>
  <xr:revisionPtr revIDLastSave="0" documentId="13_ncr:1_{67E62A24-E9C6-4C46-8F4E-4136F14E5887}" xr6:coauthVersionLast="47" xr6:coauthVersionMax="47" xr10:uidLastSave="{00000000-0000-0000-0000-000000000000}"/>
  <bookViews>
    <workbookView xWindow="-120" yWindow="-120" windowWidth="25440" windowHeight="15390" tabRatio="897" xr2:uid="{2C28A596-0021-4037-AEC0-5585E9EEC742}"/>
  </bookViews>
  <sheets>
    <sheet name="MATRIX_NEW" sheetId="162" r:id="rId1"/>
    <sheet name="DOM_TABLES" sheetId="184" r:id="rId2"/>
    <sheet name="SRB NODES 2025" sheetId="187" r:id="rId3"/>
    <sheet name="PEN_COEF" sheetId="87" r:id="rId4"/>
    <sheet name="NAT_INF_NOR" sheetId="3" r:id="rId5"/>
    <sheet name="NAT_EMC_B" sheetId="160" r:id="rId6"/>
    <sheet name="NAT_EMC_C" sheetId="161" r:id="rId7"/>
    <sheet name="NAT_EMC_D" sheetId="167" r:id="rId8"/>
    <sheet name="NAT_EMC_E" sheetId="168" r:id="rId9"/>
    <sheet name="NAT_EMC_F" sheetId="169" r:id="rId10"/>
    <sheet name="EN_DEMAND" sheetId="6" r:id="rId11"/>
    <sheet name="IR_DEMAND" sheetId="7" r:id="rId12"/>
    <sheet name="SW_DOM_TOTAL_ALLOC" sheetId="185" r:id="rId13"/>
    <sheet name="SW_DOM_TOTAL_RETRN" sheetId="186" r:id="rId14"/>
    <sheet name="SW_IRG_OTHER_ALLOC" sheetId="182" r:id="rId15"/>
    <sheet name="SW_IRG_OTHER_CONS_RATIO" sheetId="180" r:id="rId16"/>
    <sheet name="SW_IRG_MAIN_CONS_RATIO" sheetId="179" r:id="rId17"/>
    <sheet name="OBS_DEMAND" sheetId="170" r:id="rId18"/>
    <sheet name="LOWER_BOUND" sheetId="138" r:id="rId19"/>
    <sheet name="UPPER_BOUND" sheetId="100" r:id="rId20"/>
    <sheet name="S_0" sheetId="115" r:id="rId21"/>
    <sheet name="S_MIN" sheetId="27" r:id="rId22"/>
    <sheet name="S_MAX" sheetId="34" r:id="rId23"/>
    <sheet name="S_INI" sheetId="146" r:id="rId24"/>
    <sheet name="S_MIN_ALL" sheetId="30" r:id="rId25"/>
    <sheet name="S_MAX_ALL" sheetId="31" r:id="rId26"/>
    <sheet name="CONS_OTHER" sheetId="65" r:id="rId27"/>
    <sheet name="CONS_HIDR" sheetId="66" r:id="rId28"/>
    <sheet name="EN_OPER_CAP" sheetId="105" r:id="rId29"/>
    <sheet name="INST_CAP" sheetId="145" r:id="rId30"/>
    <sheet name="TAILWAT_LEV" sheetId="21" r:id="rId31"/>
    <sheet name="TUNNEL_DIA" sheetId="22" r:id="rId32"/>
    <sheet name="TUNNEL_L" sheetId="23" r:id="rId33"/>
    <sheet name="N_HOUR" sheetId="24" r:id="rId34"/>
    <sheet name="SPILLAGE_CAP" sheetId="39" r:id="rId35"/>
    <sheet name="VOL_ELV_COEF" sheetId="77" r:id="rId36"/>
    <sheet name="ELV_ARE_COEF" sheetId="78" r:id="rId37"/>
    <sheet name="OBS_EN_FIRM" sheetId="148" r:id="rId38"/>
    <sheet name="OBS_EN_FIRM_GWH" sheetId="150" r:id="rId39"/>
    <sheet name="OBS_EN_FIRM_MW" sheetId="151" r:id="rId40"/>
    <sheet name="EVA_MM" sheetId="9" r:id="rId41"/>
    <sheet name="EVA_MM_CLM45" sheetId="172" r:id="rId42"/>
    <sheet name="OBS_DEC_VARS" sheetId="129" r:id="rId43"/>
    <sheet name="OBS_SDELTA" sheetId="28" r:id="rId44"/>
    <sheet name="OBS_EVA" sheetId="11" r:id="rId45"/>
    <sheet name="OBS_NAT_FLOW" sheetId="4" r:id="rId46"/>
    <sheet name="OBS_OUTFLOW" sheetId="33" r:id="rId47"/>
    <sheet name="OBS_ECO_DEMAND" sheetId="174" r:id="rId48"/>
    <sheet name="OBS_ECO_DEMAND_INDV" sheetId="176" r:id="rId49"/>
    <sheet name="OBS_STO" sheetId="17" r:id="rId50"/>
    <sheet name="OBS_STO_90PRC" sheetId="177" r:id="rId51"/>
    <sheet name="OBS_STO_50PRC" sheetId="178" r:id="rId52"/>
    <sheet name="OBS_SPL" sheetId="67" r:id="rId53"/>
    <sheet name="OBS_POW_MW" sheetId="69" r:id="rId54"/>
    <sheet name="OBS_EN_GWH" sheetId="70" r:id="rId55"/>
    <sheet name="GWH_CAP" sheetId="152" r:id="rId56"/>
    <sheet name="OBS_NET_HEAD" sheetId="71" r:id="rId57"/>
    <sheet name="OBS_EFF" sheetId="73" r:id="rId58"/>
    <sheet name="OBS_ELEV" sheetId="68" r:id="rId59"/>
    <sheet name="S_MIN_LEVEL" sheetId="35" r:id="rId60"/>
    <sheet name="S_MAX_LEVEL" sheetId="36" r:id="rId61"/>
    <sheet name="OBS_EN_MIN" sheetId="92" r:id="rId62"/>
    <sheet name="OBS_EN_MAX" sheetId="93" r:id="rId63"/>
    <sheet name="MX_ENR" sheetId="108" r:id="rId64"/>
    <sheet name="MX_CON_IRG" sheetId="63" r:id="rId65"/>
    <sheet name="MX_CON" sheetId="143" r:id="rId66"/>
    <sheet name="MX_STO" sheetId="64" r:id="rId67"/>
    <sheet name="CH_NAMES" sheetId="74" r:id="rId68"/>
    <sheet name="CH_MONTHS" sheetId="75" r:id="rId69"/>
    <sheet name="CH_MONTHS_NAME" sheetId="134" r:id="rId70"/>
  </sheets>
  <externalReferences>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s>
  <definedNames>
    <definedName name="\a" localSheetId="0">#REF!</definedName>
    <definedName name="\a" localSheetId="2">#REF!</definedName>
    <definedName name="\a">#REF!</definedName>
    <definedName name="\c" localSheetId="2">#REF!</definedName>
    <definedName name="\c">#REF!</definedName>
    <definedName name="\d" localSheetId="2">#REF!</definedName>
    <definedName name="\d">#REF!</definedName>
    <definedName name="\h" localSheetId="2">#REF!</definedName>
    <definedName name="\h">#REF!</definedName>
    <definedName name="\m" localSheetId="2">#REF!</definedName>
    <definedName name="\m">#REF!</definedName>
    <definedName name="\p">#N/A</definedName>
    <definedName name="\u" localSheetId="0">#REF!</definedName>
    <definedName name="\u" localSheetId="2">#REF!</definedName>
    <definedName name="\u">#REF!</definedName>
    <definedName name="\z" localSheetId="2">#REF!</definedName>
    <definedName name="\z">#REF!</definedName>
    <definedName name="____________________________________________________________________________________________de2" localSheetId="2">[1]yENİCE!#REF!</definedName>
    <definedName name="____________________________________________________________________________________________de2">[1]yENİCE!#REF!</definedName>
    <definedName name="___________________________________________________________________________________________de2" localSheetId="2">[1]yENİCE!#REF!</definedName>
    <definedName name="___________________________________________________________________________________________de2">[1]yENİCE!#REF!</definedName>
    <definedName name="______________________________________________________________________________________T1">[1]yENİCE!#REF!</definedName>
    <definedName name="_____________________________________________________________________________________T1">[1]yENİCE!#REF!</definedName>
    <definedName name="________________________________________________________________________de2">[1]yENİCE!#REF!</definedName>
    <definedName name="__________________________________________________________________T1">[1]yENİCE!#REF!</definedName>
    <definedName name="_____________________________________de2">[2]yENİCE!#REF!</definedName>
    <definedName name="_____________________________________xx1" localSheetId="0">#REF!</definedName>
    <definedName name="_____________________________________xx1" localSheetId="2">#REF!</definedName>
    <definedName name="_____________________________________xx1">#REF!</definedName>
    <definedName name="____________________________________de2" localSheetId="0">[2]yENİCE!#REF!</definedName>
    <definedName name="____________________________________de2" localSheetId="2">[2]yENİCE!#REF!</definedName>
    <definedName name="____________________________________de2">[2]yENİCE!#REF!</definedName>
    <definedName name="____________________________________xx1" localSheetId="0">#REF!</definedName>
    <definedName name="____________________________________xx1" localSheetId="2">#REF!</definedName>
    <definedName name="____________________________________xx1">#REF!</definedName>
    <definedName name="___________________________________de2" localSheetId="0">[3]yENİCE!#REF!</definedName>
    <definedName name="___________________________________de2" localSheetId="2">[3]yENİCE!#REF!</definedName>
    <definedName name="___________________________________de2">[3]yENİCE!#REF!</definedName>
    <definedName name="___________________________________xx1" localSheetId="0">#REF!</definedName>
    <definedName name="___________________________________xx1" localSheetId="2">#REF!</definedName>
    <definedName name="___________________________________xx1">#REF!</definedName>
    <definedName name="__________________________________de2" localSheetId="0">[3]yENİCE!#REF!</definedName>
    <definedName name="__________________________________de2" localSheetId="2">[3]yENİCE!#REF!</definedName>
    <definedName name="__________________________________de2">[3]yENİCE!#REF!</definedName>
    <definedName name="__________________________________xx1" localSheetId="0">#REF!</definedName>
    <definedName name="__________________________________xx1" localSheetId="2">#REF!</definedName>
    <definedName name="__________________________________xx1">#REF!</definedName>
    <definedName name="_________________________________de2" localSheetId="0">[3]yENİCE!#REF!</definedName>
    <definedName name="_________________________________de2" localSheetId="2">[3]yENİCE!#REF!</definedName>
    <definedName name="_________________________________de2">[3]yENİCE!#REF!</definedName>
    <definedName name="_________________________________xx1" localSheetId="0">#REF!</definedName>
    <definedName name="_________________________________xx1" localSheetId="2">#REF!</definedName>
    <definedName name="_________________________________xx1">#REF!</definedName>
    <definedName name="________________________________de2" localSheetId="0">[3]yENİCE!#REF!</definedName>
    <definedName name="________________________________de2" localSheetId="2">[3]yENİCE!#REF!</definedName>
    <definedName name="________________________________de2">[3]yENİCE!#REF!</definedName>
    <definedName name="________________________________xx1" localSheetId="0">#REF!</definedName>
    <definedName name="________________________________xx1" localSheetId="2">#REF!</definedName>
    <definedName name="________________________________xx1">#REF!</definedName>
    <definedName name="_______________________________de2" localSheetId="0">[3]yENİCE!#REF!</definedName>
    <definedName name="_______________________________de2" localSheetId="2">[3]yENİCE!#REF!</definedName>
    <definedName name="_______________________________de2">[3]yENİCE!#REF!</definedName>
    <definedName name="_______________________________xx1" localSheetId="0">#REF!</definedName>
    <definedName name="_______________________________xx1" localSheetId="2">#REF!</definedName>
    <definedName name="_______________________________xx1">#REF!</definedName>
    <definedName name="______________________________de2" localSheetId="0">[3]yENİCE!#REF!</definedName>
    <definedName name="______________________________de2" localSheetId="2">[3]yENİCE!#REF!</definedName>
    <definedName name="______________________________de2">[3]yENİCE!#REF!</definedName>
    <definedName name="______________________________T1" localSheetId="0">[3]yENİCE!#REF!</definedName>
    <definedName name="______________________________T1" localSheetId="2">[3]yENİCE!#REF!</definedName>
    <definedName name="______________________________T1">[3]yENİCE!#REF!</definedName>
    <definedName name="______________________________xx1" localSheetId="0">#REF!</definedName>
    <definedName name="______________________________xx1" localSheetId="2">#REF!</definedName>
    <definedName name="______________________________xx1">#REF!</definedName>
    <definedName name="_____________________________de2" localSheetId="0">[3]yENİCE!#REF!</definedName>
    <definedName name="_____________________________de2" localSheetId="2">[3]yENİCE!#REF!</definedName>
    <definedName name="_____________________________de2">[3]yENİCE!#REF!</definedName>
    <definedName name="_____________________________T1" localSheetId="0">[3]yENİCE!#REF!</definedName>
    <definedName name="_____________________________T1" localSheetId="2">[3]yENİCE!#REF!</definedName>
    <definedName name="_____________________________T1">[3]yENİCE!#REF!</definedName>
    <definedName name="_____________________________xx1" localSheetId="0">#REF!</definedName>
    <definedName name="_____________________________xx1" localSheetId="2">#REF!</definedName>
    <definedName name="_____________________________xx1">#REF!</definedName>
    <definedName name="____________________________de2" localSheetId="0">[1]yENİCE!#REF!</definedName>
    <definedName name="____________________________de2" localSheetId="2">[1]yENİCE!#REF!</definedName>
    <definedName name="____________________________de2">[1]yENİCE!#REF!</definedName>
    <definedName name="____________________________T1" localSheetId="0">[3]yENİCE!#REF!</definedName>
    <definedName name="____________________________T1" localSheetId="2">[3]yENİCE!#REF!</definedName>
    <definedName name="____________________________T1">[3]yENİCE!#REF!</definedName>
    <definedName name="____________________________xx1" localSheetId="0">#REF!</definedName>
    <definedName name="____________________________xx1" localSheetId="2">#REF!</definedName>
    <definedName name="____________________________xx1">#REF!</definedName>
    <definedName name="___________________________de2" localSheetId="0">[3]yENİCE!#REF!</definedName>
    <definedName name="___________________________de2" localSheetId="2">[3]yENİCE!#REF!</definedName>
    <definedName name="___________________________de2">[3]yENİCE!#REF!</definedName>
    <definedName name="___________________________T1" localSheetId="0">[3]yENİCE!#REF!</definedName>
    <definedName name="___________________________T1" localSheetId="2">[3]yENİCE!#REF!</definedName>
    <definedName name="___________________________T1">[3]yENİCE!#REF!</definedName>
    <definedName name="___________________________xx1" localSheetId="0">#REF!</definedName>
    <definedName name="___________________________xx1" localSheetId="2">#REF!</definedName>
    <definedName name="___________________________xx1">#REF!</definedName>
    <definedName name="__________________________de2" localSheetId="0">[3]yENİCE!#REF!</definedName>
    <definedName name="__________________________de2" localSheetId="2">[3]yENİCE!#REF!</definedName>
    <definedName name="__________________________de2">[3]yENİCE!#REF!</definedName>
    <definedName name="__________________________T1" localSheetId="0">[3]yENİCE!#REF!</definedName>
    <definedName name="__________________________T1" localSheetId="2">[3]yENİCE!#REF!</definedName>
    <definedName name="__________________________T1">[3]yENİCE!#REF!</definedName>
    <definedName name="__________________________xx1" localSheetId="0">#REF!</definedName>
    <definedName name="__________________________xx1" localSheetId="2">#REF!</definedName>
    <definedName name="__________________________xx1">#REF!</definedName>
    <definedName name="_________________________de2" localSheetId="0">[3]yENİCE!#REF!</definedName>
    <definedName name="_________________________de2" localSheetId="2">[3]yENİCE!#REF!</definedName>
    <definedName name="_________________________de2">[3]yENİCE!#REF!</definedName>
    <definedName name="_________________________T1" localSheetId="0">[3]yENİCE!#REF!</definedName>
    <definedName name="_________________________T1" localSheetId="2">[3]yENİCE!#REF!</definedName>
    <definedName name="_________________________T1">[3]yENİCE!#REF!</definedName>
    <definedName name="_________________________xx1" localSheetId="0">#REF!</definedName>
    <definedName name="_________________________xx1" localSheetId="2">#REF!</definedName>
    <definedName name="_________________________xx1">#REF!</definedName>
    <definedName name="________________________de2" localSheetId="0">[3]yENİCE!#REF!</definedName>
    <definedName name="________________________de2" localSheetId="2">[3]yENİCE!#REF!</definedName>
    <definedName name="________________________de2">[3]yENİCE!#REF!</definedName>
    <definedName name="________________________T1" localSheetId="0">[3]yENİCE!#REF!</definedName>
    <definedName name="________________________T1" localSheetId="2">[3]yENİCE!#REF!</definedName>
    <definedName name="________________________T1">[3]yENİCE!#REF!</definedName>
    <definedName name="________________________xx1" localSheetId="0">#REF!</definedName>
    <definedName name="________________________xx1" localSheetId="2">#REF!</definedName>
    <definedName name="________________________xx1">#REF!</definedName>
    <definedName name="_______________________de2" localSheetId="0">[3]yENİCE!#REF!</definedName>
    <definedName name="_______________________de2" localSheetId="2">[3]yENİCE!#REF!</definedName>
    <definedName name="_______________________de2">[3]yENİCE!#REF!</definedName>
    <definedName name="_______________________T1" localSheetId="0">[3]yENİCE!#REF!</definedName>
    <definedName name="_______________________T1" localSheetId="2">[3]yENİCE!#REF!</definedName>
    <definedName name="_______________________T1">[3]yENİCE!#REF!</definedName>
    <definedName name="_______________________xx1" localSheetId="0">#REF!</definedName>
    <definedName name="_______________________xx1" localSheetId="2">#REF!</definedName>
    <definedName name="_______________________xx1">#REF!</definedName>
    <definedName name="______________________de2" localSheetId="0">[3]yENİCE!#REF!</definedName>
    <definedName name="______________________de2" localSheetId="2">[3]yENİCE!#REF!</definedName>
    <definedName name="______________________de2">[3]yENİCE!#REF!</definedName>
    <definedName name="______________________T1" localSheetId="0">[1]yENİCE!#REF!</definedName>
    <definedName name="______________________T1" localSheetId="2">[1]yENİCE!#REF!</definedName>
    <definedName name="______________________T1">[1]yENİCE!#REF!</definedName>
    <definedName name="______________________xx1" localSheetId="0">#REF!</definedName>
    <definedName name="______________________xx1" localSheetId="2">#REF!</definedName>
    <definedName name="______________________xx1">#REF!</definedName>
    <definedName name="_____________________de2" localSheetId="0">[1]yENİCE!#REF!</definedName>
    <definedName name="_____________________de2" localSheetId="2">[1]yENİCE!#REF!</definedName>
    <definedName name="_____________________de2">[1]yENİCE!#REF!</definedName>
    <definedName name="_____________________T1" localSheetId="0">[3]yENİCE!#REF!</definedName>
    <definedName name="_____________________T1" localSheetId="2">[3]yENİCE!#REF!</definedName>
    <definedName name="_____________________T1">[3]yENİCE!#REF!</definedName>
    <definedName name="_____________________xx1" localSheetId="0">#REF!</definedName>
    <definedName name="_____________________xx1" localSheetId="2">#REF!</definedName>
    <definedName name="_____________________xx1">#REF!</definedName>
    <definedName name="____________________de2" localSheetId="0">[1]yENİCE!#REF!</definedName>
    <definedName name="____________________de2" localSheetId="2">[1]yENİCE!#REF!</definedName>
    <definedName name="____________________de2">[1]yENİCE!#REF!</definedName>
    <definedName name="____________________T1" localSheetId="0">[3]yENİCE!#REF!</definedName>
    <definedName name="____________________T1" localSheetId="2">[3]yENİCE!#REF!</definedName>
    <definedName name="____________________T1">[3]yENİCE!#REF!</definedName>
    <definedName name="____________________xx1" localSheetId="0">#REF!</definedName>
    <definedName name="____________________xx1" localSheetId="2">#REF!</definedName>
    <definedName name="____________________xx1">#REF!</definedName>
    <definedName name="___________________de2" localSheetId="0">[1]yENİCE!#REF!</definedName>
    <definedName name="___________________de2" localSheetId="2">[1]yENİCE!#REF!</definedName>
    <definedName name="___________________de2">[1]yENİCE!#REF!</definedName>
    <definedName name="___________________T1" localSheetId="0">[3]yENİCE!#REF!</definedName>
    <definedName name="___________________T1" localSheetId="2">[3]yENİCE!#REF!</definedName>
    <definedName name="___________________T1">[3]yENİCE!#REF!</definedName>
    <definedName name="___________________xx1" localSheetId="0">#REF!</definedName>
    <definedName name="___________________xx1" localSheetId="2">#REF!</definedName>
    <definedName name="___________________xx1">#REF!</definedName>
    <definedName name="__________________de2" localSheetId="0">[1]yENİCE!#REF!</definedName>
    <definedName name="__________________de2" localSheetId="2">[1]yENİCE!#REF!</definedName>
    <definedName name="__________________de2">[1]yENİCE!#REF!</definedName>
    <definedName name="__________________T1" localSheetId="0">[3]yENİCE!#REF!</definedName>
    <definedName name="__________________T1" localSheetId="2">[3]yENİCE!#REF!</definedName>
    <definedName name="__________________T1">[3]yENİCE!#REF!</definedName>
    <definedName name="__________________xx1" localSheetId="0">#REF!</definedName>
    <definedName name="__________________xx1" localSheetId="2">#REF!</definedName>
    <definedName name="__________________xx1">#REF!</definedName>
    <definedName name="_________________de2" localSheetId="0">[1]yENİCE!#REF!</definedName>
    <definedName name="_________________de2" localSheetId="2">[1]yENİCE!#REF!</definedName>
    <definedName name="_________________de2">[1]yENİCE!#REF!</definedName>
    <definedName name="_________________T1" localSheetId="0">[3]yENİCE!#REF!</definedName>
    <definedName name="_________________T1">[3]yENİCE!#REF!</definedName>
    <definedName name="_________________xx1" localSheetId="0">#REF!</definedName>
    <definedName name="_________________xx1" localSheetId="2">#REF!</definedName>
    <definedName name="_________________xx1">#REF!</definedName>
    <definedName name="________________de2" localSheetId="0">[1]yENİCE!#REF!</definedName>
    <definedName name="________________de2" localSheetId="2">[1]yENİCE!#REF!</definedName>
    <definedName name="________________de2">[1]yENİCE!#REF!</definedName>
    <definedName name="________________T1" localSheetId="0">[3]yENİCE!#REF!</definedName>
    <definedName name="________________T1" localSheetId="2">[3]yENİCE!#REF!</definedName>
    <definedName name="________________T1">[3]yENİCE!#REF!</definedName>
    <definedName name="________________xx1" localSheetId="0">#REF!</definedName>
    <definedName name="________________xx1" localSheetId="2">#REF!</definedName>
    <definedName name="________________xx1">#REF!</definedName>
    <definedName name="_______________de2" localSheetId="0">[1]yENİCE!#REF!</definedName>
    <definedName name="_______________de2" localSheetId="2">[1]yENİCE!#REF!</definedName>
    <definedName name="_______________de2">[1]yENİCE!#REF!</definedName>
    <definedName name="_______________T1" localSheetId="0">[1]yENİCE!#REF!</definedName>
    <definedName name="_______________T1" localSheetId="2">[1]yENİCE!#REF!</definedName>
    <definedName name="_______________T1">[1]yENİCE!#REF!</definedName>
    <definedName name="_______________xx1" localSheetId="0">#REF!</definedName>
    <definedName name="_______________xx1" localSheetId="2">#REF!</definedName>
    <definedName name="_______________xx1">#REF!</definedName>
    <definedName name="______________de2" localSheetId="0">[1]yENİCE!#REF!</definedName>
    <definedName name="______________de2" localSheetId="2">[1]yENİCE!#REF!</definedName>
    <definedName name="______________de2">[1]yENİCE!#REF!</definedName>
    <definedName name="______________T1" localSheetId="0">[1]yENİCE!#REF!</definedName>
    <definedName name="______________T1" localSheetId="2">[1]yENİCE!#REF!</definedName>
    <definedName name="______________T1">[1]yENİCE!#REF!</definedName>
    <definedName name="______________xx1" localSheetId="0">#REF!</definedName>
    <definedName name="______________xx1" localSheetId="2">#REF!</definedName>
    <definedName name="______________xx1">#REF!</definedName>
    <definedName name="_____________de2" localSheetId="0">[1]yENİCE!#REF!</definedName>
    <definedName name="_____________de2" localSheetId="2">[1]yENİCE!#REF!</definedName>
    <definedName name="_____________de2">[1]yENİCE!#REF!</definedName>
    <definedName name="_____________T1" localSheetId="0">[1]yENİCE!#REF!</definedName>
    <definedName name="_____________T1" localSheetId="2">[1]yENİCE!#REF!</definedName>
    <definedName name="_____________T1">[1]yENİCE!#REF!</definedName>
    <definedName name="_____________xx1" localSheetId="0">#REF!</definedName>
    <definedName name="_____________xx1" localSheetId="2">#REF!</definedName>
    <definedName name="_____________xx1">#REF!</definedName>
    <definedName name="____________de2" localSheetId="0">[1]yENİCE!#REF!</definedName>
    <definedName name="____________de2" localSheetId="2">[1]yENİCE!#REF!</definedName>
    <definedName name="____________de2">[1]yENİCE!#REF!</definedName>
    <definedName name="____________T1" localSheetId="0">[1]yENİCE!#REF!</definedName>
    <definedName name="____________T1" localSheetId="2">[1]yENİCE!#REF!</definedName>
    <definedName name="____________T1">[1]yENİCE!#REF!</definedName>
    <definedName name="____________xx1" localSheetId="0">#REF!</definedName>
    <definedName name="____________xx1" localSheetId="2">#REF!</definedName>
    <definedName name="____________xx1">#REF!</definedName>
    <definedName name="___________de2" localSheetId="0">[1]yENİCE!#REF!</definedName>
    <definedName name="___________de2" localSheetId="2">[1]yENİCE!#REF!</definedName>
    <definedName name="___________de2">[1]yENİCE!#REF!</definedName>
    <definedName name="___________T1" localSheetId="0">[1]yENİCE!#REF!</definedName>
    <definedName name="___________T1" localSheetId="2">[1]yENİCE!#REF!</definedName>
    <definedName name="___________T1">[1]yENİCE!#REF!</definedName>
    <definedName name="___________xx1" localSheetId="0">#REF!</definedName>
    <definedName name="___________xx1" localSheetId="2">#REF!</definedName>
    <definedName name="___________xx1">#REF!</definedName>
    <definedName name="__________de2" localSheetId="0">[1]yENİCE!#REF!</definedName>
    <definedName name="__________de2" localSheetId="2">[1]yENİCE!#REF!</definedName>
    <definedName name="__________de2">[1]yENİCE!#REF!</definedName>
    <definedName name="__________sy4" localSheetId="0">#REF!</definedName>
    <definedName name="__________sy4" localSheetId="2">#REF!</definedName>
    <definedName name="__________sy4">#REF!</definedName>
    <definedName name="__________T1" localSheetId="0">[1]yENİCE!#REF!</definedName>
    <definedName name="__________T1" localSheetId="2">[1]yENİCE!#REF!</definedName>
    <definedName name="__________T1">[1]yENİCE!#REF!</definedName>
    <definedName name="__________xx1" localSheetId="0">#REF!</definedName>
    <definedName name="__________xx1" localSheetId="2">#REF!</definedName>
    <definedName name="__________xx1">#REF!</definedName>
    <definedName name="_________de2" localSheetId="0">[1]yENİCE!#REF!</definedName>
    <definedName name="_________de2" localSheetId="2">[1]yENİCE!#REF!</definedName>
    <definedName name="_________de2">[1]yENİCE!#REF!</definedName>
    <definedName name="_________T1" localSheetId="0">[1]yENİCE!#REF!</definedName>
    <definedName name="_________T1" localSheetId="2">[1]yENİCE!#REF!</definedName>
    <definedName name="_________T1">[1]yENİCE!#REF!</definedName>
    <definedName name="_________xx1" localSheetId="0">#REF!</definedName>
    <definedName name="_________xx1" localSheetId="2">#REF!</definedName>
    <definedName name="_________xx1">#REF!</definedName>
    <definedName name="________ARA1" localSheetId="0">'[4]KM KANATLI'!#REF!</definedName>
    <definedName name="________ARA1" localSheetId="2">'[4]KM KANATLI'!#REF!</definedName>
    <definedName name="________ARA1">'[4]KM KANATLI'!#REF!</definedName>
    <definedName name="________ARA2" localSheetId="0">'[4]KM KANATLI'!#REF!</definedName>
    <definedName name="________ARA2" localSheetId="2">'[4]KM KANATLI'!#REF!</definedName>
    <definedName name="________ARA2">'[4]KM KANATLI'!#REF!</definedName>
    <definedName name="________de2" localSheetId="2">[1]yENİCE!#REF!</definedName>
    <definedName name="________de2">[1]yENİCE!#REF!</definedName>
    <definedName name="________IX1">'[5]103+390-107+250'!$IV$1:$IV$65536</definedName>
    <definedName name="________IZ1">'[5]103+390-107+250'!$IU$1</definedName>
    <definedName name="________SOZ1" localSheetId="0">#REF!</definedName>
    <definedName name="________SOZ1" localSheetId="2">#REF!</definedName>
    <definedName name="________SOZ1">#REF!</definedName>
    <definedName name="________SOZ2" localSheetId="2">#REF!</definedName>
    <definedName name="________SOZ2">#REF!</definedName>
    <definedName name="________SOZ3" localSheetId="2">#REF!</definedName>
    <definedName name="________SOZ3">#REF!</definedName>
    <definedName name="________SOZ4" localSheetId="2">#REF!</definedName>
    <definedName name="________SOZ4">#REF!</definedName>
    <definedName name="________SOZ5" localSheetId="2">#REF!</definedName>
    <definedName name="________SOZ5">#REF!</definedName>
    <definedName name="________SOZ6" localSheetId="2">#REF!</definedName>
    <definedName name="________SOZ6">#REF!</definedName>
    <definedName name="________sy4" localSheetId="2">#REF!</definedName>
    <definedName name="________sy4">#REF!</definedName>
    <definedName name="________T1">[1]yENİCE!#REF!</definedName>
    <definedName name="________TIP1">'[4]KM KANATLI'!#REF!</definedName>
    <definedName name="________TIP2">'[4]KM KANATLI'!#REF!</definedName>
    <definedName name="________xx1" localSheetId="0">#REF!</definedName>
    <definedName name="________xx1" localSheetId="2">#REF!</definedName>
    <definedName name="________xx1">#REF!</definedName>
    <definedName name="_______ARA1" localSheetId="0">'[4]KM KANATLI'!#REF!</definedName>
    <definedName name="_______ARA1" localSheetId="2">'[4]KM KANATLI'!#REF!</definedName>
    <definedName name="_______ARA1">'[4]KM KANATLI'!#REF!</definedName>
    <definedName name="_______ARA2" localSheetId="2">'[4]KM KANATLI'!#REF!</definedName>
    <definedName name="_______ARA2">'[4]KM KANATLI'!#REF!</definedName>
    <definedName name="_______de2">[1]yENİCE!#REF!</definedName>
    <definedName name="_______IX1">'[5]103+390-107+250'!$IV$1:$IV$65536</definedName>
    <definedName name="_______IZ1">'[5]103+390-107+250'!$IU$1</definedName>
    <definedName name="_______SOZ1" localSheetId="0">#REF!</definedName>
    <definedName name="_______SOZ1" localSheetId="2">#REF!</definedName>
    <definedName name="_______SOZ1">#REF!</definedName>
    <definedName name="_______SOZ2" localSheetId="2">#REF!</definedName>
    <definedName name="_______SOZ2">#REF!</definedName>
    <definedName name="_______SOZ3" localSheetId="2">#REF!</definedName>
    <definedName name="_______SOZ3">#REF!</definedName>
    <definedName name="_______SOZ4" localSheetId="2">#REF!</definedName>
    <definedName name="_______SOZ4">#REF!</definedName>
    <definedName name="_______SOZ5" localSheetId="2">#REF!</definedName>
    <definedName name="_______SOZ5">#REF!</definedName>
    <definedName name="_______SOZ6" localSheetId="2">#REF!</definedName>
    <definedName name="_______SOZ6">#REF!</definedName>
    <definedName name="_______T1">[1]yENİCE!#REF!</definedName>
    <definedName name="_______TIP1">'[4]KM KANATLI'!#REF!</definedName>
    <definedName name="_______TIP2">'[4]KM KANATLI'!#REF!</definedName>
    <definedName name="_______xx1" localSheetId="0">#REF!</definedName>
    <definedName name="_______xx1" localSheetId="2">#REF!</definedName>
    <definedName name="_______xx1">#REF!</definedName>
    <definedName name="______ARA1" localSheetId="0">'[4]KM KANATLI'!#REF!</definedName>
    <definedName name="______ARA1" localSheetId="2">'[4]KM KANATLI'!#REF!</definedName>
    <definedName name="______ARA1">'[4]KM KANATLI'!#REF!</definedName>
    <definedName name="______ARA2" localSheetId="2">'[4]KM KANATLI'!#REF!</definedName>
    <definedName name="______ARA2">'[4]KM KANATLI'!#REF!</definedName>
    <definedName name="______de2">[1]yENİCE!#REF!</definedName>
    <definedName name="______IX1">'[5]103+390-107+250'!$IV$1:$IV$65536</definedName>
    <definedName name="______IZ1">'[5]103+390-107+250'!$IU$1</definedName>
    <definedName name="______SOZ1" localSheetId="0">#REF!</definedName>
    <definedName name="______SOZ1" localSheetId="2">#REF!</definedName>
    <definedName name="______SOZ1">#REF!</definedName>
    <definedName name="______SOZ2" localSheetId="2">#REF!</definedName>
    <definedName name="______SOZ2">#REF!</definedName>
    <definedName name="______SOZ3" localSheetId="2">#REF!</definedName>
    <definedName name="______SOZ3">#REF!</definedName>
    <definedName name="______SOZ4" localSheetId="2">#REF!</definedName>
    <definedName name="______SOZ4">#REF!</definedName>
    <definedName name="______SOZ5" localSheetId="2">#REF!</definedName>
    <definedName name="______SOZ5">#REF!</definedName>
    <definedName name="______SOZ6" localSheetId="2">#REF!</definedName>
    <definedName name="______SOZ6">#REF!</definedName>
    <definedName name="______sy4" localSheetId="2">#REF!</definedName>
    <definedName name="______sy4">#REF!</definedName>
    <definedName name="______T1">[1]yENİCE!#REF!</definedName>
    <definedName name="______TIP1">'[4]KM KANATLI'!#REF!</definedName>
    <definedName name="______TIP2">'[4]KM KANATLI'!#REF!</definedName>
    <definedName name="______xx1" localSheetId="0">#REF!</definedName>
    <definedName name="______xx1" localSheetId="2">#REF!</definedName>
    <definedName name="______xx1">#REF!</definedName>
    <definedName name="_____ARA1" localSheetId="0">'[4]KM KANATLI'!#REF!</definedName>
    <definedName name="_____ARA1" localSheetId="2">'[4]KM KANATLI'!#REF!</definedName>
    <definedName name="_____ARA1">'[4]KM KANATLI'!#REF!</definedName>
    <definedName name="_____ARA2" localSheetId="2">'[4]KM KANATLI'!#REF!</definedName>
    <definedName name="_____ARA2">'[4]KM KANATLI'!#REF!</definedName>
    <definedName name="_____de2">[6]yENİCE!#REF!</definedName>
    <definedName name="_____IX1">'[5]103+390-107+250'!$IV$1:$IV$65536</definedName>
    <definedName name="_____IZ1">'[5]103+390-107+250'!$IU$1</definedName>
    <definedName name="_____SOZ1" localSheetId="0">#REF!</definedName>
    <definedName name="_____SOZ1" localSheetId="2">#REF!</definedName>
    <definedName name="_____SOZ1">#REF!</definedName>
    <definedName name="_____SOZ2" localSheetId="2">#REF!</definedName>
    <definedName name="_____SOZ2">#REF!</definedName>
    <definedName name="_____SOZ3" localSheetId="2">#REF!</definedName>
    <definedName name="_____SOZ3">#REF!</definedName>
    <definedName name="_____SOZ4" localSheetId="2">#REF!</definedName>
    <definedName name="_____SOZ4">#REF!</definedName>
    <definedName name="_____SOZ5" localSheetId="2">#REF!</definedName>
    <definedName name="_____SOZ5">#REF!</definedName>
    <definedName name="_____SOZ6" localSheetId="2">#REF!</definedName>
    <definedName name="_____SOZ6">#REF!</definedName>
    <definedName name="_____sy4" localSheetId="2">#REF!</definedName>
    <definedName name="_____sy4">#REF!</definedName>
    <definedName name="_____T1">[1]yENİCE!#REF!</definedName>
    <definedName name="_____TIP1">'[4]KM KANATLI'!#REF!</definedName>
    <definedName name="_____TIP2">'[4]KM KANATLI'!#REF!</definedName>
    <definedName name="_____xx1" localSheetId="0">#REF!</definedName>
    <definedName name="_____xx1" localSheetId="2">#REF!</definedName>
    <definedName name="_____xx1">#REF!</definedName>
    <definedName name="____1Yazdırma_Alanı_MI" localSheetId="2">#REF!</definedName>
    <definedName name="____1Yazdırma_Alanı_MI">#REF!</definedName>
    <definedName name="____ARA1" localSheetId="2">'[4]KM KANATLI'!#REF!</definedName>
    <definedName name="____ARA1">'[4]KM KANATLI'!#REF!</definedName>
    <definedName name="____ARA2" localSheetId="2">'[4]KM KANATLI'!#REF!</definedName>
    <definedName name="____ARA2">'[4]KM KANATLI'!#REF!</definedName>
    <definedName name="____de2" localSheetId="2">[6]yENİCE!#REF!</definedName>
    <definedName name="____de2">[6]yENİCE!#REF!</definedName>
    <definedName name="____IX1">'[5]103+390-107+250'!$IV$1:$IV$65536</definedName>
    <definedName name="____IZ1">'[5]103+390-107+250'!$IU$1</definedName>
    <definedName name="____SOZ1" localSheetId="0">#REF!</definedName>
    <definedName name="____SOZ1" localSheetId="2">#REF!</definedName>
    <definedName name="____SOZ1">#REF!</definedName>
    <definedName name="____SOZ2" localSheetId="2">#REF!</definedName>
    <definedName name="____SOZ2">#REF!</definedName>
    <definedName name="____SOZ3" localSheetId="2">#REF!</definedName>
    <definedName name="____SOZ3">#REF!</definedName>
    <definedName name="____SOZ4" localSheetId="2">#REF!</definedName>
    <definedName name="____SOZ4">#REF!</definedName>
    <definedName name="____SOZ5" localSheetId="2">#REF!</definedName>
    <definedName name="____SOZ5">#REF!</definedName>
    <definedName name="____SOZ6" localSheetId="2">#REF!</definedName>
    <definedName name="____SOZ6">#REF!</definedName>
    <definedName name="____sy4" localSheetId="2">#REF!</definedName>
    <definedName name="____sy4">#REF!</definedName>
    <definedName name="____T1">[1]yENİCE!#REF!</definedName>
    <definedName name="____TIP1">'[4]KM KANATLI'!#REF!</definedName>
    <definedName name="____TIP2">'[4]KM KANATLI'!#REF!</definedName>
    <definedName name="____xx1" localSheetId="0">#REF!</definedName>
    <definedName name="____xx1" localSheetId="2">#REF!</definedName>
    <definedName name="____xx1">#REF!</definedName>
    <definedName name="___1Yazdırma_Alanı_MI" localSheetId="2">#REF!</definedName>
    <definedName name="___1Yazdırma_Alanı_MI">#REF!</definedName>
    <definedName name="___ARA1">'[4]KM KANATLI'!#REF!</definedName>
    <definedName name="___ARA2">'[4]KM KANATLI'!#REF!</definedName>
    <definedName name="___de2">[6]yENİCE!#REF!</definedName>
    <definedName name="___HCO3" localSheetId="0">#REF!</definedName>
    <definedName name="___HCO3" localSheetId="2">#REF!</definedName>
    <definedName name="___HCO3">#REF!</definedName>
    <definedName name="___IX1">'[5]103+390-107+250'!$IV$1:$IV$65536</definedName>
    <definedName name="___IZ1">'[5]103+390-107+250'!$IU$1</definedName>
    <definedName name="___OPO4" localSheetId="0">#REF!</definedName>
    <definedName name="___OPO4" localSheetId="2">#REF!</definedName>
    <definedName name="___OPO4">#REF!</definedName>
    <definedName name="___SO4" localSheetId="2">#REF!</definedName>
    <definedName name="___SO4">#REF!</definedName>
    <definedName name="___SOZ1" localSheetId="2">#REF!</definedName>
    <definedName name="___SOZ1">#REF!</definedName>
    <definedName name="___SOZ2" localSheetId="2">#REF!</definedName>
    <definedName name="___SOZ2">#REF!</definedName>
    <definedName name="___SOZ3" localSheetId="2">#REF!</definedName>
    <definedName name="___SOZ3">#REF!</definedName>
    <definedName name="___SOZ4" localSheetId="2">#REF!</definedName>
    <definedName name="___SOZ4">#REF!</definedName>
    <definedName name="___SOZ5" localSheetId="2">#REF!</definedName>
    <definedName name="___SOZ5">#REF!</definedName>
    <definedName name="___SOZ6" localSheetId="2">#REF!</definedName>
    <definedName name="___SOZ6">#REF!</definedName>
    <definedName name="___sy4" localSheetId="2">#REF!</definedName>
    <definedName name="___sy4">#REF!</definedName>
    <definedName name="___T1">[1]yENİCE!#REF!</definedName>
    <definedName name="___TIP1">'[4]KM KANATLI'!#REF!</definedName>
    <definedName name="___TIP2">'[4]KM KANATLI'!#REF!</definedName>
    <definedName name="___xx1" localSheetId="0">#REF!</definedName>
    <definedName name="___xx1" localSheetId="2">#REF!</definedName>
    <definedName name="___xx1">#REF!</definedName>
    <definedName name="__123Graph_A" localSheetId="0" hidden="1">[7]YAĞIŞ!#REF!</definedName>
    <definedName name="__123Graph_A" localSheetId="2" hidden="1">[7]YAĞIŞ!#REF!</definedName>
    <definedName name="__123Graph_A" hidden="1">[7]YAĞIŞ!#REF!</definedName>
    <definedName name="__123Graph_X" hidden="1">[8]T39!$B$18:$B$28</definedName>
    <definedName name="__1Yazdırma_Alanı_MI" localSheetId="0">#REF!</definedName>
    <definedName name="__1Yazdırma_Alanı_MI" localSheetId="2">#REF!</definedName>
    <definedName name="__1Yazdırma_Alanı_MI">#REF!</definedName>
    <definedName name="__3Yazdırma_Alanı_MI" localSheetId="2">#REF!</definedName>
    <definedName name="__3Yazdırma_Alanı_MI">#REF!</definedName>
    <definedName name="__a23325" localSheetId="2">#REF!</definedName>
    <definedName name="__a23325">#REF!</definedName>
    <definedName name="__ARA1">'[4]KM KANATLI'!#REF!</definedName>
    <definedName name="__ARA2">'[4]KM KANATLI'!#REF!</definedName>
    <definedName name="__de2">[3]yENİCE!#REF!</definedName>
    <definedName name="__HCO3" localSheetId="0">#REF!</definedName>
    <definedName name="__HCO3" localSheetId="2">#REF!</definedName>
    <definedName name="__HCO3">#REF!</definedName>
    <definedName name="__IX1">'[5]103+390-107+250'!$IV$1:$IV$65536</definedName>
    <definedName name="__IZ1">'[5]103+390-107+250'!$IU$1</definedName>
    <definedName name="__OPO4" localSheetId="0">#REF!</definedName>
    <definedName name="__OPO4" localSheetId="2">#REF!</definedName>
    <definedName name="__OPO4">#REF!</definedName>
    <definedName name="__SO4" localSheetId="2">#REF!</definedName>
    <definedName name="__SO4">#REF!</definedName>
    <definedName name="__SOZ1" localSheetId="2">#REF!</definedName>
    <definedName name="__SOZ1">#REF!</definedName>
    <definedName name="__SOZ2" localSheetId="2">#REF!</definedName>
    <definedName name="__SOZ2">#REF!</definedName>
    <definedName name="__SOZ3" localSheetId="2">#REF!</definedName>
    <definedName name="__SOZ3">#REF!</definedName>
    <definedName name="__SOZ4" localSheetId="2">#REF!</definedName>
    <definedName name="__SOZ4">#REF!</definedName>
    <definedName name="__SOZ5" localSheetId="2">#REF!</definedName>
    <definedName name="__SOZ5">#REF!</definedName>
    <definedName name="__SOZ6" localSheetId="2">#REF!</definedName>
    <definedName name="__SOZ6">#REF!</definedName>
    <definedName name="__sy4" localSheetId="2">#REF!</definedName>
    <definedName name="__sy4">#REF!</definedName>
    <definedName name="__T1">[3]yENİCE!#REF!</definedName>
    <definedName name="__TIP1">'[4]KM KANATLI'!#REF!</definedName>
    <definedName name="__TIP2">'[4]KM KANATLI'!#REF!</definedName>
    <definedName name="__xx1" localSheetId="0">#REF!</definedName>
    <definedName name="__xx1" localSheetId="2">#REF!</definedName>
    <definedName name="__xx1">#REF!</definedName>
    <definedName name="_01.501">[9]rayıc!$E$2</definedName>
    <definedName name="_1">#N/A</definedName>
    <definedName name="_1__________________________________________________________________________________________________________________Yazdırma_Alanı_MI" localSheetId="0">#REF!</definedName>
    <definedName name="_1__________________________________________________________________________________________________________________Yazdırma_Alanı_MI" localSheetId="2">#REF!</definedName>
    <definedName name="_1__________________________________________________________________________________________________________________Yazdırma_Alanı_MI">#REF!</definedName>
    <definedName name="_10">#N/A</definedName>
    <definedName name="_10______________________________________________________________________________________________________________Yazdırma_Alanı_MI" localSheetId="0">#REF!</definedName>
    <definedName name="_10______________________________________________________________________________________________________________Yazdırma_Alanı_MI" localSheetId="2">#REF!</definedName>
    <definedName name="_10______________________________________________________________________________________________________________Yazdırma_Alanı_MI">#REF!</definedName>
    <definedName name="_10_________________________________________________________________________________________________________Yazdırma_Alanı_MI" localSheetId="2">#REF!</definedName>
    <definedName name="_10_________________________________________________________________________________________________________Yazdırma_Alanı_MI">#REF!</definedName>
    <definedName name="_100_________________________________________________________________Yazdırma_Alanı_MI" localSheetId="2">#REF!</definedName>
    <definedName name="_100_________________________________________________________________Yazdırma_Alanı_MI">#REF!</definedName>
    <definedName name="_1015______________________________________________________________________________________Yazdırma_Alanı_MI" localSheetId="2">#REF!</definedName>
    <definedName name="_1015______________________________________________________________________________________Yazdırma_Alanı_MI">#REF!</definedName>
    <definedName name="_102_________________________________________________________________________________Yazdırma_Alanı_MI" localSheetId="2">#REF!</definedName>
    <definedName name="_102_________________________________________________________________________________Yazdırma_Alanı_MI">#REF!</definedName>
    <definedName name="_102________________________________________________________________Yazdırma_Alanı_MI" localSheetId="2">#REF!</definedName>
    <definedName name="_102________________________________________________________________Yazdırma_Alanı_MI">#REF!</definedName>
    <definedName name="_104_______________________________________________________________Yazdırma_Alanı_MI" localSheetId="2">#REF!</definedName>
    <definedName name="_104_______________________________________________________________Yazdırma_Alanı_MI">#REF!</definedName>
    <definedName name="_105________________________________________________________________________________________________________________Yazdırma_Alanı_MI" localSheetId="2">#REF!</definedName>
    <definedName name="_105________________________________________________________________________________________________________________Yazdırma_Alanı_MI">#REF!</definedName>
    <definedName name="_105________________________________________________________________________________Yazdırma_Alanı_MI" localSheetId="2">#REF!</definedName>
    <definedName name="_105________________________________________________________________________________Yazdırma_Alanı_MI">#REF!</definedName>
    <definedName name="_1050_____________________________________________________________________________________Yazdırma_Alanı_MI" localSheetId="2">#REF!</definedName>
    <definedName name="_1050_____________________________________________________________________________________Yazdırma_Alanı_MI">#REF!</definedName>
    <definedName name="_106_____________________________________________________________Yazdırma_Alanı_MI" localSheetId="2">#REF!</definedName>
    <definedName name="_106_____________________________________________________________Yazdırma_Alanı_MI">#REF!</definedName>
    <definedName name="_108_______________________________________________________________________________Yazdırma_Alanı_MI" localSheetId="2">#REF!</definedName>
    <definedName name="_108_______________________________________________________________________________Yazdırma_Alanı_MI">#REF!</definedName>
    <definedName name="_108___________________________________________________________Yazdırma_Alanı_MI" localSheetId="2">#REF!</definedName>
    <definedName name="_108___________________________________________________________Yazdırma_Alanı_MI">#REF!</definedName>
    <definedName name="_1085____________________________________________________________________________________Yazdırma_Alanı_MI" localSheetId="2">#REF!</definedName>
    <definedName name="_1085____________________________________________________________________________________Yazdırma_Alanı_MI">#REF!</definedName>
    <definedName name="_108Yazdırma_Alanı_MI" localSheetId="2">#REF!</definedName>
    <definedName name="_108Yazdırma_Alanı_MI">#REF!</definedName>
    <definedName name="_109Yazdırma_Alanı_MI" localSheetId="2">#REF!</definedName>
    <definedName name="_109Yazdırma_Alanı_MI">#REF!</definedName>
    <definedName name="_11">#N/A</definedName>
    <definedName name="_11________________________________________________________________________________________________________Yazdırma_Alanı_MI" localSheetId="0">#REF!</definedName>
    <definedName name="_11________________________________________________________________________________________________________Yazdırma_Alanı_MI" localSheetId="2">#REF!</definedName>
    <definedName name="_11________________________________________________________________________________________________________Yazdırma_Alanı_MI">#REF!</definedName>
    <definedName name="_110_________________________________________________________Yazdırma_Alanı_MI" localSheetId="2">#REF!</definedName>
    <definedName name="_110_________________________________________________________Yazdırma_Alanı_MI">#REF!</definedName>
    <definedName name="_111______________________________________________________________________________Yazdırma_Alanı_MI" localSheetId="2">#REF!</definedName>
    <definedName name="_111______________________________________________________________________________Yazdırma_Alanı_MI">#REF!</definedName>
    <definedName name="_112_______________________________________________________Yazdırma_Alanı_MI" localSheetId="2">#REF!</definedName>
    <definedName name="_112_______________________________________________________Yazdırma_Alanı_MI">#REF!</definedName>
    <definedName name="_1120___________________________________________________________________________________Yazdırma_Alanı_MI" localSheetId="2">#REF!</definedName>
    <definedName name="_1120___________________________________________________________________________________Yazdırma_Alanı_MI">#REF!</definedName>
    <definedName name="_114_____________________________________________________________________________Yazdırma_Alanı_MI" localSheetId="2">#REF!</definedName>
    <definedName name="_114_____________________________________________________________________________Yazdırma_Alanı_MI">#REF!</definedName>
    <definedName name="_114_____________________________________________________Yazdırma_Alanı_MI" localSheetId="2">#REF!</definedName>
    <definedName name="_114_____________________________________________________Yazdırma_Alanı_MI">#REF!</definedName>
    <definedName name="_1155__________________________________________________________________________________Yazdırma_Alanı_MI" localSheetId="2">#REF!</definedName>
    <definedName name="_1155__________________________________________________________________________________Yazdırma_Alanı_MI">#REF!</definedName>
    <definedName name="_116____________________________________________________Yazdırma_Alanı_MI" localSheetId="2">#REF!</definedName>
    <definedName name="_116____________________________________________________Yazdırma_Alanı_MI">#REF!</definedName>
    <definedName name="_117____________________________________________________________________________Yazdırma_Alanı_MI" localSheetId="2">#REF!</definedName>
    <definedName name="_117____________________________________________________________________________Yazdırma_Alanı_MI">#REF!</definedName>
    <definedName name="_118___________________________________________________Yazdırma_Alanı_MI" localSheetId="2">#REF!</definedName>
    <definedName name="_118___________________________________________________Yazdırma_Alanı_MI">#REF!</definedName>
    <definedName name="_1190_________________________________________________________________________________Yazdırma_Alanı_MI" localSheetId="2">#REF!</definedName>
    <definedName name="_1190_________________________________________________________________________________Yazdırma_Alanı_MI">#REF!</definedName>
    <definedName name="_11A">#N/A</definedName>
    <definedName name="_12">#N/A</definedName>
    <definedName name="_12_______________________________________________________________________________________________________________Yazdırma_Alanı_MI" localSheetId="0">#REF!</definedName>
    <definedName name="_12_______________________________________________________________________________________________________________Yazdırma_Alanı_MI" localSheetId="2">#REF!</definedName>
    <definedName name="_12_______________________________________________________________________________________________________________Yazdırma_Alanı_MI">#REF!</definedName>
    <definedName name="_12_____________________________________________________________________________________________________________Yazdırma_Alanı_MI" localSheetId="2">#REF!</definedName>
    <definedName name="_12_____________________________________________________________________________________________________________Yazdırma_Alanı_MI">#REF!</definedName>
    <definedName name="_12_______________________________________________________________________________________________________Yazdırma_Alanı_MI" localSheetId="2">#REF!</definedName>
    <definedName name="_12_______________________________________________________________________________________________________Yazdırma_Alanı_MI">#REF!</definedName>
    <definedName name="_120___________________________________________________________________________Yazdırma_Alanı_MI" localSheetId="2">#REF!</definedName>
    <definedName name="_120___________________________________________________________________________Yazdırma_Alanı_MI">#REF!</definedName>
    <definedName name="_120__________________________________________________Yazdırma_Alanı_MI" localSheetId="2">#REF!</definedName>
    <definedName name="_120__________________________________________________Yazdırma_Alanı_MI">#REF!</definedName>
    <definedName name="_122_________________________________________________Yazdırma_Alanı_MI" localSheetId="2">#REF!</definedName>
    <definedName name="_122_________________________________________________Yazdırma_Alanı_MI">#REF!</definedName>
    <definedName name="_1225________________________________________________________________________________Yazdırma_Alanı_MI" localSheetId="2">#REF!</definedName>
    <definedName name="_1225________________________________________________________________________________Yazdırma_Alanı_MI">#REF!</definedName>
    <definedName name="_123__________________________________________________________________________Yazdırma_Alanı_MI" localSheetId="2">#REF!</definedName>
    <definedName name="_123__________________________________________________________________________Yazdırma_Alanı_MI">#REF!</definedName>
    <definedName name="_124________________________________________________Yazdırma_Alanı_MI" localSheetId="2">#REF!</definedName>
    <definedName name="_124________________________________________________Yazdırma_Alanı_MI">#REF!</definedName>
    <definedName name="_126_________________________________________________________________________Yazdırma_Alanı_MI" localSheetId="2">#REF!</definedName>
    <definedName name="_126_________________________________________________________________________Yazdırma_Alanı_MI">#REF!</definedName>
    <definedName name="_126_______________________________________________Yazdırma_Alanı_MI" localSheetId="2">#REF!</definedName>
    <definedName name="_126_______________________________________________Yazdırma_Alanı_MI">#REF!</definedName>
    <definedName name="_1260_______________________________________________________________________________Yazdırma_Alanı_MI" localSheetId="2">#REF!</definedName>
    <definedName name="_1260_______________________________________________________________________________Yazdırma_Alanı_MI">#REF!</definedName>
    <definedName name="_128_____________________________________________Yazdırma_Alanı_MI" localSheetId="2">#REF!</definedName>
    <definedName name="_128_____________________________________________Yazdırma_Alanı_MI">#REF!</definedName>
    <definedName name="_129________________________________________________________________________Yazdırma_Alanı_MI" localSheetId="2">#REF!</definedName>
    <definedName name="_129________________________________________________________________________Yazdırma_Alanı_MI">#REF!</definedName>
    <definedName name="_1295______________________________________________________________________________Yazdırma_Alanı_MI" localSheetId="2">#REF!</definedName>
    <definedName name="_1295______________________________________________________________________________Yazdırma_Alanı_MI">#REF!</definedName>
    <definedName name="_13">#N/A</definedName>
    <definedName name="_13______________________________________________________________________________________________________Yazdırma_Alanı_MI" localSheetId="0">#REF!</definedName>
    <definedName name="_13______________________________________________________________________________________________________Yazdırma_Alanı_MI" localSheetId="2">#REF!</definedName>
    <definedName name="_13______________________________________________________________________________________________________Yazdırma_Alanı_MI">#REF!</definedName>
    <definedName name="_130___________________________________________Yazdırma_Alanı_MI" localSheetId="2">#REF!</definedName>
    <definedName name="_130___________________________________________Yazdırma_Alanı_MI">#REF!</definedName>
    <definedName name="_132_______________________________________________________________________Yazdırma_Alanı_MI" localSheetId="2">#REF!</definedName>
    <definedName name="_132_______________________________________________________________________Yazdırma_Alanı_MI">#REF!</definedName>
    <definedName name="_132_________________________________________Yazdırma_Alanı_MI" localSheetId="2">#REF!</definedName>
    <definedName name="_132_________________________________________Yazdırma_Alanı_MI">#REF!</definedName>
    <definedName name="_1324_____________________________________________________________________________Yazdırma_Alanı_MI" localSheetId="2">#REF!</definedName>
    <definedName name="_1324_____________________________________________________________________________Yazdırma_Alanı_MI">#REF!</definedName>
    <definedName name="_134_______________________________________Yazdırma_Alanı_MI" localSheetId="2">#REF!</definedName>
    <definedName name="_134_______________________________________Yazdırma_Alanı_MI">#REF!</definedName>
    <definedName name="_135______________________________________________________________________Yazdırma_Alanı_MI" localSheetId="2">#REF!</definedName>
    <definedName name="_135______________________________________________________________________Yazdırma_Alanı_MI">#REF!</definedName>
    <definedName name="_1359____________________________________________________________________________Yazdırma_Alanı_MI" localSheetId="2">#REF!</definedName>
    <definedName name="_1359____________________________________________________________________________Yazdırma_Alanı_MI">#REF!</definedName>
    <definedName name="_136_____________________________________Yazdırma_Alanı_MI" localSheetId="2">#REF!</definedName>
    <definedName name="_136_____________________________________Yazdırma_Alanı_MI">#REF!</definedName>
    <definedName name="_138_____________________________________________________________________Yazdırma_Alanı_MI" localSheetId="2">#REF!</definedName>
    <definedName name="_138_____________________________________________________________________Yazdırma_Alanı_MI">#REF!</definedName>
    <definedName name="_138___________________________________Yazdırma_Alanı_MI" localSheetId="2">#REF!</definedName>
    <definedName name="_138___________________________________Yazdırma_Alanı_MI">#REF!</definedName>
    <definedName name="_1388___________________________________________________________________________Yazdırma_Alanı_MI" localSheetId="2">#REF!</definedName>
    <definedName name="_1388___________________________________________________________________________Yazdırma_Alanı_MI">#REF!</definedName>
    <definedName name="_14">#N/A</definedName>
    <definedName name="_14____________________________________________________________________________________________________________Yazdırma_Alanı_MI" localSheetId="0">#REF!</definedName>
    <definedName name="_14____________________________________________________________________________________________________________Yazdırma_Alanı_MI" localSheetId="2">#REF!</definedName>
    <definedName name="_14____________________________________________________________________________________________________________Yazdırma_Alanı_MI">#REF!</definedName>
    <definedName name="_14_____________________________________________________________________________________________________Yazdırma_Alanı_MI" localSheetId="2">#REF!</definedName>
    <definedName name="_14_____________________________________________________________________________________________________Yazdırma_Alanı_MI">#REF!</definedName>
    <definedName name="_140_______________________________________________________________________________________________________________Yazdırma_Alanı_MI" localSheetId="2">#REF!</definedName>
    <definedName name="_140_______________________________________________________________________________________________________________Yazdırma_Alanı_MI">#REF!</definedName>
    <definedName name="_140_________________________________Yazdırma_Alanı_MI" localSheetId="2">#REF!</definedName>
    <definedName name="_140_________________________________Yazdırma_Alanı_MI">#REF!</definedName>
    <definedName name="_141____________________________________________________________________Yazdırma_Alanı_MI" localSheetId="2">#REF!</definedName>
    <definedName name="_141____________________________________________________________________Yazdırma_Alanı_MI">#REF!</definedName>
    <definedName name="_142_______________________________Yazdırma_Alanı_MI" localSheetId="2">#REF!</definedName>
    <definedName name="_142_______________________________Yazdırma_Alanı_MI">#REF!</definedName>
    <definedName name="_1423__________________________________________________________________________Yazdırma_Alanı_MI" localSheetId="2">#REF!</definedName>
    <definedName name="_1423__________________________________________________________________________Yazdırma_Alanı_MI">#REF!</definedName>
    <definedName name="_144___________________________________________________________________Yazdırma_Alanı_MI" localSheetId="2">#REF!</definedName>
    <definedName name="_144___________________________________________________________________Yazdırma_Alanı_MI">#REF!</definedName>
    <definedName name="_144_____________________________Yazdırma_Alanı_MI" localSheetId="2">#REF!</definedName>
    <definedName name="_144_____________________________Yazdırma_Alanı_MI">#REF!</definedName>
    <definedName name="_1452_________________________________________________________________________Yazdırma_Alanı_MI" localSheetId="2">#REF!</definedName>
    <definedName name="_1452_________________________________________________________________________Yazdırma_Alanı_MI">#REF!</definedName>
    <definedName name="_146___________________________Yazdırma_Alanı_MI" localSheetId="2">#REF!</definedName>
    <definedName name="_146___________________________Yazdırma_Alanı_MI">#REF!</definedName>
    <definedName name="_147__________________________________________________________________Yazdırma_Alanı_MI" localSheetId="2">#REF!</definedName>
    <definedName name="_147__________________________________________________________________Yazdırma_Alanı_MI">#REF!</definedName>
    <definedName name="_148_________________________Yazdırma_Alanı_MI" localSheetId="2">#REF!</definedName>
    <definedName name="_148_________________________Yazdırma_Alanı_MI">#REF!</definedName>
    <definedName name="_1487________________________________________________________________________Yazdırma_Alanı_MI" localSheetId="2">#REF!</definedName>
    <definedName name="_1487________________________________________________________________________Yazdırma_Alanı_MI">#REF!</definedName>
    <definedName name="_15">#N/A</definedName>
    <definedName name="_15______________________________________________________________________________________________________________Yazdırma_Alanı_MI" localSheetId="0">#REF!</definedName>
    <definedName name="_15______________________________________________________________________________________________________________Yazdırma_Alanı_MI" localSheetId="2">#REF!</definedName>
    <definedName name="_15______________________________________________________________________________________________________________Yazdırma_Alanı_MI">#REF!</definedName>
    <definedName name="_15____________________________________________________________________________________________________Yazdırma_Alanı_MI" localSheetId="2">#REF!</definedName>
    <definedName name="_15____________________________________________________________________________________________________Yazdırma_Alanı_MI">#REF!</definedName>
    <definedName name="_150_________________________________________________________________Yazdırma_Alanı_MI" localSheetId="2">#REF!</definedName>
    <definedName name="_150_________________________________________________________________Yazdırma_Alanı_MI">#REF!</definedName>
    <definedName name="_150_______________________Yazdırma_Alanı_MI" localSheetId="2">#REF!</definedName>
    <definedName name="_150_______________________Yazdırma_Alanı_MI">#REF!</definedName>
    <definedName name="_1516_______________________________________________________________________Yazdırma_Alanı_MI" localSheetId="2">#REF!</definedName>
    <definedName name="_1516_______________________________________________________________________Yazdırma_Alanı_MI">#REF!</definedName>
    <definedName name="_152______________________Yazdırma_Alanı_MI" localSheetId="2">#REF!</definedName>
    <definedName name="_152______________________Yazdırma_Alanı_MI">#REF!</definedName>
    <definedName name="_153________________________________________________________________Yazdırma_Alanı_MI" localSheetId="2">#REF!</definedName>
    <definedName name="_153________________________________________________________________Yazdırma_Alanı_MI">#REF!</definedName>
    <definedName name="_154_____________________Yazdırma_Alanı_MI" localSheetId="2">#REF!</definedName>
    <definedName name="_154_____________________Yazdırma_Alanı_MI">#REF!</definedName>
    <definedName name="_1551______________________________________________________________________Yazdırma_Alanı_MI" localSheetId="2">#REF!</definedName>
    <definedName name="_1551______________________________________________________________________Yazdırma_Alanı_MI">#REF!</definedName>
    <definedName name="_156_______________________________________________________________Yazdırma_Alanı_MI" localSheetId="2">#REF!</definedName>
    <definedName name="_156_______________________________________________________________Yazdırma_Alanı_MI">#REF!</definedName>
    <definedName name="_156____________________Yazdırma_Alanı_MI" localSheetId="2">#REF!</definedName>
    <definedName name="_156____________________Yazdırma_Alanı_MI">#REF!</definedName>
    <definedName name="_158___________________Yazdırma_Alanı_MI" localSheetId="2">#REF!</definedName>
    <definedName name="_158___________________Yazdırma_Alanı_MI">#REF!</definedName>
    <definedName name="_1580_____________________________________________________________________Yazdırma_Alanı_MI" localSheetId="2">#REF!</definedName>
    <definedName name="_1580_____________________________________________________________________Yazdırma_Alanı_MI">#REF!</definedName>
    <definedName name="_159_____________________________________________________________Yazdırma_Alanı_MI" localSheetId="2">#REF!</definedName>
    <definedName name="_159_____________________________________________________________Yazdırma_Alanı_MI">#REF!</definedName>
    <definedName name="_16">#N/A</definedName>
    <definedName name="_16___________________________________________________________________________________________________________Yazdırma_Alanı_MI" localSheetId="0">#REF!</definedName>
    <definedName name="_16___________________________________________________________________________________________________________Yazdırma_Alanı_MI" localSheetId="2">#REF!</definedName>
    <definedName name="_16___________________________________________________________________________________________________________Yazdırma_Alanı_MI">#REF!</definedName>
    <definedName name="_16___________________________________________________________________________________________________Yazdırma_Alanı_MI" localSheetId="2">#REF!</definedName>
    <definedName name="_16___________________________________________________________________________________________________Yazdırma_Alanı_MI">#REF!</definedName>
    <definedName name="_16_023" localSheetId="2">#REF!</definedName>
    <definedName name="_16_023">#REF!</definedName>
    <definedName name="_160__________________Yazdırma_Alanı_MI" localSheetId="2">#REF!</definedName>
    <definedName name="_160__________________Yazdırma_Alanı_MI">#REF!</definedName>
    <definedName name="_1615____________________________________________________________________Yazdırma_Alanı_MI" localSheetId="2">#REF!</definedName>
    <definedName name="_1615____________________________________________________________________Yazdırma_Alanı_MI">#REF!</definedName>
    <definedName name="_162___________________________________________________________Yazdırma_Alanı_MI" localSheetId="2">#REF!</definedName>
    <definedName name="_162___________________________________________________________Yazdırma_Alanı_MI">#REF!</definedName>
    <definedName name="_162_________________Yazdırma_Alanı_MI" localSheetId="2">#REF!</definedName>
    <definedName name="_162_________________Yazdırma_Alanı_MI">#REF!</definedName>
    <definedName name="_164________________Yazdırma_Alanı_MI" localSheetId="2">#REF!</definedName>
    <definedName name="_164________________Yazdırma_Alanı_MI">#REF!</definedName>
    <definedName name="_1644___________________________________________________________________Yazdırma_Alanı_MI" localSheetId="2">#REF!</definedName>
    <definedName name="_1644___________________________________________________________________Yazdırma_Alanı_MI">#REF!</definedName>
    <definedName name="_165_________________________________________________________Yazdırma_Alanı_MI" localSheetId="2">#REF!</definedName>
    <definedName name="_165_________________________________________________________Yazdırma_Alanı_MI">#REF!</definedName>
    <definedName name="_166_______________Yazdırma_Alanı_MI" localSheetId="2">#REF!</definedName>
    <definedName name="_166_______________Yazdırma_Alanı_MI">#REF!</definedName>
    <definedName name="_1679__________________________________________________________________Yazdırma_Alanı_MI" localSheetId="2">#REF!</definedName>
    <definedName name="_1679__________________________________________________________________Yazdırma_Alanı_MI">#REF!</definedName>
    <definedName name="_168_______________________________________________________Yazdırma_Alanı_MI" localSheetId="2">#REF!</definedName>
    <definedName name="_168_______________________________________________________Yazdırma_Alanı_MI">#REF!</definedName>
    <definedName name="_168______________Yazdırma_Alanı_MI" localSheetId="2">#REF!</definedName>
    <definedName name="_168______________Yazdırma_Alanı_MI">#REF!</definedName>
    <definedName name="_17">#N/A</definedName>
    <definedName name="_17__________________________________________________________________________________________________Yazdırma_Alanı_MI" localSheetId="0">#REF!</definedName>
    <definedName name="_17__________________________________________________________________________________________________Yazdırma_Alanı_MI" localSheetId="2">#REF!</definedName>
    <definedName name="_17__________________________________________________________________________________________________Yazdırma_Alanı_MI">#REF!</definedName>
    <definedName name="_170_____________Yazdırma_Alanı_MI" localSheetId="2">#REF!</definedName>
    <definedName name="_170_____________Yazdırma_Alanı_MI">#REF!</definedName>
    <definedName name="_1708_________________________________________________________________Yazdırma_Alanı_MI" localSheetId="2">#REF!</definedName>
    <definedName name="_1708_________________________________________________________________Yazdırma_Alanı_MI">#REF!</definedName>
    <definedName name="_171_____________________________________________________Yazdırma_Alanı_MI" localSheetId="2">#REF!</definedName>
    <definedName name="_171_____________________________________________________Yazdırma_Alanı_MI">#REF!</definedName>
    <definedName name="_172____________Yazdırma_Alanı_MI" localSheetId="2">#REF!</definedName>
    <definedName name="_172____________Yazdırma_Alanı_MI">#REF!</definedName>
    <definedName name="_174____________________________________________________Yazdırma_Alanı_MI" localSheetId="2">#REF!</definedName>
    <definedName name="_174____________________________________________________Yazdırma_Alanı_MI">#REF!</definedName>
    <definedName name="_174___________Yazdırma_Alanı_MI" localSheetId="2">#REF!</definedName>
    <definedName name="_174___________Yazdırma_Alanı_MI">#REF!</definedName>
    <definedName name="_1743________________________________________________________________Yazdırma_Alanı_MI" localSheetId="2">#REF!</definedName>
    <definedName name="_1743________________________________________________________________Yazdırma_Alanı_MI">#REF!</definedName>
    <definedName name="_175______________________________________________________________________________________________________________Yazdırma_Alanı_MI" localSheetId="2">#REF!</definedName>
    <definedName name="_175______________________________________________________________________________________________________________Yazdırma_Alanı_MI">#REF!</definedName>
    <definedName name="_176__________Yazdırma_Alanı_MI" localSheetId="2">#REF!</definedName>
    <definedName name="_176__________Yazdırma_Alanı_MI">#REF!</definedName>
    <definedName name="_177___________________________________________________Yazdırma_Alanı_MI" localSheetId="2">#REF!</definedName>
    <definedName name="_177___________________________________________________Yazdırma_Alanı_MI">#REF!</definedName>
    <definedName name="_1772_______________________________________________________________Yazdırma_Alanı_MI" localSheetId="2">#REF!</definedName>
    <definedName name="_1772_______________________________________________________________Yazdırma_Alanı_MI">#REF!</definedName>
    <definedName name="_178_________Yazdırma_Alanı_MI" localSheetId="2">#REF!</definedName>
    <definedName name="_178_________Yazdırma_Alanı_MI">#REF!</definedName>
    <definedName name="_18">#N/A</definedName>
    <definedName name="_18_____________________________________________________________________________________________________________Yazdırma_Alanı_MI" localSheetId="0">#REF!</definedName>
    <definedName name="_18_____________________________________________________________________________________________________________Yazdırma_Alanı_MI" localSheetId="2">#REF!</definedName>
    <definedName name="_18_____________________________________________________________________________________________________________Yazdırma_Alanı_MI">#REF!</definedName>
    <definedName name="_18__________________________________________________________________________________________________________Yazdırma_Alanı_MI" localSheetId="2">#REF!</definedName>
    <definedName name="_18__________________________________________________________________________________________________________Yazdırma_Alanı_MI">#REF!</definedName>
    <definedName name="_18_________________________________________________________________________________________________Yazdırma_Alanı_MI" localSheetId="2">#REF!</definedName>
    <definedName name="_18_________________________________________________________________________________________________Yazdırma_Alanı_MI">#REF!</definedName>
    <definedName name="_180__________________________________________________Yazdırma_Alanı_MI" localSheetId="2">#REF!</definedName>
    <definedName name="_180__________________________________________________Yazdırma_Alanı_MI">#REF!</definedName>
    <definedName name="_180________Yazdırma_Alanı_MI" localSheetId="2">#REF!</definedName>
    <definedName name="_180________Yazdırma_Alanı_MI">#REF!</definedName>
    <definedName name="_1801_____________________________________________________________Yazdırma_Alanı_MI" localSheetId="2">#REF!</definedName>
    <definedName name="_1801_____________________________________________________________Yazdırma_Alanı_MI">#REF!</definedName>
    <definedName name="_182_______Yazdırma_Alanı_MI" localSheetId="2">#REF!</definedName>
    <definedName name="_182_______Yazdırma_Alanı_MI">#REF!</definedName>
    <definedName name="_183_________________________________________________Yazdırma_Alanı_MI" localSheetId="2">#REF!</definedName>
    <definedName name="_183_________________________________________________Yazdırma_Alanı_MI">#REF!</definedName>
    <definedName name="_1830___________________________________________________________Yazdırma_Alanı_MI" localSheetId="2">#REF!</definedName>
    <definedName name="_1830___________________________________________________________Yazdırma_Alanı_MI">#REF!</definedName>
    <definedName name="_184______Yazdırma_Alanı_MI" localSheetId="2">#REF!</definedName>
    <definedName name="_184______Yazdırma_Alanı_MI">#REF!</definedName>
    <definedName name="_1859_________________________________________________________Yazdırma_Alanı_MI" localSheetId="2">#REF!</definedName>
    <definedName name="_1859_________________________________________________________Yazdırma_Alanı_MI">#REF!</definedName>
    <definedName name="_186________________________________________________Yazdırma_Alanı_MI" localSheetId="2">#REF!</definedName>
    <definedName name="_186________________________________________________Yazdırma_Alanı_MI">#REF!</definedName>
    <definedName name="_186_____Yazdırma_Alanı_MI" localSheetId="2">#REF!</definedName>
    <definedName name="_186_____Yazdırma_Alanı_MI">#REF!</definedName>
    <definedName name="_188____Yazdırma_Alanı_MI" localSheetId="2">#REF!</definedName>
    <definedName name="_188____Yazdırma_Alanı_MI">#REF!</definedName>
    <definedName name="_1888_______________________________________________________Yazdırma_Alanı_MI" localSheetId="2">#REF!</definedName>
    <definedName name="_1888_______________________________________________________Yazdırma_Alanı_MI">#REF!</definedName>
    <definedName name="_189_______________________________________________Yazdırma_Alanı_MI" localSheetId="2">#REF!</definedName>
    <definedName name="_189_______________________________________________Yazdırma_Alanı_MI">#REF!</definedName>
    <definedName name="_19">#N/A</definedName>
    <definedName name="_19________________________________________________________________________________________________Yazdırma_Alanı_MI" localSheetId="0">#REF!</definedName>
    <definedName name="_19________________________________________________________________________________________________Yazdırma_Alanı_MI" localSheetId="2">#REF!</definedName>
    <definedName name="_19________________________________________________________________________________________________Yazdırma_Alanı_MI">#REF!</definedName>
    <definedName name="_190___Yazdırma_Alanı_MI" localSheetId="2">#REF!</definedName>
    <definedName name="_190___Yazdırma_Alanı_MI">#REF!</definedName>
    <definedName name="_1917_____________________________________________________Yazdırma_Alanı_MI" localSheetId="2">#REF!</definedName>
    <definedName name="_1917_____________________________________________________Yazdırma_Alanı_MI">#REF!</definedName>
    <definedName name="_192_____________________________________________Yazdırma_Alanı_MI" localSheetId="2">#REF!</definedName>
    <definedName name="_192_____________________________________________Yazdırma_Alanı_MI">#REF!</definedName>
    <definedName name="_192__Yazdırma_Alanı_MI" localSheetId="2">#REF!</definedName>
    <definedName name="_192__Yazdırma_Alanı_MI">#REF!</definedName>
    <definedName name="_194_Yazdırma_Alanı_MI" localSheetId="2">#REF!</definedName>
    <definedName name="_194_Yazdırma_Alanı_MI">#REF!</definedName>
    <definedName name="_1946____________________________________________________Yazdırma_Alanı_MI" localSheetId="2">#REF!</definedName>
    <definedName name="_1946____________________________________________________Yazdırma_Alanı_MI">#REF!</definedName>
    <definedName name="_195___________________________________________Yazdırma_Alanı_MI" localSheetId="2">#REF!</definedName>
    <definedName name="_195___________________________________________Yazdırma_Alanı_MI">#REF!</definedName>
    <definedName name="_1975___________________________________________________Yazdırma_Alanı_MI" localSheetId="2">#REF!</definedName>
    <definedName name="_1975___________________________________________________Yazdırma_Alanı_MI">#REF!</definedName>
    <definedName name="_198_________________________________________Yazdırma_Alanı_MI" localSheetId="2">#REF!</definedName>
    <definedName name="_198_________________________________________Yazdırma_Alanı_MI">#REF!</definedName>
    <definedName name="_1Yazdırma_Alanı_MI" localSheetId="2">#REF!</definedName>
    <definedName name="_1Yazdırma_Alanı_MI">#REF!</definedName>
    <definedName name="_2">#N/A</definedName>
    <definedName name="_2__________________________________________________________________________________________________________________Yazdırma_Alanı_MI" localSheetId="0">#REF!</definedName>
    <definedName name="_2__________________________________________________________________________________________________________________Yazdırma_Alanı_MI" localSheetId="2">#REF!</definedName>
    <definedName name="_2__________________________________________________________________________________________________________________Yazdırma_Alanı_MI">#REF!</definedName>
    <definedName name="_2_________________________________________________________________________________________________________________Yazdırma_Alanı_MI" localSheetId="2">#REF!</definedName>
    <definedName name="_2_________________________________________________________________________________________________________________Yazdırma_Alanı_MI">#REF!</definedName>
    <definedName name="_20">#N/A</definedName>
    <definedName name="_20_________________________________________________________________________________________________________Yazdırma_Alanı_MI" localSheetId="0">#REF!</definedName>
    <definedName name="_20_________________________________________________________________________________________________________Yazdırma_Alanı_MI" localSheetId="2">#REF!</definedName>
    <definedName name="_20_________________________________________________________________________________________________________Yazdırma_Alanı_MI">#REF!</definedName>
    <definedName name="_20_______________________________________________________________________________________________Yazdırma_Alanı_MI" localSheetId="2">#REF!</definedName>
    <definedName name="_20_______________________________________________________________________________________________Yazdırma_Alanı_MI">#REF!</definedName>
    <definedName name="_2004__________________________________________________Yazdırma_Alanı_MI" localSheetId="2">#REF!</definedName>
    <definedName name="_2004__________________________________________________Yazdırma_Alanı_MI">#REF!</definedName>
    <definedName name="_201_______________________________________Yazdırma_Alanı_MI" localSheetId="2">#REF!</definedName>
    <definedName name="_201_______________________________________Yazdırma_Alanı_MI">#REF!</definedName>
    <definedName name="_2033_________________________________________________Yazdırma_Alanı_MI" localSheetId="2">#REF!</definedName>
    <definedName name="_2033_________________________________________________Yazdırma_Alanı_MI">#REF!</definedName>
    <definedName name="_204_____________________________________Yazdırma_Alanı_MI" localSheetId="2">#REF!</definedName>
    <definedName name="_204_____________________________________Yazdırma_Alanı_MI">#REF!</definedName>
    <definedName name="_2062________________________________________________Yazdırma_Alanı_MI" localSheetId="2">#REF!</definedName>
    <definedName name="_2062________________________________________________Yazdırma_Alanı_MI">#REF!</definedName>
    <definedName name="_207___________________________________Yazdırma_Alanı_MI" localSheetId="2">#REF!</definedName>
    <definedName name="_207___________________________________Yazdırma_Alanı_MI">#REF!</definedName>
    <definedName name="_207Yazdırma_Alanı_MI" localSheetId="2">#REF!</definedName>
    <definedName name="_207Yazdırma_Alanı_MI">#REF!</definedName>
    <definedName name="_2091_______________________________________________Yazdırma_Alanı_MI" localSheetId="2">#REF!</definedName>
    <definedName name="_2091_______________________________________________Yazdırma_Alanı_MI">#REF!</definedName>
    <definedName name="_21">#N/A</definedName>
    <definedName name="_21____________________________________________________________________________________________________________Yazdırma_Alanı_MI" localSheetId="0">#REF!</definedName>
    <definedName name="_21____________________________________________________________________________________________________________Yazdırma_Alanı_MI" localSheetId="2">#REF!</definedName>
    <definedName name="_21____________________________________________________________________________________________________________Yazdırma_Alanı_MI">#REF!</definedName>
    <definedName name="_21______________________________________________________________________________________________Yazdırma_Alanı_MI" localSheetId="2">#REF!</definedName>
    <definedName name="_21______________________________________________________________________________________________Yazdırma_Alanı_MI">#REF!</definedName>
    <definedName name="_210_____________________________________________________________________________________________________________Yazdırma_Alanı_MI" localSheetId="2">#REF!</definedName>
    <definedName name="_210_____________________________________________________________________________________________________________Yazdırma_Alanı_MI">#REF!</definedName>
    <definedName name="_210_________________________________Yazdırma_Alanı_MI" localSheetId="2">#REF!</definedName>
    <definedName name="_210_________________________________Yazdırma_Alanı_MI">#REF!</definedName>
    <definedName name="_2120_____________________________________________Yazdırma_Alanı_MI" localSheetId="2">#REF!</definedName>
    <definedName name="_2120_____________________________________________Yazdırma_Alanı_MI">#REF!</definedName>
    <definedName name="_213_______________________________Yazdırma_Alanı_MI" localSheetId="2">#REF!</definedName>
    <definedName name="_213_______________________________Yazdırma_Alanı_MI">#REF!</definedName>
    <definedName name="_2149___________________________________________Yazdırma_Alanı_MI" localSheetId="2">#REF!</definedName>
    <definedName name="_2149___________________________________________Yazdırma_Alanı_MI">#REF!</definedName>
    <definedName name="_216_____________________________Yazdırma_Alanı_MI" localSheetId="2">#REF!</definedName>
    <definedName name="_216_____________________________Yazdırma_Alanı_MI">#REF!</definedName>
    <definedName name="_2178_________________________________________Yazdırma_Alanı_MI" localSheetId="2">#REF!</definedName>
    <definedName name="_2178_________________________________________Yazdırma_Alanı_MI">#REF!</definedName>
    <definedName name="_219___________________________Yazdırma_Alanı_MI" localSheetId="2">#REF!</definedName>
    <definedName name="_219___________________________Yazdırma_Alanı_MI">#REF!</definedName>
    <definedName name="_21Yazdırma_Alanı_MI" localSheetId="2">#REF!</definedName>
    <definedName name="_21Yazdırma_Alanı_MI">#REF!</definedName>
    <definedName name="_22________________________________________________________________________________________________________Yazdırma_Alanı_MI" localSheetId="2">#REF!</definedName>
    <definedName name="_22________________________________________________________________________________________________________Yazdırma_Alanı_MI">#REF!</definedName>
    <definedName name="_22_____________________________________________________________________________________________Yazdırma_Alanı_MI" localSheetId="2">#REF!</definedName>
    <definedName name="_22_____________________________________________________________________________________________Yazdırma_Alanı_MI">#REF!</definedName>
    <definedName name="_2207_______________________________________Yazdırma_Alanı_MI" localSheetId="2">#REF!</definedName>
    <definedName name="_2207_______________________________________Yazdırma_Alanı_MI">#REF!</definedName>
    <definedName name="_222_________________________Yazdırma_Alanı_MI" localSheetId="2">#REF!</definedName>
    <definedName name="_222_________________________Yazdırma_Alanı_MI">#REF!</definedName>
    <definedName name="_2236_____________________________________Yazdırma_Alanı_MI" localSheetId="2">#REF!</definedName>
    <definedName name="_2236_____________________________________Yazdırma_Alanı_MI">#REF!</definedName>
    <definedName name="_225_______________________Yazdırma_Alanı_MI" localSheetId="2">#REF!</definedName>
    <definedName name="_225_______________________Yazdırma_Alanı_MI">#REF!</definedName>
    <definedName name="_2265___________________________________Yazdırma_Alanı_MI" localSheetId="2">#REF!</definedName>
    <definedName name="_2265___________________________________Yazdırma_Alanı_MI">#REF!</definedName>
    <definedName name="_228______________________Yazdırma_Alanı_MI" localSheetId="2">#REF!</definedName>
    <definedName name="_228______________________Yazdırma_Alanı_MI">#REF!</definedName>
    <definedName name="_2294_________________________________Yazdırma_Alanı_MI" localSheetId="2">#REF!</definedName>
    <definedName name="_2294_________________________________Yazdırma_Alanı_MI">#REF!</definedName>
    <definedName name="_23">#N/A</definedName>
    <definedName name="_23____________________________________________________________________________________________Yazdırma_Alanı_MI" localSheetId="0">#REF!</definedName>
    <definedName name="_23____________________________________________________________________________________________Yazdırma_Alanı_MI" localSheetId="2">#REF!</definedName>
    <definedName name="_23____________________________________________________________________________________________Yazdırma_Alanı_MI">#REF!</definedName>
    <definedName name="_231_____________________Yazdırma_Alanı_MI" localSheetId="2">#REF!</definedName>
    <definedName name="_231_____________________Yazdırma_Alanı_MI">#REF!</definedName>
    <definedName name="_2323_______________________________Yazdırma_Alanı_MI" localSheetId="2">#REF!</definedName>
    <definedName name="_2323_______________________________Yazdırma_Alanı_MI">#REF!</definedName>
    <definedName name="_234____________________Yazdırma_Alanı_MI" localSheetId="2">#REF!</definedName>
    <definedName name="_234____________________Yazdırma_Alanı_MI">#REF!</definedName>
    <definedName name="_2352_____________________________Yazdırma_Alanı_MI" localSheetId="2">#REF!</definedName>
    <definedName name="_2352_____________________________Yazdırma_Alanı_MI">#REF!</definedName>
    <definedName name="_237___________________Yazdırma_Alanı_MI" localSheetId="2">#REF!</definedName>
    <definedName name="_237___________________Yazdırma_Alanı_MI">#REF!</definedName>
    <definedName name="_2381___________________________Yazdırma_Alanı_MI" localSheetId="2">#REF!</definedName>
    <definedName name="_2381___________________________Yazdırma_Alanı_MI">#REF!</definedName>
    <definedName name="_24___________________________________________________________________________________________________________Yazdırma_Alanı_MI" localSheetId="2">#REF!</definedName>
    <definedName name="_24___________________________________________________________________________________________________________Yazdırma_Alanı_MI">#REF!</definedName>
    <definedName name="_24_______________________________________________________________________________________________________Yazdırma_Alanı_MI" localSheetId="2">#REF!</definedName>
    <definedName name="_24_______________________________________________________________________________________________________Yazdırma_Alanı_MI">#REF!</definedName>
    <definedName name="_24___________________________________________________________________________________________Yazdırma_Alanı_MI" localSheetId="2">#REF!</definedName>
    <definedName name="_24___________________________________________________________________________________________Yazdırma_Alanı_MI">#REF!</definedName>
    <definedName name="_240__________________Yazdırma_Alanı_MI" localSheetId="2">#REF!</definedName>
    <definedName name="_240__________________Yazdırma_Alanı_MI">#REF!</definedName>
    <definedName name="_2410_________________________Yazdırma_Alanı_MI" localSheetId="2">#REF!</definedName>
    <definedName name="_2410_________________________Yazdırma_Alanı_MI">#REF!</definedName>
    <definedName name="_243_________________Yazdırma_Alanı_MI" localSheetId="2">#REF!</definedName>
    <definedName name="_243_________________Yazdırma_Alanı_MI">#REF!</definedName>
    <definedName name="_2439_______________________Yazdırma_Alanı_MI" localSheetId="2">#REF!</definedName>
    <definedName name="_2439_______________________Yazdırma_Alanı_MI">#REF!</definedName>
    <definedName name="_245____________________________________________________________________________________________________________Yazdırma_Alanı_MI" localSheetId="2">#REF!</definedName>
    <definedName name="_245____________________________________________________________________________________________________________Yazdırma_Alanı_MI">#REF!</definedName>
    <definedName name="_246________________Yazdırma_Alanı_MI" localSheetId="2">#REF!</definedName>
    <definedName name="_246________________Yazdırma_Alanı_MI">#REF!</definedName>
    <definedName name="_2468______________________Yazdırma_Alanı_MI" localSheetId="2">#REF!</definedName>
    <definedName name="_2468______________________Yazdırma_Alanı_MI">#REF!</definedName>
    <definedName name="_249_______________Yazdırma_Alanı_MI" localSheetId="2">#REF!</definedName>
    <definedName name="_249_______________Yazdırma_Alanı_MI">#REF!</definedName>
    <definedName name="_2497_____________________Yazdırma_Alanı_MI" localSheetId="2">#REF!</definedName>
    <definedName name="_2497_____________________Yazdırma_Alanı_MI">#REF!</definedName>
    <definedName name="_25">#N/A</definedName>
    <definedName name="_25__________________________________________________________________________________________Yazdırma_Alanı_MI" localSheetId="0">#REF!</definedName>
    <definedName name="_25__________________________________________________________________________________________Yazdırma_Alanı_MI" localSheetId="2">#REF!</definedName>
    <definedName name="_25__________________________________________________________________________________________Yazdırma_Alanı_MI">#REF!</definedName>
    <definedName name="_252______________Yazdırma_Alanı_MI" localSheetId="2">#REF!</definedName>
    <definedName name="_252______________Yazdırma_Alanı_MI">#REF!</definedName>
    <definedName name="_2526____________________Yazdırma_Alanı_MI" localSheetId="2">#REF!</definedName>
    <definedName name="_2526____________________Yazdırma_Alanı_MI">#REF!</definedName>
    <definedName name="_255_____________Yazdırma_Alanı_MI" localSheetId="2">#REF!</definedName>
    <definedName name="_255_____________Yazdırma_Alanı_MI">#REF!</definedName>
    <definedName name="_2555___________________Yazdırma_Alanı_MI" localSheetId="2">#REF!</definedName>
    <definedName name="_2555___________________Yazdırma_Alanı_MI">#REF!</definedName>
    <definedName name="_258____________Yazdırma_Alanı_MI" localSheetId="2">#REF!</definedName>
    <definedName name="_258____________Yazdırma_Alanı_MI">#REF!</definedName>
    <definedName name="_2584__________________Yazdırma_Alanı_MI" localSheetId="2">#REF!</definedName>
    <definedName name="_2584__________________Yazdırma_Alanı_MI">#REF!</definedName>
    <definedName name="_26">#N/A</definedName>
    <definedName name="_26______________________________________________________________________________________________________Yazdırma_Alanı_MI" localSheetId="0">#REF!</definedName>
    <definedName name="_26______________________________________________________________________________________________________Yazdırma_Alanı_MI" localSheetId="2">#REF!</definedName>
    <definedName name="_26______________________________________________________________________________________________________Yazdırma_Alanı_MI">#REF!</definedName>
    <definedName name="_26_________________________________________________________________________________________Yazdırma_Alanı_MI" localSheetId="2">#REF!</definedName>
    <definedName name="_26_________________________________________________________________________________________Yazdırma_Alanı_MI">#REF!</definedName>
    <definedName name="_261___________Yazdırma_Alanı_MI" localSheetId="2">#REF!</definedName>
    <definedName name="_261___________Yazdırma_Alanı_MI">#REF!</definedName>
    <definedName name="_2618_________________Yazdırma_Alanı_MI" localSheetId="2">#REF!</definedName>
    <definedName name="_2618_________________Yazdırma_Alanı_MI">#REF!</definedName>
    <definedName name="_264__________Yazdırma_Alanı_MI" localSheetId="2">#REF!</definedName>
    <definedName name="_264__________Yazdırma_Alanı_MI">#REF!</definedName>
    <definedName name="_2652________________Yazdırma_Alanı_MI" localSheetId="2">#REF!</definedName>
    <definedName name="_2652________________Yazdırma_Alanı_MI">#REF!</definedName>
    <definedName name="_267_________Yazdırma_Alanı_MI" localSheetId="2">#REF!</definedName>
    <definedName name="_267_________Yazdırma_Alanı_MI">#REF!</definedName>
    <definedName name="_2686_______________Yazdırma_Alanı_MI" localSheetId="2">#REF!</definedName>
    <definedName name="_2686_______________Yazdırma_Alanı_MI">#REF!</definedName>
    <definedName name="_27">#N/A</definedName>
    <definedName name="_27__________________________________________________________________________________________________________Yazdırma_Alanı_MI" localSheetId="0">#REF!</definedName>
    <definedName name="_27__________________________________________________________________________________________________________Yazdırma_Alanı_MI" localSheetId="2">#REF!</definedName>
    <definedName name="_27__________________________________________________________________________________________________________Yazdırma_Alanı_MI">#REF!</definedName>
    <definedName name="_27________________________________________________________________________________________Yazdırma_Alanı_MI" localSheetId="2">#REF!</definedName>
    <definedName name="_27________________________________________________________________________________________Yazdırma_Alanı_MI">#REF!</definedName>
    <definedName name="_270________Yazdırma_Alanı_MI" localSheetId="2">#REF!</definedName>
    <definedName name="_270________Yazdırma_Alanı_MI">#REF!</definedName>
    <definedName name="_2720______________Yazdırma_Alanı_MI" localSheetId="2">#REF!</definedName>
    <definedName name="_2720______________Yazdırma_Alanı_MI">#REF!</definedName>
    <definedName name="_273_______Yazdırma_Alanı_MI" localSheetId="2">#REF!</definedName>
    <definedName name="_273_______Yazdırma_Alanı_MI">#REF!</definedName>
    <definedName name="_2754_____________Yazdırma_Alanı_MI" localSheetId="2">#REF!</definedName>
    <definedName name="_2754_____________Yazdırma_Alanı_MI">#REF!</definedName>
    <definedName name="_276______Yazdırma_Alanı_MI" localSheetId="2">#REF!</definedName>
    <definedName name="_276______Yazdırma_Alanı_MI">#REF!</definedName>
    <definedName name="_2788____________Yazdırma_Alanı_MI" localSheetId="2">#REF!</definedName>
    <definedName name="_2788____________Yazdırma_Alanı_MI">#REF!</definedName>
    <definedName name="_279_____Yazdırma_Alanı_MI" localSheetId="2">#REF!</definedName>
    <definedName name="_279_____Yazdırma_Alanı_MI">#REF!</definedName>
    <definedName name="_28">#N/A</definedName>
    <definedName name="_28_____________________________________________________________________________________________________Yazdırma_Alanı_MI" localSheetId="0">#REF!</definedName>
    <definedName name="_28_____________________________________________________________________________________________________Yazdırma_Alanı_MI" localSheetId="2">#REF!</definedName>
    <definedName name="_28_____________________________________________________________________________________________________Yazdırma_Alanı_MI">#REF!</definedName>
    <definedName name="_28_______________________________________________________________________________________Yazdırma_Alanı_MI" localSheetId="2">#REF!</definedName>
    <definedName name="_28_______________________________________________________________________________________Yazdırma_Alanı_MI">#REF!</definedName>
    <definedName name="_280___________________________________________________________________________________________________________Yazdırma_Alanı_MI" localSheetId="2">#REF!</definedName>
    <definedName name="_280___________________________________________________________________________________________________________Yazdırma_Alanı_MI">#REF!</definedName>
    <definedName name="_282____Yazdırma_Alanı_MI" localSheetId="2">#REF!</definedName>
    <definedName name="_282____Yazdırma_Alanı_MI">#REF!</definedName>
    <definedName name="_2822___________Yazdırma_Alanı_MI" localSheetId="2">#REF!</definedName>
    <definedName name="_2822___________Yazdırma_Alanı_MI">#REF!</definedName>
    <definedName name="_285___Yazdırma_Alanı_MI" localSheetId="2">#REF!</definedName>
    <definedName name="_285___Yazdırma_Alanı_MI">#REF!</definedName>
    <definedName name="_2856__________Yazdırma_Alanı_MI" localSheetId="2">#REF!</definedName>
    <definedName name="_2856__________Yazdırma_Alanı_MI">#REF!</definedName>
    <definedName name="_288__Yazdırma_Alanı_MI" localSheetId="2">#REF!</definedName>
    <definedName name="_288__Yazdırma_Alanı_MI">#REF!</definedName>
    <definedName name="_2890_________Yazdırma_Alanı_MI" localSheetId="2">#REF!</definedName>
    <definedName name="_2890_________Yazdırma_Alanı_MI">#REF!</definedName>
    <definedName name="_28Yazdırma_Alanı_MI" localSheetId="2">#REF!</definedName>
    <definedName name="_28Yazdırma_Alanı_MI">#REF!</definedName>
    <definedName name="_29______________________________________________________________________________________Yazdırma_Alanı_MI" localSheetId="2">#REF!</definedName>
    <definedName name="_29______________________________________________________________________________________Yazdırma_Alanı_MI">#REF!</definedName>
    <definedName name="_291_Yazdırma_Alanı_MI" localSheetId="2">#REF!</definedName>
    <definedName name="_291_Yazdırma_Alanı_MI">#REF!</definedName>
    <definedName name="_2924________Yazdırma_Alanı_MI" localSheetId="2">#REF!</definedName>
    <definedName name="_2924________Yazdırma_Alanı_MI">#REF!</definedName>
    <definedName name="_294Yazdırma_Alanı_MI" localSheetId="2">#REF!</definedName>
    <definedName name="_294Yazdırma_Alanı_MI">#REF!</definedName>
    <definedName name="_2958_______Yazdırma_Alanı_MI" localSheetId="2">#REF!</definedName>
    <definedName name="_2958_______Yazdırma_Alanı_MI">#REF!</definedName>
    <definedName name="_2992______Yazdırma_Alanı_MI" localSheetId="2">#REF!</definedName>
    <definedName name="_2992______Yazdırma_Alanı_MI">#REF!</definedName>
    <definedName name="_29Yazdırma_Alanı_MI" localSheetId="2">#REF!</definedName>
    <definedName name="_29Yazdırma_Alanı_MI">#REF!</definedName>
    <definedName name="_2Yazdırma_Alanı_MI" localSheetId="2">#REF!</definedName>
    <definedName name="_2Yazdırma_Alanı_MI">#REF!</definedName>
    <definedName name="_3">#N/A</definedName>
    <definedName name="_3__________________________________________________________________________________________________________________Yazdırma_Alanı_MI" localSheetId="0">#REF!</definedName>
    <definedName name="_3__________________________________________________________________________________________________________________Yazdırma_Alanı_MI" localSheetId="2">#REF!</definedName>
    <definedName name="_3__________________________________________________________________________________________________________________Yazdırma_Alanı_MI">#REF!</definedName>
    <definedName name="_3________________________________________________________________________________________________________________Yazdırma_Alanı_MI" localSheetId="2">#REF!</definedName>
    <definedName name="_3________________________________________________________________________________________________________________Yazdırma_Alanı_MI">#REF!</definedName>
    <definedName name="_30_________________________________________________________________________________________________________Yazdırma_Alanı_MI" localSheetId="2">#REF!</definedName>
    <definedName name="_30_________________________________________________________________________________________________________Yazdırma_Alanı_MI">#REF!</definedName>
    <definedName name="_30____________________________________________________________________________________________________Yazdırma_Alanı_MI" localSheetId="2">#REF!</definedName>
    <definedName name="_30____________________________________________________________________________________________________Yazdırma_Alanı_MI">#REF!</definedName>
    <definedName name="_30_____________________________________________________________________________________Yazdırma_Alanı_MI" localSheetId="2">#REF!</definedName>
    <definedName name="_30_____________________________________________________________________________________Yazdırma_Alanı_MI">#REF!</definedName>
    <definedName name="_3026_____Yazdırma_Alanı_MI" localSheetId="2">#REF!</definedName>
    <definedName name="_3026_____Yazdırma_Alanı_MI">#REF!</definedName>
    <definedName name="_3060____Yazdırma_Alanı_MI" localSheetId="2">#REF!</definedName>
    <definedName name="_3060____Yazdırma_Alanı_MI">#REF!</definedName>
    <definedName name="_3094___Yazdırma_Alanı_MI" localSheetId="2">#REF!</definedName>
    <definedName name="_3094___Yazdırma_Alanı_MI">#REF!</definedName>
    <definedName name="_31">#N/A</definedName>
    <definedName name="_31____________________________________________________________________________________Yazdırma_Alanı_MI" localSheetId="0">#REF!</definedName>
    <definedName name="_31____________________________________________________________________________________Yazdırma_Alanı_MI" localSheetId="2">#REF!</definedName>
    <definedName name="_31____________________________________________________________________________________Yazdırma_Alanı_MI">#REF!</definedName>
    <definedName name="_3128__Yazdırma_Alanı_MI" localSheetId="2">#REF!</definedName>
    <definedName name="_3128__Yazdırma_Alanı_MI">#REF!</definedName>
    <definedName name="_315__________________________________________________________________________________________________________Yazdırma_Alanı_MI" localSheetId="2">#REF!</definedName>
    <definedName name="_315__________________________________________________________________________________________________________Yazdırma_Alanı_MI">#REF!</definedName>
    <definedName name="_3162_Yazdırma_Alanı_MI" localSheetId="2">#REF!</definedName>
    <definedName name="_3162_Yazdırma_Alanı_MI">#REF!</definedName>
    <definedName name="_32">#N/A</definedName>
    <definedName name="_32___________________________________________________________________________________________________Yazdırma_Alanı_MI" localSheetId="0">#REF!</definedName>
    <definedName name="_32___________________________________________________________________________________________________Yazdırma_Alanı_MI" localSheetId="2">#REF!</definedName>
    <definedName name="_32___________________________________________________________________________________________________Yazdırma_Alanı_MI">#REF!</definedName>
    <definedName name="_32___________________________________________________________________________________Yazdırma_Alanı_MI" localSheetId="2">#REF!</definedName>
    <definedName name="_32___________________________________________________________________________________Yazdırma_Alanı_MI">#REF!</definedName>
    <definedName name="_3239Yazdırma_Alanı_MI" localSheetId="2">#REF!</definedName>
    <definedName name="_3239Yazdırma_Alanı_MI">#REF!</definedName>
    <definedName name="_33">#N/A</definedName>
    <definedName name="_33________________________________________________________________________________________________________Yazdırma_Alanı_MI" localSheetId="0">#REF!</definedName>
    <definedName name="_33________________________________________________________________________________________________________Yazdırma_Alanı_MI" localSheetId="2">#REF!</definedName>
    <definedName name="_33________________________________________________________________________________________________________Yazdırma_Alanı_MI">#REF!</definedName>
    <definedName name="_33__________________________________________________________________________________Yazdırma_Alanı_MI" localSheetId="2">#REF!</definedName>
    <definedName name="_33__________________________________________________________________________________Yazdırma_Alanı_MI">#REF!</definedName>
    <definedName name="_34__________________________________________________________________________________________________Yazdırma_Alanı_MI" localSheetId="2">#REF!</definedName>
    <definedName name="_34__________________________________________________________________________________________________Yazdırma_Alanı_MI">#REF!</definedName>
    <definedName name="_34_________________________________________________________________________________Yazdırma_Alanı_MI" localSheetId="2">#REF!</definedName>
    <definedName name="_34_________________________________________________________________________________Yazdırma_Alanı_MI">#REF!</definedName>
    <definedName name="_35">#N/A</definedName>
    <definedName name="_35__________________________________________________________________________________________________________________Yazdırma_Alanı_MI" localSheetId="0">#REF!</definedName>
    <definedName name="_35__________________________________________________________________________________________________________________Yazdırma_Alanı_MI" localSheetId="2">#REF!</definedName>
    <definedName name="_35__________________________________________________________________________________________________________________Yazdırma_Alanı_MI">#REF!</definedName>
    <definedName name="_35________________________________________________________________________________Yazdırma_Alanı_MI" localSheetId="2">#REF!</definedName>
    <definedName name="_35________________________________________________________________________________Yazdırma_Alanı_MI">#REF!</definedName>
    <definedName name="_350_________________________________________________________________________________________________________Yazdırma_Alanı_MI" localSheetId="2">#REF!</definedName>
    <definedName name="_350_________________________________________________________________________________________________________Yazdırma_Alanı_MI">#REF!</definedName>
    <definedName name="_36_______________________________________________________________________________________________________Yazdırma_Alanı_MI" localSheetId="2">#REF!</definedName>
    <definedName name="_36_______________________________________________________________________________________________________Yazdırma_Alanı_MI">#REF!</definedName>
    <definedName name="_36_________________________________________________________________________________________________Yazdırma_Alanı_MI" localSheetId="2">#REF!</definedName>
    <definedName name="_36_________________________________________________________________________________________________Yazdırma_Alanı_MI">#REF!</definedName>
    <definedName name="_36_______________________________________________________________________________Yazdırma_Alanı_MI" localSheetId="2">#REF!</definedName>
    <definedName name="_36_______________________________________________________________________________Yazdırma_Alanı_MI">#REF!</definedName>
    <definedName name="_36A">#N/A</definedName>
    <definedName name="_37">#N/A</definedName>
    <definedName name="_37______________________________________________________________________________Yazdırma_Alanı_MI" localSheetId="0">#REF!</definedName>
    <definedName name="_37______________________________________________________________________________Yazdırma_Alanı_MI" localSheetId="2">#REF!</definedName>
    <definedName name="_37______________________________________________________________________________Yazdırma_Alanı_MI">#REF!</definedName>
    <definedName name="_38">#N/A</definedName>
    <definedName name="_38________________________________________________________________________________________________Yazdırma_Alanı_MI" localSheetId="0">#REF!</definedName>
    <definedName name="_38________________________________________________________________________________________________Yazdırma_Alanı_MI" localSheetId="2">#REF!</definedName>
    <definedName name="_38________________________________________________________________________________________________Yazdırma_Alanı_MI">#REF!</definedName>
    <definedName name="_38_____________________________________________________________________________Yazdırma_Alanı_MI" localSheetId="2">#REF!</definedName>
    <definedName name="_38_____________________________________________________________________________Yazdırma_Alanı_MI">#REF!</definedName>
    <definedName name="_385________________________________________________________________________________________________________Yazdırma_Alanı_MI" localSheetId="2">#REF!</definedName>
    <definedName name="_385________________________________________________________________________________________________________Yazdırma_Alanı_MI">#REF!</definedName>
    <definedName name="_39">#N/A</definedName>
    <definedName name="_39______________________________________________________________________________________________________Yazdırma_Alanı_MI" localSheetId="0">#REF!</definedName>
    <definedName name="_39______________________________________________________________________________________________________Yazdırma_Alanı_MI" localSheetId="2">#REF!</definedName>
    <definedName name="_39______________________________________________________________________________________________________Yazdırma_Alanı_MI">#REF!</definedName>
    <definedName name="_39____________________________________________________________________________Yazdırma_Alanı_MI" localSheetId="2">#REF!</definedName>
    <definedName name="_39____________________________________________________________________________Yazdırma_Alanı_MI">#REF!</definedName>
    <definedName name="_3Yazdırma_Alanı_MI" localSheetId="2">#REF!</definedName>
    <definedName name="_3Yazdırma_Alanı_MI">#REF!</definedName>
    <definedName name="_4">#N/A</definedName>
    <definedName name="_4_________________________________________________________________________________________________________________Yazdırma_Alanı_MI" localSheetId="0">#REF!</definedName>
    <definedName name="_4_________________________________________________________________________________________________________________Yazdırma_Alanı_MI" localSheetId="2">#REF!</definedName>
    <definedName name="_4_________________________________________________________________________________________________________________Yazdırma_Alanı_MI">#REF!</definedName>
    <definedName name="_4_______________________________________________________________________________________________________________Yazdırma_Alanı_MI" localSheetId="2">#REF!</definedName>
    <definedName name="_4_______________________________________________________________________________________________________________Yazdırma_Alanı_MI">#REF!</definedName>
    <definedName name="_40">#N/A</definedName>
    <definedName name="_40_______________________________________________________________________________________________Yazdırma_Alanı_MI" localSheetId="0">#REF!</definedName>
    <definedName name="_40_______________________________________________________________________________________________Yazdırma_Alanı_MI" localSheetId="2">#REF!</definedName>
    <definedName name="_40_______________________________________________________________________________________________Yazdırma_Alanı_MI">#REF!</definedName>
    <definedName name="_40___________________________________________________________________________Yazdırma_Alanı_MI" localSheetId="2">#REF!</definedName>
    <definedName name="_40___________________________________________________________________________Yazdırma_Alanı_MI">#REF!</definedName>
    <definedName name="_41">#N/A</definedName>
    <definedName name="_41__________________________________________________________________________Yazdırma_Alanı_MI" localSheetId="0">#REF!</definedName>
    <definedName name="_41__________________________________________________________________________Yazdırma_Alanı_MI" localSheetId="2">#REF!</definedName>
    <definedName name="_41__________________________________________________________________________Yazdırma_Alanı_MI">#REF!</definedName>
    <definedName name="_42_____________________________________________________________________________________________________Yazdırma_Alanı_MI" localSheetId="2">#REF!</definedName>
    <definedName name="_42_____________________________________________________________________________________________________Yazdırma_Alanı_MI">#REF!</definedName>
    <definedName name="_42______________________________________________________________________________________________Yazdırma_Alanı_MI" localSheetId="2">#REF!</definedName>
    <definedName name="_42______________________________________________________________________________________________Yazdırma_Alanı_MI">#REF!</definedName>
    <definedName name="_42_________________________________________________________________________Yazdırma_Alanı_MI" localSheetId="2">#REF!</definedName>
    <definedName name="_42_________________________________________________________________________Yazdırma_Alanı_MI">#REF!</definedName>
    <definedName name="_420_______________________________________________________________________________________________________Yazdırma_Alanı_MI" localSheetId="2">#REF!</definedName>
    <definedName name="_420_______________________________________________________________________________________________________Yazdırma_Alanı_MI">#REF!</definedName>
    <definedName name="_43________________________________________________________________________Yazdırma_Alanı_MI" localSheetId="2">#REF!</definedName>
    <definedName name="_43________________________________________________________________________Yazdırma_Alanı_MI">#REF!</definedName>
    <definedName name="_44_____________________________________________________________________________________________Yazdırma_Alanı_MI" localSheetId="2">#REF!</definedName>
    <definedName name="_44_____________________________________________________________________________________________Yazdırma_Alanı_MI">#REF!</definedName>
    <definedName name="_44_______________________________________________________________________Yazdırma_Alanı_MI" localSheetId="2">#REF!</definedName>
    <definedName name="_44_______________________________________________________________________Yazdırma_Alanı_MI">#REF!</definedName>
    <definedName name="_45____________________________________________________________________________________________________Yazdırma_Alanı_MI" localSheetId="2">#REF!</definedName>
    <definedName name="_45____________________________________________________________________________________________________Yazdırma_Alanı_MI">#REF!</definedName>
    <definedName name="_45______________________________________________________________________Yazdırma_Alanı_MI" localSheetId="2">#REF!</definedName>
    <definedName name="_45______________________________________________________________________Yazdırma_Alanı_MI">#REF!</definedName>
    <definedName name="_455______________________________________________________________________________________________________Yazdırma_Alanı_MI" localSheetId="2">#REF!</definedName>
    <definedName name="_455______________________________________________________________________________________________________Yazdırma_Alanı_MI">#REF!</definedName>
    <definedName name="_46">#N/A</definedName>
    <definedName name="_46____________________________________________________________________________________________Yazdırma_Alanı_MI" localSheetId="0">#REF!</definedName>
    <definedName name="_46____________________________________________________________________________________________Yazdırma_Alanı_MI" localSheetId="2">#REF!</definedName>
    <definedName name="_46____________________________________________________________________________________________Yazdırma_Alanı_MI">#REF!</definedName>
    <definedName name="_46_____________________________________________________________________Yazdırma_Alanı_MI" localSheetId="2">#REF!</definedName>
    <definedName name="_46_____________________________________________________________________Yazdırma_Alanı_MI">#REF!</definedName>
    <definedName name="_47____________________________________________________________________Yazdırma_Alanı_MI" localSheetId="2">#REF!</definedName>
    <definedName name="_47____________________________________________________________________Yazdırma_Alanı_MI">#REF!</definedName>
    <definedName name="_47A">#N/A</definedName>
    <definedName name="_48">#N/A</definedName>
    <definedName name="_48___________________________________________________________________________________________________Yazdırma_Alanı_MI" localSheetId="0">#REF!</definedName>
    <definedName name="_48___________________________________________________________________________________________________Yazdırma_Alanı_MI" localSheetId="2">#REF!</definedName>
    <definedName name="_48___________________________________________________________________________________________________Yazdırma_Alanı_MI">#REF!</definedName>
    <definedName name="_48___________________________________________________________________________________________Yazdırma_Alanı_MI" localSheetId="2">#REF!</definedName>
    <definedName name="_48___________________________________________________________________________________________Yazdırma_Alanı_MI">#REF!</definedName>
    <definedName name="_48___________________________________________________________________Yazdırma_Alanı_MI" localSheetId="2">#REF!</definedName>
    <definedName name="_48___________________________________________________________________Yazdırma_Alanı_MI">#REF!</definedName>
    <definedName name="_49__________________________________________________________________Yazdırma_Alanı_MI" localSheetId="2">#REF!</definedName>
    <definedName name="_49__________________________________________________________________Yazdırma_Alanı_MI">#REF!</definedName>
    <definedName name="_490_____________________________________________________________________________________________________Yazdırma_Alanı_MI" localSheetId="2">#REF!</definedName>
    <definedName name="_490_____________________________________________________________________________________________________Yazdırma_Alanı_MI">#REF!</definedName>
    <definedName name="_4Yazdırma_Alanı_MI" localSheetId="2">#REF!</definedName>
    <definedName name="_4Yazdırma_Alanı_MI">#REF!</definedName>
    <definedName name="_5">#N/A</definedName>
    <definedName name="_5______________________________________________________________________________________________________________Yazdırma_Alanı_MI" localSheetId="0">#REF!</definedName>
    <definedName name="_5______________________________________________________________________________________________________________Yazdırma_Alanı_MI" localSheetId="2">#REF!</definedName>
    <definedName name="_5______________________________________________________________________________________________________________Yazdırma_Alanı_MI">#REF!</definedName>
    <definedName name="_50__________________________________________________________________________________________Yazdırma_Alanı_MI" localSheetId="2">#REF!</definedName>
    <definedName name="_50__________________________________________________________________________________________Yazdırma_Alanı_MI">#REF!</definedName>
    <definedName name="_50_________________________________________________________________Yazdırma_Alanı_MI" localSheetId="2">#REF!</definedName>
    <definedName name="_50_________________________________________________________________Yazdırma_Alanı_MI">#REF!</definedName>
    <definedName name="_51">#N/A</definedName>
    <definedName name="_51__________________________________________________________________________________________________Yazdırma_Alanı_MI" localSheetId="0">#REF!</definedName>
    <definedName name="_51__________________________________________________________________________________________________Yazdırma_Alanı_MI" localSheetId="2">#REF!</definedName>
    <definedName name="_51__________________________________________________________________________________________________Yazdırma_Alanı_MI">#REF!</definedName>
    <definedName name="_51________________________________________________________________Yazdırma_Alanı_MI" localSheetId="2">#REF!</definedName>
    <definedName name="_51________________________________________________________________Yazdırma_Alanı_MI">#REF!</definedName>
    <definedName name="_52">#N/A</definedName>
    <definedName name="_52_________________________________________________________________________________________Yazdırma_Alanı_MI" localSheetId="0">#REF!</definedName>
    <definedName name="_52_________________________________________________________________________________________Yazdırma_Alanı_MI" localSheetId="2">#REF!</definedName>
    <definedName name="_52_________________________________________________________________________________________Yazdırma_Alanı_MI">#REF!</definedName>
    <definedName name="_52_______________________________________________________________Yazdırma_Alanı_MI" localSheetId="2">#REF!</definedName>
    <definedName name="_52_______________________________________________________________Yazdırma_Alanı_MI">#REF!</definedName>
    <definedName name="_525____________________________________________________________________________________________________Yazdırma_Alanı_MI" localSheetId="2">#REF!</definedName>
    <definedName name="_525____________________________________________________________________________________________________Yazdırma_Alanı_MI">#REF!</definedName>
    <definedName name="_53_____________________________________________________________Yazdırma_Alanı_MI" localSheetId="2">#REF!</definedName>
    <definedName name="_53_____________________________________________________________Yazdırma_Alanı_MI">#REF!</definedName>
    <definedName name="_54_________________________________________________________________________________________________Yazdırma_Alanı_MI" localSheetId="2">#REF!</definedName>
    <definedName name="_54_________________________________________________________________________________________________Yazdırma_Alanı_MI">#REF!</definedName>
    <definedName name="_54________________________________________________________________________________________Yazdırma_Alanı_MI" localSheetId="2">#REF!</definedName>
    <definedName name="_54________________________________________________________________________________________Yazdırma_Alanı_MI">#REF!</definedName>
    <definedName name="_54___________________________________________________________Yazdırma_Alanı_MI" localSheetId="2">#REF!</definedName>
    <definedName name="_54___________________________________________________________Yazdırma_Alanı_MI">#REF!</definedName>
    <definedName name="_55_________________________________________________________Yazdırma_Alanı_MI" localSheetId="2">#REF!</definedName>
    <definedName name="_55_________________________________________________________Yazdırma_Alanı_MI">#REF!</definedName>
    <definedName name="_56_______________________________________________________________________________________Yazdırma_Alanı_MI" localSheetId="2">#REF!</definedName>
    <definedName name="_56_______________________________________________________________________________________Yazdırma_Alanı_MI">#REF!</definedName>
    <definedName name="_56_______________________________________________________Yazdırma_Alanı_MI" localSheetId="2">#REF!</definedName>
    <definedName name="_56_______________________________________________________Yazdırma_Alanı_MI">#REF!</definedName>
    <definedName name="_560___________________________________________________________________________________________________Yazdırma_Alanı_MI" localSheetId="2">#REF!</definedName>
    <definedName name="_560___________________________________________________________________________________________________Yazdırma_Alanı_MI">#REF!</definedName>
    <definedName name="_57________________________________________________________________________________________________Yazdırma_Alanı_MI" localSheetId="2">#REF!</definedName>
    <definedName name="_57________________________________________________________________________________________________Yazdırma_Alanı_MI">#REF!</definedName>
    <definedName name="_57_____________________________________________________Yazdırma_Alanı_MI" localSheetId="2">#REF!</definedName>
    <definedName name="_57_____________________________________________________Yazdırma_Alanı_MI">#REF!</definedName>
    <definedName name="_58______________________________________________________________________________________Yazdırma_Alanı_MI" localSheetId="2">#REF!</definedName>
    <definedName name="_58______________________________________________________________________________________Yazdırma_Alanı_MI">#REF!</definedName>
    <definedName name="_58____________________________________________________Yazdırma_Alanı_MI" localSheetId="2">#REF!</definedName>
    <definedName name="_58____________________________________________________Yazdırma_Alanı_MI">#REF!</definedName>
    <definedName name="_59___________________________________________________Yazdırma_Alanı_MI" localSheetId="2">#REF!</definedName>
    <definedName name="_59___________________________________________________Yazdırma_Alanı_MI">#REF!</definedName>
    <definedName name="_595__________________________________________________________________________________________________Yazdırma_Alanı_MI" localSheetId="2">#REF!</definedName>
    <definedName name="_595__________________________________________________________________________________________________Yazdırma_Alanı_MI">#REF!</definedName>
    <definedName name="_5Yazdırma_Alanı_MI" localSheetId="2">#REF!</definedName>
    <definedName name="_5Yazdırma_Alanı_MI">#REF!</definedName>
    <definedName name="_6">#N/A</definedName>
    <definedName name="_6_________________________________________________________________________________________________________________Yazdırma_Alanı_MI" localSheetId="0">#REF!</definedName>
    <definedName name="_6_________________________________________________________________________________________________________________Yazdırma_Alanı_MI" localSheetId="2">#REF!</definedName>
    <definedName name="_6_________________________________________________________________________________________________________________Yazdırma_Alanı_MI">#REF!</definedName>
    <definedName name="_6________________________________________________________________________________________________________________Yazdırma_Alanı_MI" localSheetId="2">#REF!</definedName>
    <definedName name="_6________________________________________________________________________________________________________________Yazdırma_Alanı_MI">#REF!</definedName>
    <definedName name="_6_____________________________________________________________________________________________________________Yazdırma_Alanı_MI" localSheetId="2">#REF!</definedName>
    <definedName name="_6_____________________________________________________________________________________________________________Yazdırma_Alanı_MI">#REF!</definedName>
    <definedName name="_60_______________________________________________________________________________________________Yazdırma_Alanı_MI" localSheetId="2">#REF!</definedName>
    <definedName name="_60_______________________________________________________________________________________________Yazdırma_Alanı_MI">#REF!</definedName>
    <definedName name="_60_____________________________________________________________________________________Yazdırma_Alanı_MI" localSheetId="2">#REF!</definedName>
    <definedName name="_60_____________________________________________________________________________________Yazdırma_Alanı_MI">#REF!</definedName>
    <definedName name="_60__________________________________________________Yazdırma_Alanı_MI" localSheetId="2">#REF!</definedName>
    <definedName name="_60__________________________________________________Yazdırma_Alanı_MI">#REF!</definedName>
    <definedName name="_61_________________________________________________Yazdırma_Alanı_MI" localSheetId="2">#REF!</definedName>
    <definedName name="_61_________________________________________________Yazdırma_Alanı_MI">#REF!</definedName>
    <definedName name="_62____________________________________________________________________________________Yazdırma_Alanı_MI" localSheetId="2">#REF!</definedName>
    <definedName name="_62____________________________________________________________________________________Yazdırma_Alanı_MI">#REF!</definedName>
    <definedName name="_62________________________________________________Yazdırma_Alanı_MI" localSheetId="2">#REF!</definedName>
    <definedName name="_62________________________________________________Yazdırma_Alanı_MI">#REF!</definedName>
    <definedName name="_63______________________________________________________________________________________________Yazdırma_Alanı_MI" localSheetId="2">#REF!</definedName>
    <definedName name="_63______________________________________________________________________________________________Yazdırma_Alanı_MI">#REF!</definedName>
    <definedName name="_63_______________________________________________Yazdırma_Alanı_MI" localSheetId="2">#REF!</definedName>
    <definedName name="_63_______________________________________________Yazdırma_Alanı_MI">#REF!</definedName>
    <definedName name="_630_________________________________________________________________________________________________Yazdırma_Alanı_MI" localSheetId="2">#REF!</definedName>
    <definedName name="_630_________________________________________________________________________________________________Yazdırma_Alanı_MI">#REF!</definedName>
    <definedName name="_64___________________________________________________________________________________Yazdırma_Alanı_MI" localSheetId="2">#REF!</definedName>
    <definedName name="_64___________________________________________________________________________________Yazdırma_Alanı_MI">#REF!</definedName>
    <definedName name="_64_____________________________________________Yazdırma_Alanı_MI" localSheetId="2">#REF!</definedName>
    <definedName name="_64_____________________________________________Yazdırma_Alanı_MI">#REF!</definedName>
    <definedName name="_65___________________________________________Yazdırma_Alanı_MI" localSheetId="2">#REF!</definedName>
    <definedName name="_65___________________________________________Yazdırma_Alanı_MI">#REF!</definedName>
    <definedName name="_66_____________________________________________________________________________________________Yazdırma_Alanı_MI" localSheetId="2">#REF!</definedName>
    <definedName name="_66_____________________________________________________________________________________________Yazdırma_Alanı_MI">#REF!</definedName>
    <definedName name="_66__________________________________________________________________________________Yazdırma_Alanı_MI" localSheetId="2">#REF!</definedName>
    <definedName name="_66__________________________________________________________________________________Yazdırma_Alanı_MI">#REF!</definedName>
    <definedName name="_66_________________________________________Yazdırma_Alanı_MI" localSheetId="2">#REF!</definedName>
    <definedName name="_66_________________________________________Yazdırma_Alanı_MI">#REF!</definedName>
    <definedName name="_665________________________________________________________________________________________________Yazdırma_Alanı_MI" localSheetId="2">#REF!</definedName>
    <definedName name="_665________________________________________________________________________________________________Yazdırma_Alanı_MI">#REF!</definedName>
    <definedName name="_67_______________________________________Yazdırma_Alanı_MI" localSheetId="2">#REF!</definedName>
    <definedName name="_67_______________________________________Yazdırma_Alanı_MI">#REF!</definedName>
    <definedName name="_68_________________________________________________________________________________Yazdırma_Alanı_MI" localSheetId="2">#REF!</definedName>
    <definedName name="_68_________________________________________________________________________________Yazdırma_Alanı_MI">#REF!</definedName>
    <definedName name="_68_____________________________________Yazdırma_Alanı_MI" localSheetId="2">#REF!</definedName>
    <definedName name="_68_____________________________________Yazdırma_Alanı_MI">#REF!</definedName>
    <definedName name="_69____________________________________________________________________________________________Yazdırma_Alanı_MI" localSheetId="2">#REF!</definedName>
    <definedName name="_69____________________________________________________________________________________________Yazdırma_Alanı_MI">#REF!</definedName>
    <definedName name="_69___________________________________Yazdırma_Alanı_MI" localSheetId="2">#REF!</definedName>
    <definedName name="_69___________________________________Yazdırma_Alanı_MI">#REF!</definedName>
    <definedName name="_6Yazdırma_Alanı_MI" localSheetId="2">#REF!</definedName>
    <definedName name="_6Yazdırma_Alanı_MI">#REF!</definedName>
    <definedName name="_7">#N/A</definedName>
    <definedName name="_7____________________________________________________________________________________________________________Yazdırma_Alanı_MI" localSheetId="0">#REF!</definedName>
    <definedName name="_7____________________________________________________________________________________________________________Yazdırma_Alanı_MI" localSheetId="2">#REF!</definedName>
    <definedName name="_7____________________________________________________________________________________________________________Yazdırma_Alanı_MI">#REF!</definedName>
    <definedName name="_70_________________________________________________________________________________________________________________Yazdırma_Alanı_MI" localSheetId="2">#REF!</definedName>
    <definedName name="_70_________________________________________________________________________________________________________________Yazdırma_Alanı_MI">#REF!</definedName>
    <definedName name="_70________________________________________________________________________________Yazdırma_Alanı_MI" localSheetId="2">#REF!</definedName>
    <definedName name="_70________________________________________________________________________________Yazdırma_Alanı_MI">#REF!</definedName>
    <definedName name="_70_________________________________Yazdırma_Alanı_MI" localSheetId="2">#REF!</definedName>
    <definedName name="_70_________________________________Yazdırma_Alanı_MI">#REF!</definedName>
    <definedName name="_700_______________________________________________________________________________________________Yazdırma_Alanı_MI" localSheetId="2">#REF!</definedName>
    <definedName name="_700_______________________________________________________________________________________________Yazdırma_Alanı_MI">#REF!</definedName>
    <definedName name="_71_______________________________Yazdırma_Alanı_MI" localSheetId="2">#REF!</definedName>
    <definedName name="_71_______________________________Yazdırma_Alanı_MI">#REF!</definedName>
    <definedName name="_72___________________________________________________________________________________________Yazdırma_Alanı_MI" localSheetId="2">#REF!</definedName>
    <definedName name="_72___________________________________________________________________________________________Yazdırma_Alanı_MI">#REF!</definedName>
    <definedName name="_72_______________________________________________________________________________Yazdırma_Alanı_MI" localSheetId="2">#REF!</definedName>
    <definedName name="_72_______________________________________________________________________________Yazdırma_Alanı_MI">#REF!</definedName>
    <definedName name="_72_____________________________Yazdırma_Alanı_MI" localSheetId="2">#REF!</definedName>
    <definedName name="_72_____________________________Yazdırma_Alanı_MI">#REF!</definedName>
    <definedName name="_73___________________________Yazdırma_Alanı_MI" localSheetId="2">#REF!</definedName>
    <definedName name="_73___________________________Yazdırma_Alanı_MI">#REF!</definedName>
    <definedName name="_735______________________________________________________________________________________________Yazdırma_Alanı_MI" localSheetId="2">#REF!</definedName>
    <definedName name="_735______________________________________________________________________________________________Yazdırma_Alanı_MI">#REF!</definedName>
    <definedName name="_74______________________________________________________________________________Yazdırma_Alanı_MI" localSheetId="2">#REF!</definedName>
    <definedName name="_74______________________________________________________________________________Yazdırma_Alanı_MI">#REF!</definedName>
    <definedName name="_74_________________________Yazdırma_Alanı_MI" localSheetId="2">#REF!</definedName>
    <definedName name="_74_________________________Yazdırma_Alanı_MI">#REF!</definedName>
    <definedName name="_75__________________________________________________________________________________________Yazdırma_Alanı_MI" localSheetId="2">#REF!</definedName>
    <definedName name="_75__________________________________________________________________________________________Yazdırma_Alanı_MI">#REF!</definedName>
    <definedName name="_75_______________________Yazdırma_Alanı_MI" localSheetId="2">#REF!</definedName>
    <definedName name="_75_______________________Yazdırma_Alanı_MI">#REF!</definedName>
    <definedName name="_76_____________________________________________________________________________Yazdırma_Alanı_MI" localSheetId="2">#REF!</definedName>
    <definedName name="_76_____________________________________________________________________________Yazdırma_Alanı_MI">#REF!</definedName>
    <definedName name="_76______________________Yazdırma_Alanı_MI" localSheetId="2">#REF!</definedName>
    <definedName name="_76______________________Yazdırma_Alanı_MI">#REF!</definedName>
    <definedName name="_77_____________________Yazdırma_Alanı_MI" localSheetId="2">#REF!</definedName>
    <definedName name="_77_____________________Yazdırma_Alanı_MI">#REF!</definedName>
    <definedName name="_770_____________________________________________________________________________________________Yazdırma_Alanı_MI" localSheetId="2">#REF!</definedName>
    <definedName name="_770_____________________________________________________________________________________________Yazdırma_Alanı_MI">#REF!</definedName>
    <definedName name="_78_________________________________________________________________________________________Yazdırma_Alanı_MI" localSheetId="2">#REF!</definedName>
    <definedName name="_78_________________________________________________________________________________________Yazdırma_Alanı_MI">#REF!</definedName>
    <definedName name="_78____________________________________________________________________________Yazdırma_Alanı_MI" localSheetId="2">#REF!</definedName>
    <definedName name="_78____________________________________________________________________________Yazdırma_Alanı_MI">#REF!</definedName>
    <definedName name="_78____________________Yazdırma_Alanı_MI" localSheetId="2">#REF!</definedName>
    <definedName name="_78____________________Yazdırma_Alanı_MI">#REF!</definedName>
    <definedName name="_79___________________Yazdırma_Alanı_MI" localSheetId="2">#REF!</definedName>
    <definedName name="_79___________________Yazdırma_Alanı_MI">#REF!</definedName>
    <definedName name="_7A">#N/A</definedName>
    <definedName name="_8">#N/A</definedName>
    <definedName name="_8_______________________________________________________________________________________________________________Yazdırma_Alanı_MI" localSheetId="0">#REF!</definedName>
    <definedName name="_8_______________________________________________________________________________________________________________Yazdırma_Alanı_MI" localSheetId="2">#REF!</definedName>
    <definedName name="_8_______________________________________________________________________________________________________________Yazdırma_Alanı_MI">#REF!</definedName>
    <definedName name="_8___________________________________________________________________________________________________________Yazdırma_Alanı_MI" localSheetId="2">#REF!</definedName>
    <definedName name="_8___________________________________________________________________________________________________________Yazdırma_Alanı_MI">#REF!</definedName>
    <definedName name="_80___________________________________________________________________________Yazdırma_Alanı_MI" localSheetId="2">#REF!</definedName>
    <definedName name="_80___________________________________________________________________________Yazdırma_Alanı_MI">#REF!</definedName>
    <definedName name="_80__________________Yazdırma_Alanı_MI" localSheetId="2">#REF!</definedName>
    <definedName name="_80__________________Yazdırma_Alanı_MI">#REF!</definedName>
    <definedName name="_805____________________________________________________________________________________________Yazdırma_Alanı_MI" localSheetId="2">#REF!</definedName>
    <definedName name="_805____________________________________________________________________________________________Yazdırma_Alanı_MI">#REF!</definedName>
    <definedName name="_81________________________________________________________________________________________Yazdırma_Alanı_MI" localSheetId="2">#REF!</definedName>
    <definedName name="_81________________________________________________________________________________________Yazdırma_Alanı_MI">#REF!</definedName>
    <definedName name="_81_________________Yazdırma_Alanı_MI" localSheetId="2">#REF!</definedName>
    <definedName name="_81_________________Yazdırma_Alanı_MI">#REF!</definedName>
    <definedName name="_82__________________________________________________________________________Yazdırma_Alanı_MI" localSheetId="2">#REF!</definedName>
    <definedName name="_82__________________________________________________________________________Yazdırma_Alanı_MI">#REF!</definedName>
    <definedName name="_82________________Yazdırma_Alanı_MI" localSheetId="2">#REF!</definedName>
    <definedName name="_82________________Yazdırma_Alanı_MI">#REF!</definedName>
    <definedName name="_83_______________Yazdırma_Alanı_MI" localSheetId="2">#REF!</definedName>
    <definedName name="_83_______________Yazdırma_Alanı_MI">#REF!</definedName>
    <definedName name="_84_______________________________________________________________________________________Yazdırma_Alanı_MI" localSheetId="2">#REF!</definedName>
    <definedName name="_84_______________________________________________________________________________________Yazdırma_Alanı_MI">#REF!</definedName>
    <definedName name="_84_________________________________________________________________________Yazdırma_Alanı_MI" localSheetId="2">#REF!</definedName>
    <definedName name="_84_________________________________________________________________________Yazdırma_Alanı_MI">#REF!</definedName>
    <definedName name="_84______________Yazdırma_Alanı_MI" localSheetId="2">#REF!</definedName>
    <definedName name="_84______________Yazdırma_Alanı_MI">#REF!</definedName>
    <definedName name="_840___________________________________________________________________________________________Yazdırma_Alanı_MI" localSheetId="2">#REF!</definedName>
    <definedName name="_840___________________________________________________________________________________________Yazdırma_Alanı_MI">#REF!</definedName>
    <definedName name="_85_____________Yazdırma_Alanı_MI" localSheetId="2">#REF!</definedName>
    <definedName name="_85_____________Yazdırma_Alanı_MI">#REF!</definedName>
    <definedName name="_86________________________________________________________________________Yazdırma_Alanı_MI" localSheetId="2">#REF!</definedName>
    <definedName name="_86________________________________________________________________________Yazdırma_Alanı_MI">#REF!</definedName>
    <definedName name="_86____________Yazdırma_Alanı_MI" localSheetId="2">#REF!</definedName>
    <definedName name="_86____________Yazdırma_Alanı_MI">#REF!</definedName>
    <definedName name="_87______________________________________________________________________________________Yazdırma_Alanı_MI" localSheetId="2">#REF!</definedName>
    <definedName name="_87______________________________________________________________________________________Yazdırma_Alanı_MI">#REF!</definedName>
    <definedName name="_87___________Yazdırma_Alanı_MI" localSheetId="2">#REF!</definedName>
    <definedName name="_87___________Yazdırma_Alanı_MI">#REF!</definedName>
    <definedName name="_875__________________________________________________________________________________________Yazdırma_Alanı_MI" localSheetId="2">#REF!</definedName>
    <definedName name="_875__________________________________________________________________________________________Yazdırma_Alanı_MI">#REF!</definedName>
    <definedName name="_88_______________________________________________________________________Yazdırma_Alanı_MI" localSheetId="2">#REF!</definedName>
    <definedName name="_88_______________________________________________________________________Yazdırma_Alanı_MI">#REF!</definedName>
    <definedName name="_88__________Yazdırma_Alanı_MI" localSheetId="2">#REF!</definedName>
    <definedName name="_88__________Yazdırma_Alanı_MI">#REF!</definedName>
    <definedName name="_89_________Yazdırma_Alanı_MI" localSheetId="2">#REF!</definedName>
    <definedName name="_89_________Yazdırma_Alanı_MI">#REF!</definedName>
    <definedName name="_8A">#N/A</definedName>
    <definedName name="_9">#N/A</definedName>
    <definedName name="_9________________________________________________________________________________________________________________Yazdırma_Alanı_MI" localSheetId="0">#REF!</definedName>
    <definedName name="_9________________________________________________________________________________________________________________Yazdırma_Alanı_MI" localSheetId="2">#REF!</definedName>
    <definedName name="_9________________________________________________________________________________________________________________Yazdırma_Alanı_MI">#REF!</definedName>
    <definedName name="_9__________________________________________________________________________________________________________Yazdırma_Alanı_MI" localSheetId="2">#REF!</definedName>
    <definedName name="_9__________________________________________________________________________________________________________Yazdırma_Alanı_MI">#REF!</definedName>
    <definedName name="_90_____________________________________________________________________________________Yazdırma_Alanı_MI" localSheetId="2">#REF!</definedName>
    <definedName name="_90_____________________________________________________________________________________Yazdırma_Alanı_MI">#REF!</definedName>
    <definedName name="_90______________________________________________________________________Yazdırma_Alanı_MI" localSheetId="2">#REF!</definedName>
    <definedName name="_90______________________________________________________________________Yazdırma_Alanı_MI">#REF!</definedName>
    <definedName name="_90________Yazdırma_Alanı_MI" localSheetId="2">#REF!</definedName>
    <definedName name="_90________Yazdırma_Alanı_MI">#REF!</definedName>
    <definedName name="_91_______Yazdırma_Alanı_MI" localSheetId="2">#REF!</definedName>
    <definedName name="_91_______Yazdırma_Alanı_MI">#REF!</definedName>
    <definedName name="_910_________________________________________________________________________________________Yazdırma_Alanı_MI" localSheetId="2">#REF!</definedName>
    <definedName name="_910_________________________________________________________________________________________Yazdırma_Alanı_MI">#REF!</definedName>
    <definedName name="_92_____________________________________________________________________Yazdırma_Alanı_MI" localSheetId="2">#REF!</definedName>
    <definedName name="_92_____________________________________________________________________Yazdırma_Alanı_MI">#REF!</definedName>
    <definedName name="_92______Yazdırma_Alanı_MI" localSheetId="2">#REF!</definedName>
    <definedName name="_92______Yazdırma_Alanı_MI">#REF!</definedName>
    <definedName name="_93____________________________________________________________________________________Yazdırma_Alanı_MI" localSheetId="2">#REF!</definedName>
    <definedName name="_93____________________________________________________________________________________Yazdırma_Alanı_MI">#REF!</definedName>
    <definedName name="_93_____Yazdırma_Alanı_MI" localSheetId="2">#REF!</definedName>
    <definedName name="_93_____Yazdırma_Alanı_MI">#REF!</definedName>
    <definedName name="_94____________________________________________________________________Yazdırma_Alanı_MI" localSheetId="2">#REF!</definedName>
    <definedName name="_94____________________________________________________________________Yazdırma_Alanı_MI">#REF!</definedName>
    <definedName name="_94____Yazdırma_Alanı_MI" localSheetId="2">#REF!</definedName>
    <definedName name="_94____Yazdırma_Alanı_MI">#REF!</definedName>
    <definedName name="_945________________________________________________________________________________________Yazdırma_Alanı_MI" localSheetId="2">#REF!</definedName>
    <definedName name="_945________________________________________________________________________________________Yazdırma_Alanı_MI">#REF!</definedName>
    <definedName name="_95___Yazdırma_Alanı_MI" localSheetId="2">#REF!</definedName>
    <definedName name="_95___Yazdırma_Alanı_MI">#REF!</definedName>
    <definedName name="_96___________________________________________________________________________________Yazdırma_Alanı_MI" localSheetId="2">#REF!</definedName>
    <definedName name="_96___________________________________________________________________________________Yazdırma_Alanı_MI">#REF!</definedName>
    <definedName name="_96___________________________________________________________________Yazdırma_Alanı_MI" localSheetId="2">#REF!</definedName>
    <definedName name="_96___________________________________________________________________Yazdırma_Alanı_MI">#REF!</definedName>
    <definedName name="_96__Yazdırma_Alanı_MI" localSheetId="2">#REF!</definedName>
    <definedName name="_96__Yazdırma_Alanı_MI">#REF!</definedName>
    <definedName name="_97_Yazdırma_Alanı_MI" localSheetId="2">#REF!</definedName>
    <definedName name="_97_Yazdırma_Alanı_MI">#REF!</definedName>
    <definedName name="_98__________________________________________________________________Yazdırma_Alanı_MI" localSheetId="2">#REF!</definedName>
    <definedName name="_98__________________________________________________________________Yazdırma_Alanı_MI">#REF!</definedName>
    <definedName name="_980_______________________________________________________________________________________Yazdırma_Alanı_MI" localSheetId="2">#REF!</definedName>
    <definedName name="_980_______________________________________________________________________________________Yazdırma_Alanı_MI">#REF!</definedName>
    <definedName name="_98Yazdırma_Alanı_MI" localSheetId="2">#REF!</definedName>
    <definedName name="_98Yazdırma_Alanı_MI">#REF!</definedName>
    <definedName name="_99__________________________________________________________________________________Yazdırma_Alanı_MI" localSheetId="2">#REF!</definedName>
    <definedName name="_99__________________________________________________________________________________Yazdırma_Alanı_MI">#REF!</definedName>
    <definedName name="_a1" localSheetId="2">#REF!</definedName>
    <definedName name="_a1">#REF!</definedName>
    <definedName name="_a2" localSheetId="2">#REF!</definedName>
    <definedName name="_a2">#REF!</definedName>
    <definedName name="_a23325" localSheetId="2">#REF!</definedName>
    <definedName name="_a23325">#REF!</definedName>
    <definedName name="_a3" localSheetId="2">#REF!</definedName>
    <definedName name="_a3">#REF!</definedName>
    <definedName name="_ARA1">'[4]KM KANATLI'!#REF!</definedName>
    <definedName name="_ARA2">'[4]KM KANATLI'!#REF!</definedName>
    <definedName name="_b1" localSheetId="0">#REF!</definedName>
    <definedName name="_b1" localSheetId="2">#REF!</definedName>
    <definedName name="_b1">#REF!</definedName>
    <definedName name="_b2" localSheetId="2">#REF!</definedName>
    <definedName name="_b2">#REF!</definedName>
    <definedName name="_b3" localSheetId="2">#REF!</definedName>
    <definedName name="_b3">#REF!</definedName>
    <definedName name="_c1" localSheetId="2">#REF!</definedName>
    <definedName name="_c1">#REF!</definedName>
    <definedName name="_c2" localSheetId="2">#REF!</definedName>
    <definedName name="_c2">#REF!</definedName>
    <definedName name="_c3" localSheetId="2">#REF!</definedName>
    <definedName name="_c3">#REF!</definedName>
    <definedName name="_cont">'[10]S102.1'!$H$9</definedName>
    <definedName name="_d1" localSheetId="0">#REF!</definedName>
    <definedName name="_d1" localSheetId="2">#REF!</definedName>
    <definedName name="_d1">#REF!</definedName>
    <definedName name="_d2" localSheetId="2">#REF!</definedName>
    <definedName name="_d2">#REF!</definedName>
    <definedName name="_d3" localSheetId="2">#REF!</definedName>
    <definedName name="_d3">#REF!</definedName>
    <definedName name="_de2" localSheetId="2">[3]yENİCE!#REF!</definedName>
    <definedName name="_de2">[3]yENİCE!#REF!</definedName>
    <definedName name="_Fill" localSheetId="0" hidden="1">#REF!</definedName>
    <definedName name="_Fill" localSheetId="2" hidden="1">#REF!</definedName>
    <definedName name="_Fill" hidden="1">#REF!</definedName>
    <definedName name="_xlnm._FilterDatabase" localSheetId="68" hidden="1">CH_MONTHS!$A$1:$A$241</definedName>
    <definedName name="_xlnm._FilterDatabase" localSheetId="69" hidden="1">CH_MONTHS_NAME!$A$1:$A$241</definedName>
    <definedName name="_xlnm._FilterDatabase" localSheetId="67" hidden="1">CH_NAMES!$A$1:$A$241</definedName>
    <definedName name="_xlnm._FilterDatabase" localSheetId="27" hidden="1">CONS_HIDR!$A$1:$A$275</definedName>
    <definedName name="_xlnm._FilterDatabase" localSheetId="26" hidden="1">CONS_OTHER!$A$1:$A$275</definedName>
    <definedName name="_xlnm._FilterDatabase" localSheetId="1" hidden="1">DOM_TABLES!$A$1:$A$192</definedName>
    <definedName name="_xlnm._FilterDatabase" localSheetId="36" hidden="1">ELV_ARE_COEF!$A$1:$A$275</definedName>
    <definedName name="_xlnm._FilterDatabase" localSheetId="10" hidden="1">EN_DEMAND!$A$1:$A$275</definedName>
    <definedName name="_xlnm._FilterDatabase" localSheetId="28" hidden="1">EN_OPER_CAP!$A$1:$A$275</definedName>
    <definedName name="_xlnm._FilterDatabase" localSheetId="40" hidden="1">EVA_MM!$A$1:$A$275</definedName>
    <definedName name="_xlnm._FilterDatabase" localSheetId="41" hidden="1">EVA_MM_CLM45!$A$1:$A$275</definedName>
    <definedName name="_xlnm._FilterDatabase" localSheetId="55" hidden="1">GWH_CAP!$A$1:$A$275</definedName>
    <definedName name="_xlnm._FilterDatabase" localSheetId="29" hidden="1">INST_CAP!$A$1:$A$275</definedName>
    <definedName name="_xlnm._FilterDatabase" localSheetId="11" hidden="1">IR_DEMAND!$A$1:$A$213</definedName>
    <definedName name="_xlnm._FilterDatabase" localSheetId="18" hidden="1">LOWER_BOUND!$A$1:$A$140</definedName>
    <definedName name="_xlnm._FilterDatabase" localSheetId="0" hidden="1">#REF!</definedName>
    <definedName name="_xlnm._FilterDatabase" localSheetId="33" hidden="1">N_HOUR!$A$1:$A$275</definedName>
    <definedName name="_xlnm._FilterDatabase" localSheetId="5" hidden="1">NAT_EMC_B!$A$1:$A$242</definedName>
    <definedName name="_xlnm._FilterDatabase" localSheetId="6" hidden="1">NAT_EMC_C!$A$1:$A$242</definedName>
    <definedName name="_xlnm._FilterDatabase" localSheetId="7" hidden="1">NAT_EMC_D!$A$1:$A$242</definedName>
    <definedName name="_xlnm._FilterDatabase" localSheetId="8" hidden="1">NAT_EMC_E!$A$1:$A$242</definedName>
    <definedName name="_xlnm._FilterDatabase" localSheetId="9" hidden="1">NAT_EMC_F!$A$1:$A$242</definedName>
    <definedName name="_xlnm._FilterDatabase" localSheetId="4" hidden="1">NAT_INF_NOR!$A$1:$A$275</definedName>
    <definedName name="_xlnm._FilterDatabase" localSheetId="42" hidden="1">OBS_DEC_VARS!$A$1:$A$262</definedName>
    <definedName name="_xlnm._FilterDatabase" localSheetId="17" hidden="1">OBS_DEMAND!$A$1:$A$242</definedName>
    <definedName name="_xlnm._FilterDatabase" localSheetId="47" hidden="1">OBS_ECO_DEMAND!$A$1:$A$268</definedName>
    <definedName name="_xlnm._FilterDatabase" localSheetId="48" hidden="1">OBS_ECO_DEMAND_INDV!$A$1:$A$251</definedName>
    <definedName name="_xlnm._FilterDatabase" localSheetId="57" hidden="1">OBS_EFF!$A$1:$A$275</definedName>
    <definedName name="_xlnm._FilterDatabase" localSheetId="58" hidden="1">OBS_ELEV!$A$1:$A$255</definedName>
    <definedName name="_xlnm._FilterDatabase" localSheetId="37" hidden="1">OBS_EN_FIRM!$A$1:$A$238</definedName>
    <definedName name="_xlnm._FilterDatabase" localSheetId="38" hidden="1">OBS_EN_FIRM_GWH!$A$1:$A$238</definedName>
    <definedName name="_xlnm._FilterDatabase" localSheetId="39" hidden="1">OBS_EN_FIRM_MW!$A$1:$A$238</definedName>
    <definedName name="_xlnm._FilterDatabase" localSheetId="54" hidden="1">OBS_EN_GWH!$A$1:$A$275</definedName>
    <definedName name="_xlnm._FilterDatabase" localSheetId="62" hidden="1">OBS_EN_MAX!$A$1:$A$249</definedName>
    <definedName name="_xlnm._FilterDatabase" localSheetId="61" hidden="1">OBS_EN_MIN!$A$1:$A$249</definedName>
    <definedName name="_xlnm._FilterDatabase" localSheetId="44" hidden="1">OBS_EVA!$A$1:$A$258</definedName>
    <definedName name="_xlnm._FilterDatabase" localSheetId="45" hidden="1">OBS_NAT_FLOW!$A$1:$A$275</definedName>
    <definedName name="_xlnm._FilterDatabase" localSheetId="56" hidden="1">OBS_NET_HEAD!$A$1:$A$275</definedName>
    <definedName name="_xlnm._FilterDatabase" localSheetId="46" hidden="1">OBS_OUTFLOW!$A$1:$A$275</definedName>
    <definedName name="_xlnm._FilterDatabase" localSheetId="53" hidden="1">OBS_POW_MW!$A$1:$A$275</definedName>
    <definedName name="_xlnm._FilterDatabase" localSheetId="43" hidden="1">OBS_SDELTA!$A$1:$A$275</definedName>
    <definedName name="_xlnm._FilterDatabase" localSheetId="52" hidden="1">OBS_SPL!$A$1:$A$275</definedName>
    <definedName name="_xlnm._FilterDatabase" localSheetId="49" hidden="1">OBS_STO!$A$1:$A$122</definedName>
    <definedName name="_xlnm._FilterDatabase" localSheetId="51" hidden="1">OBS_STO_50PRC!$A$1:$A$122</definedName>
    <definedName name="_xlnm._FilterDatabase" localSheetId="50" hidden="1">OBS_STO_90PRC!$A$1:$A$122</definedName>
    <definedName name="_xlnm._FilterDatabase" localSheetId="20" hidden="1">S_0!$A$1:$A$275</definedName>
    <definedName name="_xlnm._FilterDatabase" localSheetId="23" hidden="1">S_INI!$A$1:$A$275</definedName>
    <definedName name="_xlnm._FilterDatabase" localSheetId="22" hidden="1">S_MAX!$A$1:$A$275</definedName>
    <definedName name="_xlnm._FilterDatabase" localSheetId="25" hidden="1">S_MAX_ALL!$A$1:$A$275</definedName>
    <definedName name="_xlnm._FilterDatabase" localSheetId="60" hidden="1">S_MAX_LEVEL!$A$1:$A$275</definedName>
    <definedName name="_xlnm._FilterDatabase" localSheetId="21" hidden="1">S_MIN!$A$1:$A$275</definedName>
    <definedName name="_xlnm._FilterDatabase" localSheetId="24" hidden="1">S_MIN_ALL!$A$1:$A$275</definedName>
    <definedName name="_xlnm._FilterDatabase" localSheetId="59" hidden="1">S_MIN_LEVEL!$A$1:$A$275</definedName>
    <definedName name="_xlnm._FilterDatabase" localSheetId="34" hidden="1">SPILLAGE_CAP!$A$1:$A$275</definedName>
    <definedName name="_xlnm._FilterDatabase" localSheetId="2" hidden="1">'SRB NODES 2025'!$A$1:$T$643</definedName>
    <definedName name="_xlnm._FilterDatabase" localSheetId="12" hidden="1">SW_DOM_TOTAL_ALLOC!$A$1:$A$213</definedName>
    <definedName name="_xlnm._FilterDatabase" localSheetId="13" hidden="1">SW_DOM_TOTAL_RETRN!$A$1:$A$213</definedName>
    <definedName name="_xlnm._FilterDatabase" localSheetId="16" hidden="1">SW_IRG_MAIN_CONS_RATIO!$A$1:$A$213</definedName>
    <definedName name="_xlnm._FilterDatabase" localSheetId="14" hidden="1">SW_IRG_OTHER_ALLOC!$A$1:$A$213</definedName>
    <definedName name="_xlnm._FilterDatabase" localSheetId="15" hidden="1">SW_IRG_OTHER_CONS_RATIO!$A$1:$A$213</definedName>
    <definedName name="_xlnm._FilterDatabase" localSheetId="30" hidden="1">TAILWAT_LEV!$A$1:$A$275</definedName>
    <definedName name="_xlnm._FilterDatabase" localSheetId="31" hidden="1">TUNNEL_DIA!$A$1:$A$275</definedName>
    <definedName name="_xlnm._FilterDatabase" localSheetId="32" hidden="1">TUNNEL_L!$A$1:$A$275</definedName>
    <definedName name="_xlnm._FilterDatabase" localSheetId="19" hidden="1">UPPER_BOUND!$A$1:$A$185</definedName>
    <definedName name="_xlnm._FilterDatabase" localSheetId="35" hidden="1">VOL_ELV_COEF!$A$1:$A$275</definedName>
    <definedName name="_xlnm._FilterDatabase" hidden="1">#REF!</definedName>
    <definedName name="_HCO3" localSheetId="0">#REF!</definedName>
    <definedName name="_HCO3" localSheetId="2">#REF!</definedName>
    <definedName name="_HCO3">#REF!</definedName>
    <definedName name="_IX1">'[5]103+390-107+250'!$IV$1:$IV$65536</definedName>
    <definedName name="_IZ1">'[5]103+390-107+250'!$IU$1</definedName>
    <definedName name="_OPO4" localSheetId="0">#REF!</definedName>
    <definedName name="_OPO4" localSheetId="2">#REF!</definedName>
    <definedName name="_OPO4">#REF!</definedName>
    <definedName name="_s121" localSheetId="2">#REF!</definedName>
    <definedName name="_s121">#REF!</definedName>
    <definedName name="_SO4" localSheetId="2">#REF!</definedName>
    <definedName name="_SO4">#REF!</definedName>
    <definedName name="_SOZ1" localSheetId="2">#REF!</definedName>
    <definedName name="_SOZ1">#REF!</definedName>
    <definedName name="_SOZ2" localSheetId="2">#REF!</definedName>
    <definedName name="_SOZ2">#REF!</definedName>
    <definedName name="_SOZ3" localSheetId="2">#REF!</definedName>
    <definedName name="_SOZ3">#REF!</definedName>
    <definedName name="_SOZ4" localSheetId="2">#REF!</definedName>
    <definedName name="_SOZ4">#REF!</definedName>
    <definedName name="_SOZ5" localSheetId="2">#REF!</definedName>
    <definedName name="_SOZ5">#REF!</definedName>
    <definedName name="_SOZ6" localSheetId="2">#REF!</definedName>
    <definedName name="_SOZ6">#REF!</definedName>
    <definedName name="_sy4" localSheetId="2">#REF!</definedName>
    <definedName name="_sy4">#REF!</definedName>
    <definedName name="_T1">[3]yENİCE!#REF!</definedName>
    <definedName name="_Tab21" localSheetId="0">#REF!</definedName>
    <definedName name="_Tab21" localSheetId="2">#REF!</definedName>
    <definedName name="_Tab21">#REF!</definedName>
    <definedName name="_TIP1" localSheetId="0">'[4]KM KANATLI'!#REF!</definedName>
    <definedName name="_TIP1" localSheetId="2">'[4]KM KANATLI'!#REF!</definedName>
    <definedName name="_TIP1">'[4]KM KANATLI'!#REF!</definedName>
    <definedName name="_TIP2" localSheetId="2">'[4]KM KANATLI'!#REF!</definedName>
    <definedName name="_TIP2">'[4]KM KANATLI'!#REF!</definedName>
    <definedName name="_TMAutoChartCount" hidden="1">1</definedName>
    <definedName name="_xx1" localSheetId="0">#REF!</definedName>
    <definedName name="_xx1" localSheetId="2">#REF!</definedName>
    <definedName name="_xx1">#REF!</definedName>
    <definedName name="a" localSheetId="2">#REF!</definedName>
    <definedName name="a">#REF!</definedName>
    <definedName name="a.1">'[11]2633'!$D$75</definedName>
    <definedName name="a.2">'[11]2633'!$G$75</definedName>
    <definedName name="a.3">'[11]2633'!$J$75</definedName>
    <definedName name="a1_" localSheetId="0">#REF!</definedName>
    <definedName name="a1_" localSheetId="2">#REF!</definedName>
    <definedName name="a1_">#REF!</definedName>
    <definedName name="a100_" localSheetId="2">#REF!</definedName>
    <definedName name="a100_">#REF!</definedName>
    <definedName name="a2_" localSheetId="2">#REF!</definedName>
    <definedName name="a2_">#REF!</definedName>
    <definedName name="a233_" localSheetId="2">#REF!</definedName>
    <definedName name="a233_">#REF!</definedName>
    <definedName name="a3_" localSheetId="2">#REF!</definedName>
    <definedName name="a3_">#REF!</definedName>
    <definedName name="a4_" localSheetId="2">#REF!</definedName>
    <definedName name="a4_">#REF!</definedName>
    <definedName name="aa" localSheetId="2">#REF!</definedName>
    <definedName name="aa">#REF!</definedName>
    <definedName name="AA.1" localSheetId="2">#REF!</definedName>
    <definedName name="AA.1">#REF!</definedName>
    <definedName name="aa_14">[12]yENİCE!#REF!</definedName>
    <definedName name="aaa" localSheetId="0">#REF!</definedName>
    <definedName name="aaa" localSheetId="2">#REF!</definedName>
    <definedName name="aaa">#REF!</definedName>
    <definedName name="aaaaa" localSheetId="0">[1]yENİCE!#REF!</definedName>
    <definedName name="aaaaa" localSheetId="2">[1]yENİCE!#REF!</definedName>
    <definedName name="aaaaa">[1]yENİCE!#REF!</definedName>
    <definedName name="aaaaaaaa" localSheetId="0">#REF!</definedName>
    <definedName name="aaaaaaaa" localSheetId="2">#REF!</definedName>
    <definedName name="aaaaaaaa">#REF!</definedName>
    <definedName name="aaaaaaaaaa" localSheetId="2">#REF!</definedName>
    <definedName name="aaaaaaaaaa">#REF!</definedName>
    <definedName name="aaaaaaaaaaaaaaaaaaaaaaaaaaaaaaaaaa" localSheetId="2">#REF!</definedName>
    <definedName name="aaaaaaaaaaaaaaaaaaaaaaaaaaaaaaaaaa">#REF!</definedName>
    <definedName name="aaaaaaaaaaaaaaaaaaaaaaaaaaaaaaaaaaaaaaa" localSheetId="2">#REF!</definedName>
    <definedName name="aaaaaaaaaaaaaaaaaaaaaaaaaaaaaaaaaaaaaaa">#REF!</definedName>
    <definedName name="ab">OFFSET([13]Sheet3!$U$4,1,0,[14]!datayıl,1)</definedName>
    <definedName name="ABOLGE" localSheetId="0">#REF!</definedName>
    <definedName name="ABOLGE" localSheetId="2">#REF!</definedName>
    <definedName name="ABOLGE">#REF!</definedName>
    <definedName name="ad" localSheetId="0">'[15]tarla CIKTI'!#REF!</definedName>
    <definedName name="ad" localSheetId="2">'[15]tarla CIKTI'!#REF!</definedName>
    <definedName name="ad">'[15]tarla CIKTI'!#REF!</definedName>
    <definedName name="AGIalani">[16]Giris!$C$6</definedName>
    <definedName name="ak" localSheetId="0">'[15]tarla CIKTI'!#REF!</definedName>
    <definedName name="ak" localSheetId="2">'[15]tarla CIKTI'!#REF!</definedName>
    <definedName name="ak">'[15]tarla CIKTI'!#REF!</definedName>
    <definedName name="AktifYil">[17]Kisan_Ref_BF!$D$1</definedName>
    <definedName name="AktifYilSut">[17]Kisan_Ref_BF!$D$2</definedName>
    <definedName name="Alan">[18]Sheet1!$F$8</definedName>
    <definedName name="AnalizTarih">[17]Kisan_Ref_BF!$E$2</definedName>
    <definedName name="ar" localSheetId="0">'[15]tarla CIKTI'!#REF!</definedName>
    <definedName name="ar" localSheetId="2">'[15]tarla CIKTI'!#REF!</definedName>
    <definedName name="ar">'[15]tarla CIKTI'!#REF!</definedName>
    <definedName name="ara" localSheetId="0">'[15]tarla CIKTI'!#REF!</definedName>
    <definedName name="ara" localSheetId="2">'[15]tarla CIKTI'!#REF!</definedName>
    <definedName name="ara">'[15]tarla CIKTI'!#REF!</definedName>
    <definedName name="as" localSheetId="0">#REF!</definedName>
    <definedName name="as" localSheetId="2">#REF!</definedName>
    <definedName name="as">#REF!</definedName>
    <definedName name="as_">[19]input!$C$17</definedName>
    <definedName name="at_">[19]input!$C$22</definedName>
    <definedName name="AY" localSheetId="0">'[20]ZAM TARİHLERİ'!#REF!</definedName>
    <definedName name="AY" localSheetId="2">'[20]ZAM TARİHLERİ'!#REF!</definedName>
    <definedName name="AY">'[20]ZAM TARİHLERİ'!#REF!</definedName>
    <definedName name="AYKIR" localSheetId="0">'[21]tarla CIKTI'!#REF!</definedName>
    <definedName name="AYKIR" localSheetId="2">'[21]tarla CIKTI'!#REF!</definedName>
    <definedName name="AYKIR">'[21]tarla CIKTI'!#REF!</definedName>
    <definedName name="az" localSheetId="2">'[15]tarla CIKTI'!#REF!</definedName>
    <definedName name="az">'[15]tarla CIKTI'!#REF!</definedName>
    <definedName name="AzalmaOrani" localSheetId="0">#REF!</definedName>
    <definedName name="AzalmaOrani" localSheetId="2">#REF!</definedName>
    <definedName name="AzalmaOrani">#REF!</definedName>
    <definedName name="b" localSheetId="2">#REF!</definedName>
    <definedName name="b">#REF!</definedName>
    <definedName name="b.1">'[11]2633'!$D$76</definedName>
    <definedName name="b.2">'[11]2633'!$G$76</definedName>
    <definedName name="b.3">'[11]2633'!$J$76</definedName>
    <definedName name="b1_" localSheetId="0">#REF!</definedName>
    <definedName name="b1_" localSheetId="2">#REF!</definedName>
    <definedName name="b1_">#REF!</definedName>
    <definedName name="b100_" localSheetId="2">#REF!</definedName>
    <definedName name="b100_">#REF!</definedName>
    <definedName name="b2_" localSheetId="2">#REF!</definedName>
    <definedName name="b2_">#REF!</definedName>
    <definedName name="b233_" localSheetId="2">#REF!</definedName>
    <definedName name="b233_">#REF!</definedName>
    <definedName name="b3_" localSheetId="2">#REF!</definedName>
    <definedName name="b3_">#REF!</definedName>
    <definedName name="b4_" localSheetId="2">#REF!</definedName>
    <definedName name="b4_">#REF!</definedName>
    <definedName name="BAS">#N/A</definedName>
    <definedName name="BasMuhAdSoyad">[17]Kisan_Ref_BF!$B$5</definedName>
    <definedName name="BasMuhUnvan">[17]Kisan_Ref_BF!$C$5</definedName>
    <definedName name="baz" localSheetId="0">#REF!</definedName>
    <definedName name="baz" localSheetId="2">#REF!</definedName>
    <definedName name="baz">#REF!</definedName>
    <definedName name="BBOLGE" localSheetId="2">#REF!</definedName>
    <definedName name="BBOLGE">#REF!</definedName>
    <definedName name="BFAlan">[17]Kisan_Ref_BF!$A$9:$K$2025</definedName>
    <definedName name="BFTablosu">[22]Sayfa1!$B$3:$H$4847</definedName>
    <definedName name="bnmjhkh" localSheetId="0">#REF!</definedName>
    <definedName name="bnmjhkh" localSheetId="2">#REF!</definedName>
    <definedName name="bnmjhkh">#REF!</definedName>
    <definedName name="BOD" localSheetId="2">#REF!</definedName>
    <definedName name="BOD">#REF!</definedName>
    <definedName name="BOYA">'[23]35'!$F$5:$F$13</definedName>
    <definedName name="bs_">[19]input!$C$18</definedName>
    <definedName name="bt_">[19]input!$C$23</definedName>
    <definedName name="BULANIK" localSheetId="0">#REF!</definedName>
    <definedName name="BULANIK" localSheetId="2">#REF!</definedName>
    <definedName name="BULANIK">#REF!</definedName>
    <definedName name="c.1">'[11]2633'!$D$77</definedName>
    <definedName name="c.2">'[11]2633'!$G$77</definedName>
    <definedName name="c.3">'[11]2633'!$J$77</definedName>
    <definedName name="CA" localSheetId="0">#REF!</definedName>
    <definedName name="CA" localSheetId="2">#REF!</definedName>
    <definedName name="CA">#REF!</definedName>
    <definedName name="CAMG" localSheetId="2">#REF!</definedName>
    <definedName name="CAMG">#REF!</definedName>
    <definedName name="cc" localSheetId="2">#REF!</definedName>
    <definedName name="cc">#REF!</definedName>
    <definedName name="cc_1" localSheetId="2">#REF!</definedName>
    <definedName name="cc_1">#REF!</definedName>
    <definedName name="cc1_" localSheetId="2">#REF!</definedName>
    <definedName name="cc1_">#REF!</definedName>
    <definedName name="ce" localSheetId="2">#REF!</definedName>
    <definedName name="ce">#REF!</definedName>
    <definedName name="cebriboru" localSheetId="2">#REF!</definedName>
    <definedName name="cebriboru">#REF!</definedName>
    <definedName name="cemal" localSheetId="2">#REF!</definedName>
    <definedName name="cemal">#REF!</definedName>
    <definedName name="cenk" localSheetId="2">#REF!</definedName>
    <definedName name="cenk">#REF!</definedName>
    <definedName name="chtx" localSheetId="0">OFFSET([13]Sheet3!$C$4,1,0,datasayı,1)</definedName>
    <definedName name="chtx" localSheetId="2">OFFSET([13]Sheet3!$C$4,1,0,datasayı,1)</definedName>
    <definedName name="chtx">OFFSET([13]Sheet3!$C$4,1,0,datasayı,1)</definedName>
    <definedName name="chtx1" localSheetId="0">OFFSET([13]Sheet3!$E$4,1,0,datasayı,1)</definedName>
    <definedName name="chtx1" localSheetId="2">OFFSET([13]Sheet3!$E$4,1,0,datasayı,1)</definedName>
    <definedName name="chtx1">OFFSET([13]Sheet3!$E$4,1,0,datasayı,1)</definedName>
    <definedName name="chtx2" localSheetId="0">OFFSET([13]Sheet3!$G$4,1,0,datasayı,1)</definedName>
    <definedName name="chtx2" localSheetId="2">OFFSET([13]Sheet3!$G$4,1,0,datasayı,1)</definedName>
    <definedName name="chtx2">OFFSET([13]Sheet3!$G$4,1,0,datasayı,1)</definedName>
    <definedName name="chtx3" localSheetId="0">OFFSET([13]Sheet3!$I$4,1,0,datasayı,1)</definedName>
    <definedName name="chtx3" localSheetId="2">OFFSET([13]Sheet3!$I$4,1,0,datasayı,1)</definedName>
    <definedName name="chtx3">OFFSET([13]Sheet3!$I$4,1,0,datasayı,1)</definedName>
    <definedName name="chtx4" localSheetId="0">OFFSET([13]Sheet3!$K$4,1,0,datasayı,1)</definedName>
    <definedName name="chtx4" localSheetId="2">OFFSET([13]Sheet3!$K$4,1,0,datasayı,1)</definedName>
    <definedName name="chtx4">OFFSET([13]Sheet3!$K$4,1,0,datasayı,1)</definedName>
    <definedName name="chtx5" localSheetId="0">OFFSET([13]Sheet3!$M$4,1,0,datasayı,1)</definedName>
    <definedName name="chtx5" localSheetId="2">OFFSET([13]Sheet3!$M$4,1,0,datasayı,1)</definedName>
    <definedName name="chtx5">OFFSET([13]Sheet3!$M$4,1,0,datasayı,1)</definedName>
    <definedName name="chtx6" localSheetId="0">OFFSET([13]Sheet3!$O$4,1,0,datasayı,1)</definedName>
    <definedName name="chtx6" localSheetId="2">OFFSET([13]Sheet3!$O$4,1,0,datasayı,1)</definedName>
    <definedName name="chtx6">OFFSET([13]Sheet3!$O$4,1,0,datasayı,1)</definedName>
    <definedName name="chtx7" localSheetId="0">OFFSET([13]Sheet3!$Q$4,1,0,datayıl,1)</definedName>
    <definedName name="chtx7" localSheetId="2">OFFSET([13]Sheet3!$Q$4,1,0,datayıl,1)</definedName>
    <definedName name="chtx7">OFFSET([13]Sheet3!$Q$4,1,0,datayıl,1)</definedName>
    <definedName name="chtx8" localSheetId="0">OFFSET([13]Sheet3!$S$4,1,0,datayıl,1)</definedName>
    <definedName name="chtx8" localSheetId="2">OFFSET([13]Sheet3!$S$4,1,0,datayıl,1)</definedName>
    <definedName name="chtx8">OFFSET([13]Sheet3!$S$4,1,0,datayıl,1)</definedName>
    <definedName name="chtx9" localSheetId="0">OFFSET([13]Sheet3!$U$4,1,0,datayıl,1)</definedName>
    <definedName name="chtx9" localSheetId="2">OFFSET([13]Sheet3!$U$4,1,0,datayıl,1)</definedName>
    <definedName name="chtx9">OFFSET([13]Sheet3!$U$4,1,0,datayıl,1)</definedName>
    <definedName name="chty" localSheetId="0">OFFSET(MATRIX_NEW!chtx,0,1,,)</definedName>
    <definedName name="chty" localSheetId="2">OFFSET('SRB NODES 2025'!chtx,0,1,,)</definedName>
    <definedName name="chty">OFFSET(chtx,0,1,,)</definedName>
    <definedName name="chty1" localSheetId="0">OFFSET(MATRIX_NEW!chtx1,0,1,,)</definedName>
    <definedName name="chty1" localSheetId="2">OFFSET('SRB NODES 2025'!chtx1,0,1,,)</definedName>
    <definedName name="chty1">OFFSET(chtx1,0,1,,)</definedName>
    <definedName name="chty2" localSheetId="0">OFFSET(MATRIX_NEW!chtx2,0,1,,)</definedName>
    <definedName name="chty2" localSheetId="2">OFFSET('SRB NODES 2025'!chtx2,0,1,,)</definedName>
    <definedName name="chty2">OFFSET(chtx2,0,1,,)</definedName>
    <definedName name="chty3" localSheetId="0">OFFSET(MATRIX_NEW!chtx3,0,1,,)</definedName>
    <definedName name="chty3" localSheetId="2">OFFSET('SRB NODES 2025'!chtx3,0,1,,)</definedName>
    <definedName name="chty3">OFFSET(chtx3,0,1,,)</definedName>
    <definedName name="chty4" localSheetId="0">OFFSET(MATRIX_NEW!chtx4,0,1,,)</definedName>
    <definedName name="chty4" localSheetId="2">OFFSET('SRB NODES 2025'!chtx4,0,1,,)</definedName>
    <definedName name="chty4">OFFSET(chtx4,0,1,,)</definedName>
    <definedName name="chty5" localSheetId="0">OFFSET(MATRIX_NEW!chtx5,0,1,,)</definedName>
    <definedName name="chty5" localSheetId="2">OFFSET('SRB NODES 2025'!chtx5,0,1,,)</definedName>
    <definedName name="chty5">OFFSET(chtx5,0,1,,)</definedName>
    <definedName name="chty6" localSheetId="0">OFFSET(MATRIX_NEW!chtx6,0,1,,)</definedName>
    <definedName name="chty6" localSheetId="2">OFFSET('SRB NODES 2025'!chtx6,0,1,,)</definedName>
    <definedName name="chty6">OFFSET(chtx6,0,1,,)</definedName>
    <definedName name="chty7" localSheetId="0">OFFSET(MATRIX_NEW!chtx7,0,1,,)</definedName>
    <definedName name="chty7" localSheetId="2">OFFSET('SRB NODES 2025'!chtx7,0,1,,)</definedName>
    <definedName name="chty7">OFFSET(chtx7,0,1,,)</definedName>
    <definedName name="chty8" localSheetId="0">OFFSET(MATRIX_NEW!chtx8,0,1,,)</definedName>
    <definedName name="chty8" localSheetId="2">OFFSET('SRB NODES 2025'!chtx8,0,1,,)</definedName>
    <definedName name="chty8">OFFSET(chtx8,0,1,,)</definedName>
    <definedName name="chty9" localSheetId="0">OFFSET(MATRIX_NEW!chtx9,0,1,,)</definedName>
    <definedName name="chty9" localSheetId="2">OFFSET('SRB NODES 2025'!chtx9,0,1,,)</definedName>
    <definedName name="chty9">OFFSET(chtx9,0,1,,)</definedName>
    <definedName name="CL" localSheetId="0">#REF!</definedName>
    <definedName name="CL" localSheetId="2">#REF!</definedName>
    <definedName name="CL">#REF!</definedName>
    <definedName name="CO" localSheetId="2">#REF!</definedName>
    <definedName name="CO">#REF!</definedName>
    <definedName name="CO3_" localSheetId="2">#REF!</definedName>
    <definedName name="CO3_">#REF!</definedName>
    <definedName name="CURRENCY">[24]Sheet1!$L$25</definedName>
    <definedName name="d" localSheetId="0">#REF!</definedName>
    <definedName name="d" localSheetId="2">#REF!</definedName>
    <definedName name="d">#REF!</definedName>
    <definedName name="DAMLA" localSheetId="0">[25]CIKTI!#REF!</definedName>
    <definedName name="DAMLA" localSheetId="2">[25]CIKTI!#REF!</definedName>
    <definedName name="DAMLA">[25]CIKTI!#REF!</definedName>
    <definedName name="damla1" localSheetId="0">[26]CIKTI!#REF!</definedName>
    <definedName name="damla1" localSheetId="2">[26]CIKTI!#REF!</definedName>
    <definedName name="damla1">[26]CIKTI!#REF!</definedName>
    <definedName name="data1">'[27]İ9-4.3B'!$B$6:$B$11</definedName>
    <definedName name="data2">'[28]129-2B'!$B$6:$B$13</definedName>
    <definedName name="data3" localSheetId="0">#REF!</definedName>
    <definedName name="data3" localSheetId="2">#REF!</definedName>
    <definedName name="data3">#REF!</definedName>
    <definedName name="data4" localSheetId="2">#REF!</definedName>
    <definedName name="data4">#REF!</definedName>
    <definedName name="data5" localSheetId="2">#REF!</definedName>
    <definedName name="data5">#REF!</definedName>
    <definedName name="_xlnm.Database" localSheetId="2">#REF!</definedName>
    <definedName name="_xlnm.Database">#REF!</definedName>
    <definedName name="datasayı">[13]Sheet3!$A$4</definedName>
    <definedName name="datayıl">[13]Sheet3!$A$8</definedName>
    <definedName name="dd">[3]yENİCE!#REF!</definedName>
    <definedName name="dddd">[1]yENİCE!#REF!</definedName>
    <definedName name="Debi1">[29]yENİCE!#REF!</definedName>
    <definedName name="Debi1_11">[12]yENİCE!#REF!</definedName>
    <definedName name="Debi1_12">[30]yENİCE!#REF!</definedName>
    <definedName name="Debi1_13">[30]yENİCE!#REF!</definedName>
    <definedName name="Debi1_14">[2]yENİCE!#REF!</definedName>
    <definedName name="Debi1_3">[2]yENİCE!#REF!</definedName>
    <definedName name="Debi1_5">[2]yENİCE!#REF!</definedName>
    <definedName name="Debi1_6">[2]yENİCE!#REF!</definedName>
    <definedName name="debi2">[1]yENİCE!#REF!</definedName>
    <definedName name="depolamakatsayisi" localSheetId="0">#REF!</definedName>
    <definedName name="depolamakatsayisi" localSheetId="2">#REF!</definedName>
    <definedName name="depolamakatsayisi">#REF!</definedName>
    <definedName name="dfgfh" localSheetId="2">#REF!</definedName>
    <definedName name="dfgfh">#REF!</definedName>
    <definedName name="dfgh" localSheetId="0">#REF!</definedName>
    <definedName name="dfgh" localSheetId="2">#REF!</definedName>
    <definedName name="dfgh">#REF!</definedName>
    <definedName name="DIL">[24]Sheet1!$E$68</definedName>
    <definedName name="DO" localSheetId="0">#REF!</definedName>
    <definedName name="DO" localSheetId="2">#REF!</definedName>
    <definedName name="DO">#REF!</definedName>
    <definedName name="Donen">[31]SulMvc!$Q$6</definedName>
    <definedName name="Dönen" localSheetId="0">[11]Sulamalar!#REF!</definedName>
    <definedName name="Dönen" localSheetId="2">[11]Sulamalar!#REF!</definedName>
    <definedName name="Dönen">[11]Sulamalar!#REF!</definedName>
    <definedName name="DonusOrani" localSheetId="0">#REF!</definedName>
    <definedName name="DonusOrani" localSheetId="2">#REF!</definedName>
    <definedName name="DonusOrani">#REF!</definedName>
    <definedName name="drena" localSheetId="2">#REF!</definedName>
    <definedName name="drena">#REF!</definedName>
    <definedName name="dsads" localSheetId="2">#REF!</definedName>
    <definedName name="dsads">#REF!</definedName>
    <definedName name="DuzenleyenAdiSoyadi">[22]Sayfa1!$B$3</definedName>
    <definedName name="Düzenleyengörevi">[22]Sayfa1!$C$3</definedName>
    <definedName name="Duzlt" localSheetId="0">#REF!</definedName>
    <definedName name="Duzlt" localSheetId="2">#REF!</definedName>
    <definedName name="Duzlt">#REF!</definedName>
    <definedName name="e" localSheetId="2">#REF!</definedName>
    <definedName name="e">#REF!</definedName>
    <definedName name="E_1">[32]ver4!$E$10</definedName>
    <definedName name="E_2">[32]ver4!$L$10</definedName>
    <definedName name="E_3">[32]ver4!$F$10</definedName>
    <definedName name="E_4">[32]ver4!$O$10</definedName>
    <definedName name="e1_ara" localSheetId="0">'[4]KM KANATLI'!#REF!</definedName>
    <definedName name="e1_ara" localSheetId="2">'[4]KM KANATLI'!#REF!</definedName>
    <definedName name="e1_ara">'[4]KM KANATLI'!#REF!</definedName>
    <definedName name="e3_ara" localSheetId="0">'[4]KM KANATLI'!#REF!</definedName>
    <definedName name="e3_ara" localSheetId="2">'[4]KM KANATLI'!#REF!</definedName>
    <definedName name="e3_ara">'[4]KM KANATLI'!#REF!</definedName>
    <definedName name="e4_ara" localSheetId="2">'[4]KM KANATLI'!#REF!</definedName>
    <definedName name="e4_ara">'[4]KM KANATLI'!#REF!</definedName>
    <definedName name="EC" localSheetId="0">#REF!</definedName>
    <definedName name="EC" localSheetId="2">#REF!</definedName>
    <definedName name="EC">#REF!</definedName>
    <definedName name="EE" localSheetId="2">#REF!</definedName>
    <definedName name="EE">#REF!</definedName>
    <definedName name="eeeee" localSheetId="2">#REF!</definedName>
    <definedName name="eeeee">#REF!</definedName>
    <definedName name="eeeeee" localSheetId="2">#REF!</definedName>
    <definedName name="eeeeee">#REF!</definedName>
    <definedName name="eeeeeeeee" localSheetId="2">#REF!</definedName>
    <definedName name="eeeeeeeee">#REF!</definedName>
    <definedName name="eeeeeeeeeeee" localSheetId="2">#REF!</definedName>
    <definedName name="eeeeeeeeeeee">#REF!</definedName>
    <definedName name="EmKomBaskan">[33]Genel!$H$30</definedName>
    <definedName name="EmKomUye1">[33]Genel!$H$31</definedName>
    <definedName name="EmKomUye2">[33]Genel!$H$32</definedName>
    <definedName name="emn">OFFSET([34]Sheet3!$C$4,1,0,[14]!datasayı,1)</definedName>
    <definedName name="EN_MAX">[32]ver4!$E$24</definedName>
    <definedName name="EN_MIN">[32]ver4!$E$23</definedName>
    <definedName name="enerkas" localSheetId="0">#REF!</definedName>
    <definedName name="enerkas" localSheetId="2">#REF!</definedName>
    <definedName name="enerkas">#REF!</definedName>
    <definedName name="ere" localSheetId="0">[3]yENİCE!#REF!</definedName>
    <definedName name="ere" localSheetId="2">[3]yENİCE!#REF!</definedName>
    <definedName name="ere">[3]yENİCE!#REF!</definedName>
    <definedName name="ESKA1" localSheetId="0">#REF!</definedName>
    <definedName name="ESKA1" localSheetId="2">#REF!</definedName>
    <definedName name="ESKA1">#REF!</definedName>
    <definedName name="ESKA2" localSheetId="2">#REF!</definedName>
    <definedName name="ESKA2">#REF!</definedName>
    <definedName name="ESKA3" localSheetId="2">#REF!</definedName>
    <definedName name="ESKA3">#REF!</definedName>
    <definedName name="ESKA4" localSheetId="2">#REF!</definedName>
    <definedName name="ESKA4">#REF!</definedName>
    <definedName name="ESKA5" localSheetId="2">#REF!</definedName>
    <definedName name="ESKA5">#REF!</definedName>
    <definedName name="ESKA6" localSheetId="2">#REF!</definedName>
    <definedName name="ESKA6">#REF!</definedName>
    <definedName name="Excel_BuiltIn_Print_Area">'[35]Tablo 4_31'!$A:$IV</definedName>
    <definedName name="Excel_BuiltIn_Print_Area_12" localSheetId="0">#REF!</definedName>
    <definedName name="Excel_BuiltIn_Print_Area_12" localSheetId="2">#REF!</definedName>
    <definedName name="Excel_BuiltIn_Print_Area_12">#REF!</definedName>
    <definedName name="Excel_BuiltIn_Print_Area_13" localSheetId="2">#REF!</definedName>
    <definedName name="Excel_BuiltIn_Print_Area_13">#REF!</definedName>
    <definedName name="Excel_BuiltIn_Print_Area_3" localSheetId="2">#REF!</definedName>
    <definedName name="Excel_BuiltIn_Print_Area_3">#REF!</definedName>
    <definedName name="Excel_BuiltIn_Print_Titles" localSheetId="2">#REF!</definedName>
    <definedName name="Excel_BuiltIn_Print_Titles">#REF!</definedName>
    <definedName name="Excel_BuiltIn_Print_Titles_12" localSheetId="2">#REF!</definedName>
    <definedName name="Excel_BuiltIn_Print_Titles_12">#REF!</definedName>
    <definedName name="Excel_BuiltIn_Print_Titles_13" localSheetId="2">#REF!</definedName>
    <definedName name="Excel_BuiltIn_Print_Titles_13">#REF!</definedName>
    <definedName name="Excel_BuiltIn_Print_Titles_14" localSheetId="2">#REF!</definedName>
    <definedName name="Excel_BuiltIn_Print_Titles_14">#REF!</definedName>
    <definedName name="Excel_BuiltIn_Print_Titles_3" localSheetId="2">#REF!</definedName>
    <definedName name="Excel_BuiltIn_Print_Titles_3">#REF!</definedName>
    <definedName name="expb_">[36]DatasetCombo!$AK$3</definedName>
    <definedName name="expc_">[36]DatasetCombo!$AK$2</definedName>
    <definedName name="F" localSheetId="0">#REF!</definedName>
    <definedName name="F" localSheetId="2">#REF!</definedName>
    <definedName name="F">#REF!</definedName>
    <definedName name="fadfa" localSheetId="2">#REF!</definedName>
    <definedName name="fadfa">#REF!</definedName>
    <definedName name="FE" localSheetId="2">#REF!</definedName>
    <definedName name="FE">#REF!</definedName>
    <definedName name="FF" localSheetId="2">#REF!</definedName>
    <definedName name="FF">#REF!</definedName>
    <definedName name="fff">'[37]İŞ PROĞRAMI'!$BS$1:$CA$56</definedName>
    <definedName name="FGVSBFSBFG" localSheetId="0">[38]yENİCE!#REF!</definedName>
    <definedName name="FGVSBFSBFG" localSheetId="2">[38]yENİCE!#REF!</definedName>
    <definedName name="FGVSBFSBFG">[38]yENİCE!#REF!</definedName>
    <definedName name="FSTRP" localSheetId="0">#REF!</definedName>
    <definedName name="FSTRP" localSheetId="2">#REF!</definedName>
    <definedName name="FSTRP">#REF!</definedName>
    <definedName name="g" localSheetId="2">#REF!</definedName>
    <definedName name="g">#REF!</definedName>
    <definedName name="ge">[39]Derivasyon!$C$3</definedName>
    <definedName name="GGGGG" localSheetId="0">[40]tefen_hes!#REF!</definedName>
    <definedName name="GGGGG" localSheetId="2">[40]tefen_hes!#REF!</definedName>
    <definedName name="GGGGG">[40]tefen_hes!#REF!</definedName>
    <definedName name="GHGGHHGGHVVN" localSheetId="0">#REF!</definedName>
    <definedName name="GHGGHHGGHVVN" localSheetId="2">#REF!</definedName>
    <definedName name="GHGGHHGGHVVN">#REF!</definedName>
    <definedName name="GirisQ">[41]Sheet1!$J$2:$J$148</definedName>
    <definedName name="Girist">[41]Sheet1!$H$2:$H$148</definedName>
    <definedName name="GIRISTAB" localSheetId="0">#REF!</definedName>
    <definedName name="GIRISTAB" localSheetId="2">#REF!</definedName>
    <definedName name="GIRISTAB">#REF!</definedName>
    <definedName name="gövdekil" localSheetId="2">#REF!</definedName>
    <definedName name="gövdekil">#REF!</definedName>
    <definedName name="GRAFİK2" localSheetId="2" hidden="1">#REF!</definedName>
    <definedName name="GRAFİK2" hidden="1">#REF!</definedName>
    <definedName name="GRF">[3]yENİCE!#REF!</definedName>
    <definedName name="GRK">[2]yENİCE!#REF!</definedName>
    <definedName name="gul">[40]tefen_hes!#REF!</definedName>
    <definedName name="H" localSheetId="0">#REF!</definedName>
    <definedName name="H" localSheetId="2">#REF!</definedName>
    <definedName name="H">#REF!</definedName>
    <definedName name="hacim">[42]KAH!$D$4:$D$45</definedName>
    <definedName name="HakedisNo">'[43]GENEL BILGI'!$C$24</definedName>
    <definedName name="HakedisTarihi">'[43]GENEL BILGI'!$C$25</definedName>
    <definedName name="hakno">'[44]Yeşil.Defter.Kapak'!$H$7</definedName>
    <definedName name="HakNoSonEk">[33]Genel!$AF$4</definedName>
    <definedName name="haktar">'[44]Yeşil.Defter.Kapak'!$F$22</definedName>
    <definedName name="HANE">[24]Sheet1!$C$32</definedName>
    <definedName name="HE" localSheetId="0">#REF!</definedName>
    <definedName name="HE" localSheetId="2">#REF!</definedName>
    <definedName name="HE">#REF!</definedName>
    <definedName name="I_1">[32]ver4!$E$11</definedName>
    <definedName name="I_2">[32]ver4!$L$11</definedName>
    <definedName name="I_3">[32]ver4!$F$11</definedName>
    <definedName name="I_4">[32]ver4!$O$11</definedName>
    <definedName name="ii" localSheetId="0">#REF!</definedName>
    <definedName name="ii" localSheetId="2">#REF!</definedName>
    <definedName name="ii">#REF!</definedName>
    <definedName name="ilmer" localSheetId="2">#REF!</definedName>
    <definedName name="ilmer">#REF!</definedName>
    <definedName name="Index_Sheet_Kutools" localSheetId="2">#REF!</definedName>
    <definedName name="Index_Sheet_Kutools">#REF!</definedName>
    <definedName name="IR_MAX">[32]ver4!$E$26</definedName>
    <definedName name="IR_MIN">[32]ver4!$E$25</definedName>
    <definedName name="isik" localSheetId="0">[1]yENİCE!#REF!</definedName>
    <definedName name="isik" localSheetId="2">[1]yENİCE!#REF!</definedName>
    <definedName name="isik">[1]yENİCE!#REF!</definedName>
    <definedName name="IsinAdi">'[43]GENEL BILGI'!$C$5</definedName>
    <definedName name="İşinAdı">[33]Genel!$C$5</definedName>
    <definedName name="ISTASYONNO" localSheetId="0">#REF!</definedName>
    <definedName name="ISTASYONNO" localSheetId="2">#REF!</definedName>
    <definedName name="ISTASYONNO">#REF!</definedName>
    <definedName name="k" localSheetId="2">#REF!</definedName>
    <definedName name="k">#REF!</definedName>
    <definedName name="k.artışı">'[45]İŞ PROĞRAMI'!$BS$1:$CA$56</definedName>
    <definedName name="k2k3" localSheetId="0">'[46]köpr-icm'!#REF!</definedName>
    <definedName name="k2k3" localSheetId="2">'[46]köpr-icm'!#REF!</definedName>
    <definedName name="k2k3">'[46]köpr-icm'!#REF!</definedName>
    <definedName name="KAK" localSheetId="0">#REF!</definedName>
    <definedName name="KAK" localSheetId="2">#REF!</definedName>
    <definedName name="KAK">#REF!</definedName>
    <definedName name="KANT_E" localSheetId="0">'[4]KM KANATLI'!#REF!</definedName>
    <definedName name="KANT_E" localSheetId="2">'[4]KM KANATLI'!#REF!</definedName>
    <definedName name="KANT_E">'[4]KM KANATLI'!#REF!</definedName>
    <definedName name="KANT_N" localSheetId="2">'[4]KM KANATLI'!#REF!</definedName>
    <definedName name="KANT_N">'[4]KM KANATLI'!#REF!</definedName>
    <definedName name="KANTA" localSheetId="2">'[4]KM KANATLI'!#REF!</definedName>
    <definedName name="KANTA">'[4]KM KANATLI'!#REF!</definedName>
    <definedName name="KANTE" localSheetId="2">'[4]KM KANATLI'!#REF!</definedName>
    <definedName name="KANTE">'[4]KM KANATLI'!#REF!</definedName>
    <definedName name="KANTF" localSheetId="2">'[4]KM KANATLI'!#REF!</definedName>
    <definedName name="KANTF">'[4]KM KANATLI'!#REF!</definedName>
    <definedName name="KANTN">'[4]KM KANATLI'!#REF!</definedName>
    <definedName name="KAPAK" localSheetId="0">#REF!</definedName>
    <definedName name="KAPAK" localSheetId="2">#REF!</definedName>
    <definedName name="KAPAK">#REF!</definedName>
    <definedName name="KASAENER" localSheetId="0">'[21]tarla CIKTI'!#REF!</definedName>
    <definedName name="KASAENER" localSheetId="2">'[21]tarla CIKTI'!#REF!</definedName>
    <definedName name="KASAENER">'[21]tarla CIKTI'!#REF!</definedName>
    <definedName name="kastablo" localSheetId="0">#REF!</definedName>
    <definedName name="kastablo" localSheetId="2">#REF!</definedName>
    <definedName name="kastablo">#REF!</definedName>
    <definedName name="KDV" localSheetId="2">#REF!</definedName>
    <definedName name="KDV">#REF!</definedName>
    <definedName name="KES" localSheetId="2">'[47]tarla CIKTI'!#REF!</definedName>
    <definedName name="KES">'[47]tarla CIKTI'!#REF!</definedName>
    <definedName name="KESME" localSheetId="0">#REF!</definedName>
    <definedName name="KESME" localSheetId="2">#REF!</definedName>
    <definedName name="KESME">#REF!</definedName>
    <definedName name="KESTABLO" localSheetId="2">#REF!</definedName>
    <definedName name="KESTABLO">#REF!</definedName>
    <definedName name="KK" localSheetId="2">#REF!</definedName>
    <definedName name="KK">#REF!</definedName>
    <definedName name="KKatsUyg">'[33]Ek Bilgi'!$D$88</definedName>
    <definedName name="KontrolEdenAdiSoyadi">[22]Sayfa1!$B$4</definedName>
    <definedName name="kontroledengörevi">[22]Sayfa1!$C$4</definedName>
    <definedName name="KontSefiAdSoyad">[17]Kisan_Ref_BF!$B$4</definedName>
    <definedName name="KontSefiUnvan">[17]Kisan_Ref_BF!$C$4</definedName>
    <definedName name="kot">[42]KAH!$B$4:$B$45</definedName>
    <definedName name="KTS" localSheetId="0">#REF!</definedName>
    <definedName name="KTS" localSheetId="2">#REF!</definedName>
    <definedName name="KTS">#REF!</definedName>
    <definedName name="KUR">[24]Sheet1!$E$71</definedName>
    <definedName name="L" localSheetId="0">'[47]tarla CIKTI'!#REF!</definedName>
    <definedName name="L" localSheetId="2">'[47]tarla CIKTI'!#REF!</definedName>
    <definedName name="L">'[47]tarla CIKTI'!#REF!</definedName>
    <definedName name="lina_">[36]DatasetCombo!$S$3</definedName>
    <definedName name="linb_">[36]DatasetCombo!$S$2</definedName>
    <definedName name="ll">#N/A</definedName>
    <definedName name="lll">'[48]Tablo 4.31'!$1:$1048576</definedName>
    <definedName name="logb_">[36]DatasetCombo!$Y$3</definedName>
    <definedName name="logc_">[36]DatasetCombo!$Y$2</definedName>
    <definedName name="m" localSheetId="0">#REF!</definedName>
    <definedName name="m" localSheetId="2">#REF!</definedName>
    <definedName name="m">#REF!</definedName>
    <definedName name="MAK" localSheetId="2">#REF!</definedName>
    <definedName name="MAK">#REF!</definedName>
    <definedName name="MANSAP" localSheetId="2">'[4]KM KANATLI'!#REF!</definedName>
    <definedName name="MANSAP">'[4]KM KANATLI'!#REF!</definedName>
    <definedName name="mar" localSheetId="2">'[15]tarla CIKTI'!#REF!</definedName>
    <definedName name="mar">'[15]tarla CIKTI'!#REF!</definedName>
    <definedName name="MarkKuru">[17]Kisan_Ref_BF!$E$3</definedName>
    <definedName name="MaxBFPozSay" localSheetId="0">'[49]Ek Bilgi'!#REF!</definedName>
    <definedName name="MaxBFPozSay" localSheetId="2">'[49]Ek Bilgi'!#REF!</definedName>
    <definedName name="MaxBFPozSay">'[49]Ek Bilgi'!#REF!</definedName>
    <definedName name="MazotEmsalleri" localSheetId="0">#REF!</definedName>
    <definedName name="MazotEmsalleri" localSheetId="2">#REF!</definedName>
    <definedName name="MazotEmsalleri">#REF!</definedName>
    <definedName name="medyan" localSheetId="2">#REF!</definedName>
    <definedName name="medyan">#REF!</definedName>
    <definedName name="MENBA" localSheetId="2">'[4]KM KANATLI'!#REF!</definedName>
    <definedName name="MENBA">'[4]KM KANATLI'!#REF!</definedName>
    <definedName name="MFFBazFiyFormulleri" localSheetId="2">'[49]Ek Bilgi'!#REF!</definedName>
    <definedName name="MFFBazFiyFormulleri">'[49]Ek Bilgi'!#REF!</definedName>
    <definedName name="MFFBrmMikCet" localSheetId="0">#REF!</definedName>
    <definedName name="MFFBrmMikCet" localSheetId="2">#REF!</definedName>
    <definedName name="MFFBrmMikCet">#REF!</definedName>
    <definedName name="MFFBrmMikCetBaslik" localSheetId="2">#REF!</definedName>
    <definedName name="MFFBrmMikCetBaslik">#REF!</definedName>
    <definedName name="MFFZamliFiyatFormulleri" localSheetId="2">'[49]Ek Bilgi'!#REF!</definedName>
    <definedName name="MFFZamliFiyatFormulleri">'[49]Ek Bilgi'!#REF!</definedName>
    <definedName name="MikCetArkaNakKats" localSheetId="2">[49]Miktarlar!#REF!</definedName>
    <definedName name="MikCetArkaNakKats">[49]Miktarlar!#REF!</definedName>
    <definedName name="Miktarlar">[49]Miktarlar!$J$7:$K$15,[49]Miktarlar!$M$7:$AA$15</definedName>
    <definedName name="Min17_34" localSheetId="0">#REF!</definedName>
    <definedName name="Min17_34" localSheetId="2">#REF!</definedName>
    <definedName name="Min17_34">#REF!</definedName>
    <definedName name="Min17_35" localSheetId="2">#REF!</definedName>
    <definedName name="Min17_35">#REF!</definedName>
    <definedName name="MinAra0" localSheetId="2">#REF!</definedName>
    <definedName name="MinAra0">#REF!</definedName>
    <definedName name="MM">'[50]İŞ PROĞRAMI'!$BS$1:$CA$56</definedName>
    <definedName name="MMikCetveli" localSheetId="0">#REF!</definedName>
    <definedName name="MMikCetveli" localSheetId="2">#REF!</definedName>
    <definedName name="MMikCetveli">#REF!</definedName>
    <definedName name="MMMM">'[50]İŞ PROĞRAMI'!$BS$1:$CA$56</definedName>
    <definedName name="MN" localSheetId="0">#REF!</definedName>
    <definedName name="MN" localSheetId="2">#REF!</definedName>
    <definedName name="MN">#REF!</definedName>
    <definedName name="muğla" localSheetId="0">'[51]KM KANATLI'!#REF!</definedName>
    <definedName name="muğla" localSheetId="2">'[51]KM KANATLI'!#REF!</definedName>
    <definedName name="muğla">'[51]KM KANATLI'!#REF!</definedName>
    <definedName name="MutKarKats">'[33]Ek Bilgi'!$D$45</definedName>
    <definedName name="n" localSheetId="0">#REF!</definedName>
    <definedName name="n" localSheetId="2">#REF!</definedName>
    <definedName name="n">#REF!</definedName>
    <definedName name="n_">[52]Alkumru!$D$70</definedName>
    <definedName name="n_1" localSheetId="0">#REF!</definedName>
    <definedName name="n_1" localSheetId="2">#REF!</definedName>
    <definedName name="n_1">#REF!</definedName>
    <definedName name="n_2" localSheetId="2">#REF!</definedName>
    <definedName name="n_2">#REF!</definedName>
    <definedName name="NA" localSheetId="2">#REF!</definedName>
    <definedName name="NA">#REF!</definedName>
    <definedName name="nak" localSheetId="2">#REF!</definedName>
    <definedName name="nak">#REF!</definedName>
    <definedName name="NakBrmMikCet" localSheetId="2">#REF!</definedName>
    <definedName name="NakBrmMikCet">#REF!</definedName>
    <definedName name="NakBrmMikCetBaslik" localSheetId="2">#REF!</definedName>
    <definedName name="NakBrmMikCetBaslik">#REF!</definedName>
    <definedName name="NakBrmMikCetBaslikBrm" localSheetId="2">#REF!</definedName>
    <definedName name="NakBrmMikCetBaslikBrm">#REF!</definedName>
    <definedName name="NakCetAktNakMesafeleri" localSheetId="2">#REF!</definedName>
    <definedName name="NakCetAktNakMesafeleri">#REF!</definedName>
    <definedName name="NakCetArkaNakMes" localSheetId="2">#REF!</definedName>
    <definedName name="NakCetArkaNakMes">#REF!</definedName>
    <definedName name="NakCetHakNakMes" localSheetId="2">#REF!</definedName>
    <definedName name="NakCetHakNakMes">#REF!</definedName>
    <definedName name="NakCetKesif1NakMes" localSheetId="2">#REF!</definedName>
    <definedName name="NakCetKesif1NakMes">#REF!</definedName>
    <definedName name="NakCetKesif2NakMes" localSheetId="2">#REF!</definedName>
    <definedName name="NakCetKesif2NakMes">#REF!</definedName>
    <definedName name="NakCetNakMesafeleri" localSheetId="2">#REF!</definedName>
    <definedName name="NakCetNakMesafeleri">#REF!</definedName>
    <definedName name="NakDuzIsciSoz" localSheetId="2">#REF!</definedName>
    <definedName name="NakDuzIsciSoz">#REF!</definedName>
    <definedName name="NakDuzIsciUyg" localSheetId="2">#REF!</definedName>
    <definedName name="NakDuzIsciUyg">#REF!</definedName>
    <definedName name="NakKSoz" localSheetId="2">#REF!</definedName>
    <definedName name="NakKSoz">#REF!</definedName>
    <definedName name="NakKUyg" localSheetId="2">#REF!</definedName>
    <definedName name="NakKUyg">#REF!</definedName>
    <definedName name="NAKLIYE" localSheetId="2">#REF!</definedName>
    <definedName name="NAKLIYE">#REF!</definedName>
    <definedName name="NakliyePozSayısı">'[49]Ek Bilgi'!#REF!</definedName>
    <definedName name="NH3N" localSheetId="0">#REF!</definedName>
    <definedName name="NH3N" localSheetId="2">#REF!</definedName>
    <definedName name="NH3N">#REF!</definedName>
    <definedName name="nn" localSheetId="2">#REF!</definedName>
    <definedName name="nn">#REF!</definedName>
    <definedName name="NO2N" localSheetId="2">#REF!</definedName>
    <definedName name="NO2N">#REF!</definedName>
    <definedName name="NO3N" localSheetId="2">#REF!</definedName>
    <definedName name="NO3N">#REF!</definedName>
    <definedName name="NormalPozSayısı">'[49]Ek Bilgi'!#REF!</definedName>
    <definedName name="olc" localSheetId="0">#REF!</definedName>
    <definedName name="olc" localSheetId="2">#REF!</definedName>
    <definedName name="olc">#REF!</definedName>
    <definedName name="Oran1" localSheetId="2">#REF!</definedName>
    <definedName name="Oran1">#REF!</definedName>
    <definedName name="p" localSheetId="2">#REF!</definedName>
    <definedName name="p">#REF!</definedName>
    <definedName name="PAR_S">'[4]KM KANATLI'!#REF!</definedName>
    <definedName name="PEN_1">[32]ver4!$E$33</definedName>
    <definedName name="PEN_2">[32]ver4!$E$34</definedName>
    <definedName name="PEN_3">[32]ver4!$E$35</definedName>
    <definedName name="PER" localSheetId="0">'[4]KM KANATLI'!#REF!</definedName>
    <definedName name="PER" localSheetId="2">'[4]KM KANATLI'!#REF!</definedName>
    <definedName name="PER">'[4]KM KANATLI'!#REF!</definedName>
    <definedName name="perv" localSheetId="0">'[53]4.6'!#REF!</definedName>
    <definedName name="perv" localSheetId="2">'[53]4.6'!#REF!</definedName>
    <definedName name="perv">'[53]4.6'!#REF!</definedName>
    <definedName name="pet">'[54]İŞ PROĞRAMI'!$BS$1:$CA$56</definedName>
    <definedName name="PH" localSheetId="0">#REF!</definedName>
    <definedName name="PH" localSheetId="2">#REF!</definedName>
    <definedName name="PH">#REF!</definedName>
    <definedName name="pl2b_">[36]DatasetCombo!$AQ$4</definedName>
    <definedName name="pl2c1_">[36]DatasetCombo!$AQ$3</definedName>
    <definedName name="pl2c2_">[36]DatasetCombo!$AQ$2</definedName>
    <definedName name="pl3b_">[36]DatasetCombo!$AW$5</definedName>
    <definedName name="pl3c1_">[36]DatasetCombo!$AW$4</definedName>
    <definedName name="pl3c2_">[36]DatasetCombo!$AW$3</definedName>
    <definedName name="pl3c3_">[36]DatasetCombo!$AW$2</definedName>
    <definedName name="powb_">[36]DatasetCombo!$AE$3</definedName>
    <definedName name="powc_">[36]DatasetCombo!$AE$2</definedName>
    <definedName name="PP" localSheetId="0">#REF!</definedName>
    <definedName name="PP" localSheetId="2">#REF!</definedName>
    <definedName name="PP">#REF!</definedName>
    <definedName name="pppp" localSheetId="2">#REF!</definedName>
    <definedName name="pppp">#REF!</definedName>
    <definedName name="_xlnm.Print_Area">'[35]Tablo 4.31'!$A$1:$IV$65536</definedName>
    <definedName name="PRINT_AREA_MI" localSheetId="0">#REF!</definedName>
    <definedName name="PRINT_AREA_MI" localSheetId="2">#REF!</definedName>
    <definedName name="PRINT_AREA_MI">#REF!</definedName>
    <definedName name="_xlnm.Print_Titles" localSheetId="2">#REF!</definedName>
    <definedName name="_xlnm.Print_Titles">#REF!</definedName>
    <definedName name="PRINT_TITLES_MI" localSheetId="2">#REF!</definedName>
    <definedName name="PRINT_TITLES_MI">#REF!</definedName>
    <definedName name="ProjeAlani" localSheetId="2">#REF!</definedName>
    <definedName name="ProjeAlani">#REF!</definedName>
    <definedName name="PV" localSheetId="2">#REF!</definedName>
    <definedName name="PV">#REF!</definedName>
    <definedName name="q" localSheetId="2">#REF!</definedName>
    <definedName name="q">#REF!</definedName>
    <definedName name="Q2zarfı" localSheetId="2" hidden="1">#REF!</definedName>
    <definedName name="Q2zarfı" hidden="1">#REF!</definedName>
    <definedName name="QDEBIM3SN" localSheetId="2">#REF!</definedName>
    <definedName name="QDEBIM3SN">#REF!</definedName>
    <definedName name="qq">[55]Proje1!#REF!</definedName>
    <definedName name="qqq" localSheetId="0">#REF!</definedName>
    <definedName name="qqq" localSheetId="2">#REF!</definedName>
    <definedName name="qqq">#REF!</definedName>
    <definedName name="qqqqq" localSheetId="2">#REF!</definedName>
    <definedName name="qqqqq">#REF!</definedName>
    <definedName name="qqqqqqqqq" localSheetId="2">#REF!</definedName>
    <definedName name="qqqqqqqqq">#REF!</definedName>
    <definedName name="R_1_MIN">[32]ver1!$C$15</definedName>
    <definedName name="R_2_MIN">[32]ver1!$O$8</definedName>
    <definedName name="R_3_MIN">[32]ver1!$O$15</definedName>
    <definedName name="R_4_MIN">[32]ver1!$O$22</definedName>
    <definedName name="RAD_B" localSheetId="0">'[4]KM KANATLI'!#REF!</definedName>
    <definedName name="RAD_B" localSheetId="2">'[4]KM KANATLI'!#REF!</definedName>
    <definedName name="RAD_B">'[4]KM KANATLI'!#REF!</definedName>
    <definedName name="RAD_G1" localSheetId="0">'[4]KM KANATLI'!#REF!</definedName>
    <definedName name="RAD_G1" localSheetId="2">'[4]KM KANATLI'!#REF!</definedName>
    <definedName name="RAD_G1">'[4]KM KANATLI'!#REF!</definedName>
    <definedName name="RAD_G2" localSheetId="2">'[4]KM KANATLI'!#REF!</definedName>
    <definedName name="RAD_G2">'[4]KM KANATLI'!#REF!</definedName>
    <definedName name="RAD_P" localSheetId="2">'[4]KM KANATLI'!#REF!</definedName>
    <definedName name="RAD_P">'[4]KM KANATLI'!#REF!</definedName>
    <definedName name="RADP">'[4]KM KANATLI'!#REF!</definedName>
    <definedName name="RAF">[56]CIKTI!#REF!</definedName>
    <definedName name="rafet">[57]CIKTI!#REF!</definedName>
    <definedName name="RAYIC">[24]Sheet1!$A$2:$G$1001</definedName>
    <definedName name="RE_1">[32]ver4!$E$12</definedName>
    <definedName name="RE_2">[32]ver4!$L$12</definedName>
    <definedName name="RE_3">[32]ver4!$F$12</definedName>
    <definedName name="RE_4">[32]ver4!$O$12</definedName>
    <definedName name="_xlnm.Recorder" localSheetId="0">[58]TABLO!#REF!</definedName>
    <definedName name="_xlnm.Recorder" localSheetId="2">[58]TABLO!#REF!</definedName>
    <definedName name="_xlnm.Recorder">[58]TABLO!#REF!</definedName>
    <definedName name="Regulasyon" localSheetId="0">#REF!</definedName>
    <definedName name="Regulasyon" localSheetId="2">#REF!</definedName>
    <definedName name="Regulasyon">#REF!</definedName>
    <definedName name="REL_MIN">[32]ver4!$E$29</definedName>
    <definedName name="RENK" localSheetId="0">#REF!</definedName>
    <definedName name="RENK" localSheetId="2">#REF!</definedName>
    <definedName name="RENK">#REF!</definedName>
    <definedName name="rr" localSheetId="0">[29]yENİCE!#REF!</definedName>
    <definedName name="rr" localSheetId="2">[29]yENİCE!#REF!</definedName>
    <definedName name="rr">[29]yENİCE!#REF!</definedName>
    <definedName name="s" localSheetId="0">#REF!</definedName>
    <definedName name="s" localSheetId="2">#REF!</definedName>
    <definedName name="s">#REF!</definedName>
    <definedName name="S_END_1">[32]ver4!$E$13</definedName>
    <definedName name="S_END_2">[32]ver4!$L$13</definedName>
    <definedName name="S_END_3">[32]ver4!$F$13</definedName>
    <definedName name="S_END_4">[32]ver4!$O$13</definedName>
    <definedName name="s4.1.16" localSheetId="0">#REF!</definedName>
    <definedName name="s4.1.16" localSheetId="2">#REF!</definedName>
    <definedName name="s4.1.16">#REF!</definedName>
    <definedName name="sacit">'[59]T-SIIRT.DMI'!$S$1</definedName>
    <definedName name="SADSAD" localSheetId="0">#REF!</definedName>
    <definedName name="SADSAD" localSheetId="2">#REF!</definedName>
    <definedName name="SADSAD">#REF!</definedName>
    <definedName name="SAT" localSheetId="2">#REF!</definedName>
    <definedName name="SAT">#REF!</definedName>
    <definedName name="sd" localSheetId="2">[12]yENİCE!#REF!</definedName>
    <definedName name="sd">[12]yENİCE!#REF!</definedName>
    <definedName name="sedda" localSheetId="0">#REF!</definedName>
    <definedName name="sedda" localSheetId="2">#REF!</definedName>
    <definedName name="sedda">#REF!</definedName>
    <definedName name="SEND_1">[32]ver2!$H$17</definedName>
    <definedName name="SEND_1_MAX">[32]ver2!$E$17</definedName>
    <definedName name="SEND_1_MIN">[32]ver2!$C$17</definedName>
    <definedName name="SEND_2">[32]ver2!$L$8</definedName>
    <definedName name="SEND_2_MAX">[32]ver2!$R$8</definedName>
    <definedName name="SEND_2_MIN">[32]ver2!$P$8</definedName>
    <definedName name="SEND_3">[32]ver2!$L$17</definedName>
    <definedName name="SEND_3_MAX">[32]ver2!$R$17</definedName>
    <definedName name="SEND_3_MIN">[32]ver2!$P$17</definedName>
    <definedName name="SEND_4">[32]ver2!$J$26</definedName>
    <definedName name="SEND_4_MAX">[32]ver2!$R$26</definedName>
    <definedName name="SEND_4_MIN">[32]ver2!$P$26</definedName>
    <definedName name="SEND_MAX">[32]ver4!$E$28</definedName>
    <definedName name="SEND_MIN">[32]ver4!$E$27</definedName>
    <definedName name="sıl" localSheetId="0">'[60]köpr-icm'!#REF!</definedName>
    <definedName name="sıl" localSheetId="2">'[60]köpr-icm'!#REF!</definedName>
    <definedName name="sıl">'[60]köpr-icm'!#REF!</definedName>
    <definedName name="Sira">[41]Sheet1!$G$2:$G$148</definedName>
    <definedName name="SIRANO" localSheetId="0">#REF!</definedName>
    <definedName name="SIRANO" localSheetId="2">#REF!</definedName>
    <definedName name="SIRANO">#REF!</definedName>
    <definedName name="SozlesmeBedeli">'[43]GENEL BILGI'!$C$10</definedName>
    <definedName name="ss" localSheetId="0">#REF!</definedName>
    <definedName name="ss" localSheetId="2">#REF!</definedName>
    <definedName name="ss">#REF!</definedName>
    <definedName name="sssss" localSheetId="0">[29]yENİCE!#REF!</definedName>
    <definedName name="sssss" localSheetId="2">[29]yENİCE!#REF!</definedName>
    <definedName name="sssss">[29]yENİCE!#REF!</definedName>
    <definedName name="st">OFFSET([61]Sheet3!$C$4,1,0,[14]!datasayı,1)</definedName>
    <definedName name="station">'[62]Annual data'!$A$3</definedName>
    <definedName name="SureUzatGerekce4" localSheetId="0">#REF!</definedName>
    <definedName name="SureUzatGerekce4" localSheetId="2">#REF!</definedName>
    <definedName name="SureUzatGerekce4">#REF!</definedName>
    <definedName name="SureUzatGerekce5" localSheetId="2">#REF!</definedName>
    <definedName name="SureUzatGerekce5">#REF!</definedName>
    <definedName name="sut" localSheetId="2">#REF!</definedName>
    <definedName name="sut">#REF!</definedName>
    <definedName name="T" localSheetId="2">#REF!</definedName>
    <definedName name="T">#REF!</definedName>
    <definedName name="t..">OFFSET([61]Sheet3!$K$4,1,0,[14]!datasayı,1)</definedName>
    <definedName name="T4.566" localSheetId="0">#REF!</definedName>
    <definedName name="T4.566" localSheetId="2">#REF!</definedName>
    <definedName name="T4.566">#REF!</definedName>
    <definedName name="TAB" localSheetId="0">'[4]KM KANATLI'!#REF!</definedName>
    <definedName name="TAB" localSheetId="2">'[4]KM KANATLI'!#REF!</definedName>
    <definedName name="TAB">'[4]KM KANATLI'!#REF!</definedName>
    <definedName name="tablo" localSheetId="0">#REF!</definedName>
    <definedName name="tablo" localSheetId="2">#REF!</definedName>
    <definedName name="tablo">#REF!</definedName>
    <definedName name="tablo_3" localSheetId="2" hidden="1">#REF!</definedName>
    <definedName name="tablo_3" hidden="1">#REF!</definedName>
    <definedName name="TABLOLAR_3" localSheetId="0">OFFSET([13]Sheet3!$K$4,1,0,datasayı,1)</definedName>
    <definedName name="TABLOLAR_3" localSheetId="2">OFFSET([13]Sheet3!$K$4,1,0,datasayı,1)</definedName>
    <definedName name="TABLOLAR_3">OFFSET([13]Sheet3!$K$4,1,0,datasayı,1)</definedName>
    <definedName name="TARIH" localSheetId="0">#REF!</definedName>
    <definedName name="TARIH" localSheetId="2">#REF!</definedName>
    <definedName name="TARIH">#REF!</definedName>
    <definedName name="tas" localSheetId="0">'[21]tarla CIKTI'!#REF!</definedName>
    <definedName name="tas" localSheetId="2">'[21]tarla CIKTI'!#REF!</definedName>
    <definedName name="tas">'[21]tarla CIKTI'!#REF!</definedName>
    <definedName name="TaşaronAdı">[33]Genel!$F$10</definedName>
    <definedName name="taskın" localSheetId="0">OFFSET([13]Sheet3!$E$4,1,0,datasayı,1)</definedName>
    <definedName name="taskın" localSheetId="2">OFFSET([13]Sheet3!$E$4,1,0,datasayı,1)</definedName>
    <definedName name="taskın">OFFSET([13]Sheet3!$E$4,1,0,datasayı,1)</definedName>
    <definedName name="TavaKtsy" localSheetId="0">#REF!</definedName>
    <definedName name="TavaKtsy" localSheetId="2">#REF!</definedName>
    <definedName name="TavaKtsy">#REF!</definedName>
    <definedName name="TCOLI" localSheetId="2">#REF!</definedName>
    <definedName name="TCOLI">#REF!</definedName>
    <definedName name="TDS" localSheetId="2">#REF!</definedName>
    <definedName name="TDS">#REF!</definedName>
    <definedName name="Toplam_Sertlik" localSheetId="2">#REF!</definedName>
    <definedName name="Toplam_Sertlik">#REF!</definedName>
    <definedName name="ToplamPozSayısı">'[49]Ek Bilgi'!#REF!</definedName>
    <definedName name="TumZamTarihleri">[49]MFFZam!$C$14:$C$42,[49]MFFZam!$E$14:$E$42,[49]MFFZam!$Q$14:$Q$42</definedName>
    <definedName name="UygYili">[22]Sayfa1!$B$2</definedName>
    <definedName name="veli" localSheetId="0">#REF!</definedName>
    <definedName name="veli" localSheetId="2">#REF!</definedName>
    <definedName name="veli">#REF!</definedName>
    <definedName name="veli.1" localSheetId="0">'[21]tarla CIKTI'!#REF!</definedName>
    <definedName name="veli.1" localSheetId="2">'[21]tarla CIKTI'!#REF!</definedName>
    <definedName name="veli.1">'[21]tarla CIKTI'!#REF!</definedName>
    <definedName name="veliler" localSheetId="0">#REF!</definedName>
    <definedName name="veliler" localSheetId="2">#REF!</definedName>
    <definedName name="veliler">#REF!</definedName>
    <definedName name="wqw">'[63]T-SIIRT.DMI'!$S$1</definedName>
    <definedName name="wqwwwwwwww" localSheetId="0">#REF!</definedName>
    <definedName name="wqwwwwwwww" localSheetId="2">#REF!</definedName>
    <definedName name="wqwwwwwwww">#REF!</definedName>
    <definedName name="wrn.Ocak." localSheetId="0" hidden="1">{#N/A,#N/A,FALSE,"99yılı"}</definedName>
    <definedName name="wrn.Ocak." localSheetId="2" hidden="1">{#N/A,#N/A,FALSE,"99yılı"}</definedName>
    <definedName name="wrn.Ocak." hidden="1">{#N/A,#N/A,FALSE,"99yılı"}</definedName>
    <definedName name="ww">[64]CIKTI!#REF!</definedName>
    <definedName name="www" localSheetId="0">#REF!</definedName>
    <definedName name="www" localSheetId="2">#REF!</definedName>
    <definedName name="www">#REF!</definedName>
    <definedName name="wwwwwwwwwww" localSheetId="2">#REF!</definedName>
    <definedName name="wwwwwwwwwww">#REF!</definedName>
    <definedName name="X_1" localSheetId="3">#REF!</definedName>
    <definedName name="X_1">[32]ver1!$G$14</definedName>
    <definedName name="X_1_MAX">[32]ver1!$E$14</definedName>
    <definedName name="X_1_MIN">[32]ver1!$C$14</definedName>
    <definedName name="x_2" localSheetId="3">#REF!</definedName>
    <definedName name="X_2">[32]ver1!$K$7</definedName>
    <definedName name="X_2_MAX">[32]ver1!$Q$7</definedName>
    <definedName name="X_2_MIN">[32]ver1!$O$7</definedName>
    <definedName name="X_3">[32]ver1!$K$14</definedName>
    <definedName name="X_3_MAX">[32]ver1!$Q$14</definedName>
    <definedName name="X_3_MIN">[32]ver1!$O$14</definedName>
    <definedName name="X_4">[32]ver1!$I$21</definedName>
    <definedName name="X_4_MAX">[32]ver1!$Q$21</definedName>
    <definedName name="X_4_MIN">[32]ver1!$O$21</definedName>
    <definedName name="Xvalues">OFFSET([65]Sheet1!$B$2,[65]Routing!$Z$1-1,0,[65]Routing!$Y$1,1)</definedName>
    <definedName name="xx" localSheetId="0">[66]yENİCE!#REF!</definedName>
    <definedName name="xx" localSheetId="2">[66]yENİCE!#REF!</definedName>
    <definedName name="xx">[66]yENİCE!#REF!</definedName>
    <definedName name="XXXXXXX" localSheetId="0">'[4]KM KANATLI'!#REF!</definedName>
    <definedName name="XXXXXXX" localSheetId="2">'[4]KM KANATLI'!#REF!</definedName>
    <definedName name="XXXXXXX">'[4]KM KANATLI'!#REF!</definedName>
    <definedName name="Y_1" localSheetId="3">#REF!</definedName>
    <definedName name="Y_1">[32]ver3!$H$17</definedName>
    <definedName name="y_2" localSheetId="3">#REF!</definedName>
    <definedName name="Y_2">[32]ver3!$L$7</definedName>
    <definedName name="Y_3">[32]ver3!$L$17</definedName>
    <definedName name="Y_4">[32]ver3!$J$27</definedName>
    <definedName name="yagis" localSheetId="0">[1]yENİCE!#REF!</definedName>
    <definedName name="yagis" localSheetId="2">[1]yENİCE!#REF!</definedName>
    <definedName name="yagis">[1]yENİCE!#REF!</definedName>
    <definedName name="Yalani" localSheetId="0">#REF!</definedName>
    <definedName name="Yalani" localSheetId="2">#REF!</definedName>
    <definedName name="Yalani">#REF!</definedName>
    <definedName name="YapiDenGor">'[43]GENEL BILGI'!$C$28</definedName>
    <definedName name="YARIKPINAR" localSheetId="0">#REF!</definedName>
    <definedName name="YARIKPINAR" localSheetId="2">#REF!</definedName>
    <definedName name="YARIKPINAR">#REF!</definedName>
    <definedName name="YatakYuku">[19]input!$C$13</definedName>
    <definedName name="yazTanim">[49]YAZ!$A$3:$E$17,[49]YAZ!$F$3:$J$17</definedName>
    <definedName name="YazTickBoxes">[49]YAZ!$E$3:$E$17,[49]YAZ!$J$3:$J$17</definedName>
    <definedName name="yeni" localSheetId="0">'[67]köpr-icm'!#REF!</definedName>
    <definedName name="yeni" localSheetId="2">'[67]köpr-icm'!#REF!</definedName>
    <definedName name="yeni">'[67]köpr-icm'!#REF!</definedName>
    <definedName name="YeniFiyTutGirPozSay" localSheetId="0">#REF!</definedName>
    <definedName name="YeniFiyTutGirPozSay" localSheetId="2">#REF!</definedName>
    <definedName name="YeniFiyTutGirPozSay">#REF!</definedName>
    <definedName name="YESIL1" localSheetId="2">#REF!</definedName>
    <definedName name="YESIL1">#REF!</definedName>
    <definedName name="YESIL10" localSheetId="2">#REF!</definedName>
    <definedName name="YESIL10">#REF!</definedName>
    <definedName name="YESIL11" localSheetId="2">#REF!</definedName>
    <definedName name="YESIL11">#REF!</definedName>
    <definedName name="YESIL12" localSheetId="2">#REF!</definedName>
    <definedName name="YESIL12">#REF!</definedName>
    <definedName name="YESIL13" localSheetId="2">#REF!</definedName>
    <definedName name="YESIL13">#REF!</definedName>
    <definedName name="YESIL14" localSheetId="2">#REF!</definedName>
    <definedName name="YESIL14">#REF!</definedName>
    <definedName name="YESIL15" localSheetId="2">#REF!</definedName>
    <definedName name="YESIL15">#REF!</definedName>
    <definedName name="YESIL16" localSheetId="2">#REF!</definedName>
    <definedName name="YESIL16">#REF!</definedName>
    <definedName name="YESIL2" localSheetId="2">#REF!</definedName>
    <definedName name="YESIL2">#REF!</definedName>
    <definedName name="YESIL3" localSheetId="2">#REF!</definedName>
    <definedName name="YESIL3">#REF!</definedName>
    <definedName name="YESIL4" localSheetId="2">#REF!</definedName>
    <definedName name="YESIL4">#REF!</definedName>
    <definedName name="YESIL5" localSheetId="2">#REF!</definedName>
    <definedName name="YESIL5">#REF!</definedName>
    <definedName name="YESIL6" localSheetId="2">#REF!</definedName>
    <definedName name="YESIL6">#REF!</definedName>
    <definedName name="YESIL7" localSheetId="2">#REF!</definedName>
    <definedName name="YESIL7">#REF!</definedName>
    <definedName name="YESIL8" localSheetId="2">#REF!</definedName>
    <definedName name="YESIL8">#REF!</definedName>
    <definedName name="YESIL9" localSheetId="2">#REF!</definedName>
    <definedName name="YESIL9">#REF!</definedName>
    <definedName name="YESKAPAK" localSheetId="2">#REF!</definedName>
    <definedName name="YESKAPAK">#REF!</definedName>
    <definedName name="Yillar">[22]Sayfa1!$E$2:$H$2</definedName>
    <definedName name="Yıllar" localSheetId="0">[68]Aybastı!#REF!</definedName>
    <definedName name="Yıllar" localSheetId="2">[68]Aybastı!#REF!</definedName>
    <definedName name="Yıllar">[68]Aybastı!#REF!</definedName>
    <definedName name="Yıllar_12" localSheetId="0">[69]Anamur!#REF!</definedName>
    <definedName name="Yıllar_12" localSheetId="2">[69]Anamur!#REF!</definedName>
    <definedName name="Yıllar_12">[69]Anamur!#REF!</definedName>
    <definedName name="Yıllar_13">[69]Anamur!#REF!</definedName>
    <definedName name="Yıllar_14">[70]Aybastı!#REF!</definedName>
    <definedName name="Yıllar_3">[70]Aybastı!#REF!</definedName>
    <definedName name="yıllar2">[71]Aybastı!#REF!</definedName>
    <definedName name="Yuklenici">'[43]GENEL BILGI'!$C$9</definedName>
    <definedName name="Yvalues">OFFSET([14]!Xvalues,0,1)</definedName>
    <definedName name="Yvalues2">OFFSET([14]!Xvalues,0,2)</definedName>
    <definedName name="z" localSheetId="0">#REF!</definedName>
    <definedName name="z" localSheetId="2">#REF!</definedName>
    <definedName name="z">#REF!</definedName>
    <definedName name="z_" localSheetId="2">#REF!</definedName>
    <definedName name="z_">#REF!</definedName>
    <definedName name="Z_6FD68921_FD8A_11D1_84A4_444553540000_.wvu.Cols" localSheetId="2" hidden="1">#REF!</definedName>
    <definedName name="Z_6FD68921_FD8A_11D1_84A4_444553540000_.wvu.Cols" hidden="1">#REF!</definedName>
    <definedName name="zomk" localSheetId="0">[72]Aybastı!#REF!</definedName>
    <definedName name="zomk" localSheetId="2">[72]Aybastı!#REF!</definedName>
    <definedName name="zomk">[72]Aybastı!#REF!</definedName>
    <definedName name="ZZZZZZ" localSheetId="0">'[4]KM KANATLI'!#REF!</definedName>
    <definedName name="ZZZZZZ" localSheetId="2">'[4]KM KANATLI'!#REF!</definedName>
    <definedName name="ZZZZZZ">'[4]KM KANATLI'!#REF!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89" i="184" l="1"/>
  <c r="N88" i="184"/>
  <c r="N87" i="184"/>
  <c r="N86" i="184"/>
  <c r="N85" i="184"/>
  <c r="N84" i="184"/>
  <c r="N83" i="184"/>
  <c r="N82" i="184"/>
  <c r="N81" i="184"/>
  <c r="N80" i="184"/>
  <c r="N76" i="184" s="1"/>
  <c r="N79" i="184"/>
  <c r="N78" i="184"/>
  <c r="N77" i="184"/>
  <c r="AE17" i="184"/>
  <c r="AE18" i="184"/>
  <c r="AE19" i="184"/>
  <c r="AE20" i="184"/>
  <c r="AE21" i="184"/>
  <c r="AE22" i="184"/>
  <c r="AE23" i="184"/>
  <c r="AE24" i="184"/>
  <c r="AE25" i="184"/>
  <c r="AE26" i="184"/>
  <c r="AE27" i="184"/>
  <c r="AE28" i="184"/>
  <c r="AE29" i="184"/>
  <c r="N24" i="184" l="1"/>
  <c r="N17" i="184"/>
  <c r="S230" i="162" a="1"/>
  <c r="S230" i="162" s="1"/>
  <c r="AE200" i="162"/>
  <c r="O200" i="162"/>
  <c r="O201" i="162"/>
  <c r="O202" i="162"/>
  <c r="O203" i="162"/>
  <c r="O204" i="162"/>
  <c r="O205" i="162"/>
  <c r="AE227" i="162"/>
  <c r="AE226" i="162"/>
  <c r="AE225" i="162"/>
  <c r="AE224" i="162"/>
  <c r="AE223" i="162"/>
  <c r="AE222" i="162"/>
  <c r="AE221" i="162"/>
  <c r="AE220" i="162"/>
  <c r="AE219" i="162"/>
  <c r="AE218" i="162"/>
  <c r="AE217" i="162"/>
  <c r="AE216" i="162"/>
  <c r="AE215" i="162"/>
  <c r="AE212" i="162"/>
  <c r="AE211" i="162"/>
  <c r="AE210" i="162"/>
  <c r="AE209" i="162"/>
  <c r="AE208" i="162"/>
  <c r="AE207" i="162"/>
  <c r="AE206" i="162"/>
  <c r="AE205" i="162"/>
  <c r="AE204" i="162"/>
  <c r="AE203" i="162"/>
  <c r="AE202" i="162"/>
  <c r="AE201" i="162"/>
  <c r="O242" i="162"/>
  <c r="O241" i="162"/>
  <c r="O240" i="162"/>
  <c r="O239" i="162"/>
  <c r="O238" i="162"/>
  <c r="O237" i="162"/>
  <c r="O236" i="162"/>
  <c r="O235" i="162"/>
  <c r="O234" i="162"/>
  <c r="O233" i="162"/>
  <c r="O232" i="162"/>
  <c r="O231" i="162"/>
  <c r="O230" i="162"/>
  <c r="O227" i="162"/>
  <c r="O226" i="162"/>
  <c r="O225" i="162"/>
  <c r="O224" i="162"/>
  <c r="O223" i="162"/>
  <c r="O222" i="162"/>
  <c r="O221" i="162"/>
  <c r="O220" i="162"/>
  <c r="O219" i="162"/>
  <c r="O218" i="162"/>
  <c r="O217" i="162"/>
  <c r="O216" i="162"/>
  <c r="O215" i="162"/>
  <c r="O212" i="162"/>
  <c r="O211" i="162"/>
  <c r="O210" i="162"/>
  <c r="O209" i="162"/>
  <c r="O208" i="162"/>
  <c r="O207" i="162"/>
  <c r="O206" i="162"/>
  <c r="N27" i="184" l="1"/>
  <c r="N23" i="184"/>
  <c r="N29" i="184"/>
  <c r="N26" i="184"/>
  <c r="N19" i="184"/>
  <c r="N22" i="184"/>
  <c r="N21" i="184"/>
  <c r="N28" i="184"/>
  <c r="N20" i="184"/>
  <c r="N25" i="184"/>
  <c r="N18" i="184"/>
  <c r="N14" i="184"/>
  <c r="N6" i="184"/>
  <c r="N13" i="184"/>
  <c r="N11" i="184"/>
  <c r="N10" i="184"/>
  <c r="N9" i="184"/>
  <c r="N8" i="184"/>
  <c r="N5" i="184"/>
  <c r="N4" i="184"/>
  <c r="N3" i="184"/>
  <c r="N12" i="184"/>
  <c r="N2" i="184"/>
  <c r="Y230" i="162"/>
  <c r="X242" i="162"/>
  <c r="AB241" i="162"/>
  <c r="T241" i="162"/>
  <c r="X240" i="162"/>
  <c r="AB239" i="162"/>
  <c r="T239" i="162"/>
  <c r="X238" i="162"/>
  <c r="AB237" i="162"/>
  <c r="T237" i="162"/>
  <c r="X236" i="162"/>
  <c r="AB235" i="162"/>
  <c r="T235" i="162"/>
  <c r="X234" i="162"/>
  <c r="AB233" i="162"/>
  <c r="T233" i="162"/>
  <c r="X232" i="162"/>
  <c r="AB231" i="162"/>
  <c r="T231" i="162"/>
  <c r="X230" i="162"/>
  <c r="AB242" i="162"/>
  <c r="AB238" i="162"/>
  <c r="AD241" i="162"/>
  <c r="Z240" i="162"/>
  <c r="V239" i="162"/>
  <c r="V237" i="162"/>
  <c r="Z234" i="162"/>
  <c r="V231" i="162"/>
  <c r="Y242" i="162"/>
  <c r="U241" i="162"/>
  <c r="Y240" i="162"/>
  <c r="AC239" i="162"/>
  <c r="U239" i="162"/>
  <c r="Y238" i="162"/>
  <c r="AC237" i="162"/>
  <c r="U237" i="162"/>
  <c r="Y236" i="162"/>
  <c r="AC235" i="162"/>
  <c r="U235" i="162"/>
  <c r="Y234" i="162"/>
  <c r="AC233" i="162"/>
  <c r="U233" i="162"/>
  <c r="Y232" i="162"/>
  <c r="AC231" i="162"/>
  <c r="U231" i="162"/>
  <c r="W242" i="162"/>
  <c r="AA241" i="162"/>
  <c r="S241" i="162"/>
  <c r="W240" i="162"/>
  <c r="AA239" i="162"/>
  <c r="S239" i="162"/>
  <c r="W238" i="162"/>
  <c r="AA237" i="162"/>
  <c r="S237" i="162"/>
  <c r="W236" i="162"/>
  <c r="AA235" i="162"/>
  <c r="S235" i="162"/>
  <c r="W234" i="162"/>
  <c r="AA233" i="162"/>
  <c r="S233" i="162"/>
  <c r="W232" i="162"/>
  <c r="AA231" i="162"/>
  <c r="S231" i="162"/>
  <c r="W230" i="162"/>
  <c r="V230" i="162"/>
  <c r="T242" i="162"/>
  <c r="AB240" i="162"/>
  <c r="X239" i="162"/>
  <c r="T238" i="162"/>
  <c r="Z242" i="162"/>
  <c r="V241" i="162"/>
  <c r="AD239" i="162"/>
  <c r="Z238" i="162"/>
  <c r="AD237" i="162"/>
  <c r="Z236" i="162"/>
  <c r="AD235" i="162"/>
  <c r="V235" i="162"/>
  <c r="AD233" i="162"/>
  <c r="V233" i="162"/>
  <c r="Z232" i="162"/>
  <c r="AD231" i="162"/>
  <c r="Z230" i="162"/>
  <c r="AC241" i="162"/>
  <c r="AD242" i="162"/>
  <c r="V242" i="162"/>
  <c r="Z241" i="162"/>
  <c r="AD240" i="162"/>
  <c r="V240" i="162"/>
  <c r="Z239" i="162"/>
  <c r="AD238" i="162"/>
  <c r="V238" i="162"/>
  <c r="Z237" i="162"/>
  <c r="AD236" i="162"/>
  <c r="V236" i="162"/>
  <c r="Z235" i="162"/>
  <c r="AD234" i="162"/>
  <c r="V234" i="162"/>
  <c r="Z233" i="162"/>
  <c r="AD232" i="162"/>
  <c r="V232" i="162"/>
  <c r="Z231" i="162"/>
  <c r="AD230" i="162"/>
  <c r="AC242" i="162"/>
  <c r="U242" i="162"/>
  <c r="Y241" i="162"/>
  <c r="AC240" i="162"/>
  <c r="U240" i="162"/>
  <c r="Y239" i="162"/>
  <c r="AC238" i="162"/>
  <c r="U238" i="162"/>
  <c r="Y237" i="162"/>
  <c r="AC236" i="162"/>
  <c r="U236" i="162"/>
  <c r="Y235" i="162"/>
  <c r="AC234" i="162"/>
  <c r="U234" i="162"/>
  <c r="Y233" i="162"/>
  <c r="AC232" i="162"/>
  <c r="U232" i="162"/>
  <c r="Y231" i="162"/>
  <c r="AC230" i="162"/>
  <c r="U230" i="162"/>
  <c r="T230" i="162"/>
  <c r="X241" i="162"/>
  <c r="T240" i="162"/>
  <c r="X237" i="162"/>
  <c r="AB236" i="162"/>
  <c r="T236" i="162"/>
  <c r="X235" i="162"/>
  <c r="AB234" i="162"/>
  <c r="T234" i="162"/>
  <c r="X233" i="162"/>
  <c r="AB232" i="162"/>
  <c r="T232" i="162"/>
  <c r="X231" i="162"/>
  <c r="AB230" i="162"/>
  <c r="AA242" i="162"/>
  <c r="S242" i="162"/>
  <c r="W241" i="162"/>
  <c r="AA240" i="162"/>
  <c r="S240" i="162"/>
  <c r="W239" i="162"/>
  <c r="AA238" i="162"/>
  <c r="S238" i="162"/>
  <c r="W237" i="162"/>
  <c r="AA236" i="162"/>
  <c r="S236" i="162"/>
  <c r="W235" i="162"/>
  <c r="AA234" i="162"/>
  <c r="S234" i="162"/>
  <c r="W233" i="162"/>
  <c r="AA232" i="162"/>
  <c r="S232" i="162"/>
  <c r="W231" i="162"/>
  <c r="AA230" i="162"/>
  <c r="F2" i="87"/>
  <c r="K197" i="162"/>
  <c r="J197" i="162"/>
  <c r="I196" i="162"/>
  <c r="H196" i="162"/>
  <c r="R196" i="162" s="1"/>
  <c r="L194" i="162"/>
  <c r="I194" i="162"/>
  <c r="I193" i="162"/>
  <c r="I192" i="162"/>
  <c r="R192" i="162" s="1"/>
  <c r="I189" i="162"/>
  <c r="I187" i="162"/>
  <c r="R187" i="162" s="1"/>
  <c r="L186" i="162"/>
  <c r="I186" i="162"/>
  <c r="I185" i="162"/>
  <c r="O181" i="162"/>
  <c r="O180" i="162"/>
  <c r="O179" i="162"/>
  <c r="H194" i="162" s="1"/>
  <c r="R194" i="162" s="1"/>
  <c r="O178" i="162"/>
  <c r="O177" i="162"/>
  <c r="O176" i="162"/>
  <c r="O175" i="162"/>
  <c r="O174" i="162"/>
  <c r="H189" i="162" s="1"/>
  <c r="O189" i="162" s="1"/>
  <c r="O173" i="162"/>
  <c r="O172" i="162"/>
  <c r="O171" i="162"/>
  <c r="H186" i="162" s="1"/>
  <c r="R186" i="162" s="1"/>
  <c r="O170" i="162"/>
  <c r="O169" i="162"/>
  <c r="O166" i="162"/>
  <c r="O165" i="162"/>
  <c r="I195" i="162" s="1"/>
  <c r="O164" i="162"/>
  <c r="O163" i="162"/>
  <c r="O162" i="162"/>
  <c r="O161" i="162"/>
  <c r="I191" i="162" s="1"/>
  <c r="R191" i="162" s="1"/>
  <c r="O160" i="162"/>
  <c r="I190" i="162" s="1"/>
  <c r="R190" i="162" s="1"/>
  <c r="O159" i="162"/>
  <c r="O158" i="162"/>
  <c r="I188" i="162" s="1"/>
  <c r="R188" i="162" s="1"/>
  <c r="O157" i="162"/>
  <c r="O156" i="162"/>
  <c r="O155" i="162"/>
  <c r="O154" i="162"/>
  <c r="I184" i="162" s="1"/>
  <c r="M150" i="162"/>
  <c r="L150" i="162"/>
  <c r="G150" i="162"/>
  <c r="E150" i="162"/>
  <c r="D150" i="162"/>
  <c r="K149" i="162"/>
  <c r="I149" i="162"/>
  <c r="H149" i="162"/>
  <c r="C149" i="162"/>
  <c r="M148" i="162"/>
  <c r="L148" i="162"/>
  <c r="G148" i="162"/>
  <c r="E148" i="162"/>
  <c r="D148" i="162"/>
  <c r="K147" i="162"/>
  <c r="I147" i="162"/>
  <c r="H147" i="162"/>
  <c r="C147" i="162"/>
  <c r="M146" i="162"/>
  <c r="L146" i="162"/>
  <c r="G146" i="162"/>
  <c r="E146" i="162"/>
  <c r="D146" i="162"/>
  <c r="K145" i="162"/>
  <c r="I145" i="162"/>
  <c r="H145" i="162"/>
  <c r="C145" i="162"/>
  <c r="M144" i="162"/>
  <c r="L144" i="162"/>
  <c r="G144" i="162"/>
  <c r="E144" i="162"/>
  <c r="D144" i="162"/>
  <c r="K143" i="162"/>
  <c r="I143" i="162"/>
  <c r="H143" i="162"/>
  <c r="C143" i="162"/>
  <c r="M142" i="162"/>
  <c r="L142" i="162"/>
  <c r="G142" i="162"/>
  <c r="E142" i="162"/>
  <c r="D142" i="162"/>
  <c r="K141" i="162"/>
  <c r="I141" i="162"/>
  <c r="H141" i="162"/>
  <c r="C141" i="162"/>
  <c r="M140" i="162"/>
  <c r="L140" i="162"/>
  <c r="G140" i="162"/>
  <c r="E140" i="162"/>
  <c r="D140" i="162"/>
  <c r="K139" i="162"/>
  <c r="I139" i="162"/>
  <c r="H139" i="162"/>
  <c r="C139" i="162"/>
  <c r="M138" i="162"/>
  <c r="L138" i="162"/>
  <c r="G138" i="162"/>
  <c r="E138" i="162"/>
  <c r="D138" i="162"/>
  <c r="C138" i="162" a="1"/>
  <c r="K150" i="162" s="1"/>
  <c r="O135" i="162"/>
  <c r="O134" i="162"/>
  <c r="O133" i="162"/>
  <c r="O132" i="162"/>
  <c r="O131" i="162"/>
  <c r="O130" i="162"/>
  <c r="O129" i="162"/>
  <c r="O128" i="162"/>
  <c r="O127" i="162"/>
  <c r="O126" i="162"/>
  <c r="O125" i="162"/>
  <c r="O124" i="162"/>
  <c r="AD135" i="162"/>
  <c r="AC135" i="162"/>
  <c r="AA135" i="162"/>
  <c r="X135" i="162"/>
  <c r="V135" i="162"/>
  <c r="U135" i="162"/>
  <c r="S135" i="162"/>
  <c r="AB134" i="162"/>
  <c r="Z134" i="162"/>
  <c r="Y134" i="162"/>
  <c r="W134" i="162"/>
  <c r="T134" i="162"/>
  <c r="AD133" i="162"/>
  <c r="AC133" i="162"/>
  <c r="AA133" i="162"/>
  <c r="X133" i="162"/>
  <c r="V133" i="162"/>
  <c r="U133" i="162"/>
  <c r="S133" i="162"/>
  <c r="AB132" i="162"/>
  <c r="Z132" i="162"/>
  <c r="Y132" i="162"/>
  <c r="W132" i="162"/>
  <c r="T132" i="162"/>
  <c r="AD131" i="162"/>
  <c r="AC131" i="162"/>
  <c r="AA131" i="162"/>
  <c r="X131" i="162"/>
  <c r="V131" i="162"/>
  <c r="U131" i="162"/>
  <c r="S131" i="162"/>
  <c r="AB130" i="162"/>
  <c r="Z130" i="162"/>
  <c r="Y130" i="162"/>
  <c r="W130" i="162"/>
  <c r="T130" i="162"/>
  <c r="AD129" i="162"/>
  <c r="AC129" i="162"/>
  <c r="AA129" i="162"/>
  <c r="X129" i="162"/>
  <c r="V129" i="162"/>
  <c r="U129" i="162"/>
  <c r="S129" i="162"/>
  <c r="AB128" i="162"/>
  <c r="Z128" i="162"/>
  <c r="Y128" i="162"/>
  <c r="W128" i="162"/>
  <c r="T128" i="162"/>
  <c r="AD127" i="162"/>
  <c r="AC127" i="162"/>
  <c r="AA127" i="162"/>
  <c r="X127" i="162"/>
  <c r="V127" i="162"/>
  <c r="U127" i="162"/>
  <c r="S127" i="162"/>
  <c r="AB126" i="162"/>
  <c r="Z126" i="162"/>
  <c r="Y126" i="162"/>
  <c r="W126" i="162"/>
  <c r="T126" i="162"/>
  <c r="AD125" i="162"/>
  <c r="AC125" i="162"/>
  <c r="AA125" i="162"/>
  <c r="X125" i="162"/>
  <c r="V125" i="162"/>
  <c r="U125" i="162"/>
  <c r="S125" i="162"/>
  <c r="AB124" i="162"/>
  <c r="Z124" i="162"/>
  <c r="Y124" i="162"/>
  <c r="W124" i="162"/>
  <c r="T124" i="162"/>
  <c r="AD123" i="162"/>
  <c r="AC123" i="162"/>
  <c r="AA123" i="162"/>
  <c r="X123" i="162"/>
  <c r="V123" i="162"/>
  <c r="U123" i="162"/>
  <c r="S123" i="162"/>
  <c r="S123" i="162" a="1"/>
  <c r="AB135" i="162" s="1"/>
  <c r="O123" i="162"/>
  <c r="O120" i="162"/>
  <c r="O119" i="162"/>
  <c r="O118" i="162"/>
  <c r="O117" i="162"/>
  <c r="O116" i="162"/>
  <c r="O115" i="162"/>
  <c r="O114" i="162"/>
  <c r="O113" i="162"/>
  <c r="CX112" i="162"/>
  <c r="CU112" i="162"/>
  <c r="CS112" i="162"/>
  <c r="CO112" i="162"/>
  <c r="O112" i="162"/>
  <c r="O111" i="162"/>
  <c r="O110" i="162"/>
  <c r="O109" i="162"/>
  <c r="O108" i="162"/>
  <c r="BV105" i="162"/>
  <c r="O105" i="162"/>
  <c r="BV104" i="162"/>
  <c r="O104" i="162"/>
  <c r="BV103" i="162"/>
  <c r="O103" i="162"/>
  <c r="BV102" i="162"/>
  <c r="O102" i="162"/>
  <c r="BV101" i="162"/>
  <c r="O101" i="162"/>
  <c r="BV100" i="162"/>
  <c r="O100" i="162"/>
  <c r="BV99" i="162"/>
  <c r="O99" i="162"/>
  <c r="BV98" i="162"/>
  <c r="O98" i="162"/>
  <c r="BV97" i="162"/>
  <c r="O97" i="162"/>
  <c r="BV96" i="162"/>
  <c r="O96" i="162"/>
  <c r="BV95" i="162"/>
  <c r="O95" i="162"/>
  <c r="BV94" i="162"/>
  <c r="O94" i="162"/>
  <c r="BV93" i="162"/>
  <c r="AC105" i="162"/>
  <c r="AB105" i="162"/>
  <c r="AA105" i="162"/>
  <c r="Y105" i="162"/>
  <c r="X105" i="162"/>
  <c r="U105" i="162"/>
  <c r="T105" i="162"/>
  <c r="S105" i="162"/>
  <c r="AC104" i="162"/>
  <c r="AB104" i="162"/>
  <c r="Y104" i="162"/>
  <c r="X104" i="162"/>
  <c r="W104" i="162"/>
  <c r="U104" i="162"/>
  <c r="T104" i="162"/>
  <c r="AC103" i="162"/>
  <c r="AB103" i="162"/>
  <c r="AA103" i="162"/>
  <c r="Y103" i="162"/>
  <c r="X103" i="162"/>
  <c r="U103" i="162"/>
  <c r="T103" i="162"/>
  <c r="S103" i="162"/>
  <c r="AC102" i="162"/>
  <c r="AB102" i="162"/>
  <c r="Y102" i="162"/>
  <c r="X102" i="162"/>
  <c r="W102" i="162"/>
  <c r="U102" i="162"/>
  <c r="T102" i="162"/>
  <c r="AC101" i="162"/>
  <c r="AB101" i="162"/>
  <c r="AA101" i="162"/>
  <c r="Y101" i="162"/>
  <c r="X101" i="162"/>
  <c r="U101" i="162"/>
  <c r="T101" i="162"/>
  <c r="S101" i="162"/>
  <c r="AC100" i="162"/>
  <c r="AB100" i="162"/>
  <c r="Y100" i="162"/>
  <c r="X100" i="162"/>
  <c r="W100" i="162"/>
  <c r="U100" i="162"/>
  <c r="T100" i="162"/>
  <c r="AC99" i="162"/>
  <c r="AB99" i="162"/>
  <c r="AA99" i="162"/>
  <c r="Y99" i="162"/>
  <c r="X99" i="162"/>
  <c r="U99" i="162"/>
  <c r="T99" i="162"/>
  <c r="S99" i="162"/>
  <c r="AC98" i="162"/>
  <c r="AB98" i="162"/>
  <c r="Y98" i="162"/>
  <c r="X98" i="162"/>
  <c r="W98" i="162"/>
  <c r="U98" i="162"/>
  <c r="T98" i="162"/>
  <c r="AC97" i="162"/>
  <c r="AB97" i="162"/>
  <c r="AA97" i="162"/>
  <c r="Y97" i="162"/>
  <c r="X97" i="162"/>
  <c r="U97" i="162"/>
  <c r="T97" i="162"/>
  <c r="S97" i="162"/>
  <c r="AC96" i="162"/>
  <c r="AB96" i="162"/>
  <c r="Y96" i="162"/>
  <c r="X96" i="162"/>
  <c r="W96" i="162"/>
  <c r="U96" i="162"/>
  <c r="T96" i="162"/>
  <c r="AC95" i="162"/>
  <c r="AB95" i="162"/>
  <c r="AA95" i="162"/>
  <c r="Y95" i="162"/>
  <c r="X95" i="162"/>
  <c r="U95" i="162"/>
  <c r="T95" i="162"/>
  <c r="S95" i="162"/>
  <c r="AC94" i="162"/>
  <c r="AB94" i="162"/>
  <c r="Y94" i="162"/>
  <c r="X94" i="162"/>
  <c r="W94" i="162"/>
  <c r="U94" i="162"/>
  <c r="T94" i="162"/>
  <c r="AC93" i="162"/>
  <c r="AB93" i="162"/>
  <c r="AA93" i="162"/>
  <c r="Y93" i="162"/>
  <c r="X93" i="162"/>
  <c r="U93" i="162"/>
  <c r="T93" i="162"/>
  <c r="S93" i="162"/>
  <c r="S93" i="162" a="1"/>
  <c r="W105" i="162" s="1"/>
  <c r="O93" i="162"/>
  <c r="BV90" i="162"/>
  <c r="BV89" i="162"/>
  <c r="BV88" i="162"/>
  <c r="BV87" i="162"/>
  <c r="BV86" i="162"/>
  <c r="BV85" i="162"/>
  <c r="CN84" i="162"/>
  <c r="BV84" i="162"/>
  <c r="BV83" i="162"/>
  <c r="CX82" i="162"/>
  <c r="CW82" i="162"/>
  <c r="CV82" i="162"/>
  <c r="CU82" i="162"/>
  <c r="CT82" i="162"/>
  <c r="CS82" i="162"/>
  <c r="CR82" i="162"/>
  <c r="CP82" i="162"/>
  <c r="CO82" i="162"/>
  <c r="CN82" i="162"/>
  <c r="BV82" i="162"/>
  <c r="CP112" i="162" s="1"/>
  <c r="BV81" i="162"/>
  <c r="BV80" i="162"/>
  <c r="BV79" i="162"/>
  <c r="BV78" i="162"/>
  <c r="C59" i="162"/>
  <c r="BZ29" i="162" s="1"/>
  <c r="N57" i="162"/>
  <c r="CK27" i="162" s="1"/>
  <c r="L57" i="162"/>
  <c r="CI27" i="162" s="1"/>
  <c r="E57" i="162"/>
  <c r="CB27" i="162" s="1"/>
  <c r="L55" i="162"/>
  <c r="G55" i="162"/>
  <c r="CD25" i="162" s="1"/>
  <c r="C55" i="162"/>
  <c r="G54" i="162"/>
  <c r="G52" i="162"/>
  <c r="CD22" i="162" s="1"/>
  <c r="E52" i="162"/>
  <c r="CB22" i="162" s="1"/>
  <c r="N51" i="162"/>
  <c r="CK21" i="162" s="1"/>
  <c r="H51" i="162"/>
  <c r="CE21" i="162" s="1"/>
  <c r="M49" i="162"/>
  <c r="L49" i="162"/>
  <c r="CI19" i="162" s="1"/>
  <c r="L48" i="162"/>
  <c r="CI18" i="162" s="1"/>
  <c r="H48" i="162"/>
  <c r="C48" i="162" a="1"/>
  <c r="I59" i="162" s="1"/>
  <c r="CF29" i="162" s="1"/>
  <c r="CK43" i="162"/>
  <c r="CJ43" i="162"/>
  <c r="CI43" i="162"/>
  <c r="CH43" i="162"/>
  <c r="CG43" i="162"/>
  <c r="CF43" i="162"/>
  <c r="CE43" i="162"/>
  <c r="CD43" i="162"/>
  <c r="CC43" i="162"/>
  <c r="CB43" i="162"/>
  <c r="CA43" i="162"/>
  <c r="BZ43" i="162"/>
  <c r="BY43" i="162"/>
  <c r="BX43" i="162"/>
  <c r="CK42" i="162"/>
  <c r="CJ42" i="162"/>
  <c r="CI42" i="162"/>
  <c r="CH42" i="162"/>
  <c r="CG42" i="162"/>
  <c r="CF42" i="162"/>
  <c r="CE42" i="162"/>
  <c r="CD42" i="162"/>
  <c r="CC42" i="162"/>
  <c r="CB42" i="162"/>
  <c r="CA42" i="162"/>
  <c r="BZ42" i="162"/>
  <c r="BY42" i="162"/>
  <c r="BX42" i="162"/>
  <c r="CK41" i="162"/>
  <c r="CJ41" i="162"/>
  <c r="CI41" i="162"/>
  <c r="CH41" i="162"/>
  <c r="CG41" i="162"/>
  <c r="CF41" i="162"/>
  <c r="CE41" i="162"/>
  <c r="CD41" i="162"/>
  <c r="CC41" i="162"/>
  <c r="CB41" i="162"/>
  <c r="CA41" i="162"/>
  <c r="BZ41" i="162"/>
  <c r="BY41" i="162"/>
  <c r="BX41" i="162"/>
  <c r="CK40" i="162"/>
  <c r="CJ40" i="162"/>
  <c r="CI40" i="162"/>
  <c r="CH40" i="162"/>
  <c r="CG40" i="162"/>
  <c r="CF40" i="162"/>
  <c r="CE40" i="162"/>
  <c r="CD40" i="162"/>
  <c r="CC40" i="162"/>
  <c r="CB40" i="162"/>
  <c r="CA40" i="162"/>
  <c r="BZ40" i="162"/>
  <c r="BY40" i="162"/>
  <c r="BX40" i="162"/>
  <c r="CK39" i="162"/>
  <c r="CJ39" i="162"/>
  <c r="CI39" i="162"/>
  <c r="CH39" i="162"/>
  <c r="CG39" i="162"/>
  <c r="CF39" i="162"/>
  <c r="CE39" i="162"/>
  <c r="CD39" i="162"/>
  <c r="CC39" i="162"/>
  <c r="CB39" i="162"/>
  <c r="CA39" i="162"/>
  <c r="BZ39" i="162"/>
  <c r="BY39" i="162"/>
  <c r="BX39" i="162"/>
  <c r="CK38" i="162"/>
  <c r="CJ38" i="162"/>
  <c r="CI38" i="162"/>
  <c r="CH38" i="162"/>
  <c r="CG38" i="162"/>
  <c r="CF38" i="162"/>
  <c r="CE38" i="162"/>
  <c r="CD38" i="162"/>
  <c r="CC38" i="162"/>
  <c r="CB38" i="162"/>
  <c r="CA38" i="162"/>
  <c r="BZ38" i="162"/>
  <c r="BY38" i="162"/>
  <c r="BX38" i="162"/>
  <c r="CK37" i="162"/>
  <c r="CJ37" i="162"/>
  <c r="CI37" i="162"/>
  <c r="CH37" i="162"/>
  <c r="CG37" i="162"/>
  <c r="CF37" i="162"/>
  <c r="CE37" i="162"/>
  <c r="CD37" i="162"/>
  <c r="CC37" i="162"/>
  <c r="CB37" i="162"/>
  <c r="CA37" i="162"/>
  <c r="BZ37" i="162"/>
  <c r="BY37" i="162"/>
  <c r="BX37" i="162"/>
  <c r="CK36" i="162"/>
  <c r="CJ36" i="162"/>
  <c r="CI36" i="162"/>
  <c r="CH36" i="162"/>
  <c r="CG36" i="162"/>
  <c r="CF36" i="162"/>
  <c r="CE36" i="162"/>
  <c r="CD36" i="162"/>
  <c r="CC36" i="162"/>
  <c r="CB36" i="162"/>
  <c r="CA36" i="162"/>
  <c r="BZ36" i="162"/>
  <c r="BY36" i="162"/>
  <c r="BX36" i="162"/>
  <c r="CK35" i="162"/>
  <c r="CJ35" i="162"/>
  <c r="CI35" i="162"/>
  <c r="CH35" i="162"/>
  <c r="CG35" i="162"/>
  <c r="CF35" i="162"/>
  <c r="CE35" i="162"/>
  <c r="CD35" i="162"/>
  <c r="CC35" i="162"/>
  <c r="CB35" i="162"/>
  <c r="CA35" i="162"/>
  <c r="BZ35" i="162"/>
  <c r="BY35" i="162"/>
  <c r="BX35" i="162"/>
  <c r="CK34" i="162"/>
  <c r="CJ34" i="162"/>
  <c r="CI34" i="162"/>
  <c r="CH34" i="162"/>
  <c r="CG34" i="162"/>
  <c r="CF34" i="162"/>
  <c r="CE34" i="162"/>
  <c r="CD34" i="162"/>
  <c r="CC34" i="162"/>
  <c r="CB34" i="162"/>
  <c r="CA34" i="162"/>
  <c r="BZ34" i="162"/>
  <c r="BY34" i="162"/>
  <c r="BX34" i="162"/>
  <c r="CK33" i="162"/>
  <c r="CJ33" i="162"/>
  <c r="CI33" i="162"/>
  <c r="CH33" i="162"/>
  <c r="CG33" i="162"/>
  <c r="CF33" i="162"/>
  <c r="CE33" i="162"/>
  <c r="CD33" i="162"/>
  <c r="CC33" i="162"/>
  <c r="CB33" i="162"/>
  <c r="CA33" i="162"/>
  <c r="BZ33" i="162"/>
  <c r="BY33" i="162"/>
  <c r="BX33" i="162"/>
  <c r="CK32" i="162"/>
  <c r="CJ32" i="162"/>
  <c r="CI32" i="162"/>
  <c r="CH32" i="162"/>
  <c r="CG32" i="162"/>
  <c r="CF32" i="162"/>
  <c r="CE32" i="162"/>
  <c r="CD32" i="162"/>
  <c r="CC32" i="162"/>
  <c r="CB32" i="162"/>
  <c r="CA32" i="162"/>
  <c r="BZ32" i="162"/>
  <c r="BY32" i="162"/>
  <c r="BX32" i="162"/>
  <c r="CK31" i="162"/>
  <c r="CJ31" i="162"/>
  <c r="CI31" i="162"/>
  <c r="CH31" i="162"/>
  <c r="CG31" i="162"/>
  <c r="CF31" i="162"/>
  <c r="CE31" i="162"/>
  <c r="CD31" i="162"/>
  <c r="CC31" i="162"/>
  <c r="CB31" i="162"/>
  <c r="CA31" i="162"/>
  <c r="BZ31" i="162"/>
  <c r="BY31" i="162"/>
  <c r="BX31" i="162"/>
  <c r="BY30" i="162"/>
  <c r="BX30" i="162"/>
  <c r="BY29" i="162"/>
  <c r="BX29" i="162"/>
  <c r="BY28" i="162"/>
  <c r="BX28" i="162"/>
  <c r="BY27" i="162"/>
  <c r="BX27" i="162"/>
  <c r="BY26" i="162"/>
  <c r="BX26" i="162"/>
  <c r="CI25" i="162"/>
  <c r="BZ25" i="162"/>
  <c r="BY25" i="162"/>
  <c r="BX25" i="162"/>
  <c r="CD24" i="162"/>
  <c r="BY24" i="162"/>
  <c r="BX24" i="162"/>
  <c r="BY23" i="162"/>
  <c r="BX23" i="162"/>
  <c r="BY22" i="162"/>
  <c r="BX22" i="162"/>
  <c r="BY21" i="162"/>
  <c r="BX21" i="162"/>
  <c r="BY20" i="162"/>
  <c r="BX20" i="162"/>
  <c r="CJ19" i="162"/>
  <c r="BY19" i="162"/>
  <c r="BX19" i="162"/>
  <c r="CY30" i="162"/>
  <c r="CX30" i="162"/>
  <c r="CW30" i="162"/>
  <c r="CV30" i="162"/>
  <c r="CT30" i="162"/>
  <c r="CR30" i="162"/>
  <c r="CQ30" i="162"/>
  <c r="CP30" i="162"/>
  <c r="CO30" i="162"/>
  <c r="CN30" i="162"/>
  <c r="CX29" i="162"/>
  <c r="CV29" i="162"/>
  <c r="CU29" i="162"/>
  <c r="CT29" i="162"/>
  <c r="CS29" i="162"/>
  <c r="CR29" i="162"/>
  <c r="CP29" i="162"/>
  <c r="CN29" i="162"/>
  <c r="CY28" i="162"/>
  <c r="CX28" i="162"/>
  <c r="CW28" i="162"/>
  <c r="CV28" i="162"/>
  <c r="CT28" i="162"/>
  <c r="CR28" i="162"/>
  <c r="CQ28" i="162"/>
  <c r="CP28" i="162"/>
  <c r="CO28" i="162"/>
  <c r="CN28" i="162"/>
  <c r="CX27" i="162"/>
  <c r="CV27" i="162"/>
  <c r="CU27" i="162"/>
  <c r="CT27" i="162"/>
  <c r="CS27" i="162"/>
  <c r="CR27" i="162"/>
  <c r="CP27" i="162"/>
  <c r="CN27" i="162"/>
  <c r="CY26" i="162"/>
  <c r="CX26" i="162"/>
  <c r="CW26" i="162"/>
  <c r="CV26" i="162"/>
  <c r="CT26" i="162"/>
  <c r="CR26" i="162"/>
  <c r="CQ26" i="162"/>
  <c r="CP26" i="162"/>
  <c r="CO26" i="162"/>
  <c r="CN26" i="162"/>
  <c r="CX25" i="162"/>
  <c r="CV25" i="162"/>
  <c r="CU25" i="162"/>
  <c r="CT25" i="162"/>
  <c r="CS25" i="162"/>
  <c r="CR25" i="162"/>
  <c r="CP25" i="162"/>
  <c r="CN25" i="162"/>
  <c r="CY24" i="162"/>
  <c r="CX24" i="162"/>
  <c r="CW24" i="162"/>
  <c r="CV24" i="162"/>
  <c r="CT24" i="162"/>
  <c r="CR24" i="162"/>
  <c r="CQ24" i="162"/>
  <c r="CP24" i="162"/>
  <c r="CO24" i="162"/>
  <c r="CN24" i="162"/>
  <c r="CX23" i="162"/>
  <c r="CV23" i="162"/>
  <c r="CU23" i="162"/>
  <c r="CT23" i="162"/>
  <c r="CS23" i="162"/>
  <c r="CR23" i="162"/>
  <c r="CP23" i="162"/>
  <c r="CN23" i="162"/>
  <c r="CY22" i="162"/>
  <c r="CX22" i="162"/>
  <c r="CW22" i="162"/>
  <c r="CV22" i="162"/>
  <c r="CT22" i="162"/>
  <c r="CR22" i="162"/>
  <c r="CQ22" i="162"/>
  <c r="CP22" i="162"/>
  <c r="CO22" i="162"/>
  <c r="CN22" i="162"/>
  <c r="CX21" i="162"/>
  <c r="CV21" i="162"/>
  <c r="CU21" i="162"/>
  <c r="CT21" i="162"/>
  <c r="CS21" i="162"/>
  <c r="CR21" i="162"/>
  <c r="CP21" i="162"/>
  <c r="CN21" i="162"/>
  <c r="CY20" i="162"/>
  <c r="CX20" i="162"/>
  <c r="CW20" i="162"/>
  <c r="CV20" i="162"/>
  <c r="CT20" i="162"/>
  <c r="CR20" i="162"/>
  <c r="CQ20" i="162"/>
  <c r="CP20" i="162"/>
  <c r="CO20" i="162"/>
  <c r="CN20" i="162"/>
  <c r="CX19" i="162"/>
  <c r="CV19" i="162"/>
  <c r="CU19" i="162"/>
  <c r="CT19" i="162"/>
  <c r="CS19" i="162"/>
  <c r="CR19" i="162"/>
  <c r="CP19" i="162"/>
  <c r="CN19" i="162"/>
  <c r="CY18" i="162"/>
  <c r="CX18" i="162"/>
  <c r="CW18" i="162"/>
  <c r="CV18" i="162"/>
  <c r="CT18" i="162"/>
  <c r="CR18" i="162"/>
  <c r="CQ18" i="162"/>
  <c r="CP18" i="162"/>
  <c r="CO18" i="162"/>
  <c r="CN18" i="162"/>
  <c r="CN18" i="162" a="1"/>
  <c r="CU30" i="162" s="1"/>
  <c r="CE18" i="162"/>
  <c r="BY18" i="162"/>
  <c r="BX18" i="162"/>
  <c r="BZ17" i="162"/>
  <c r="BY17" i="162"/>
  <c r="AE43" i="184" l="1"/>
  <c r="AE36" i="184"/>
  <c r="AE42" i="184"/>
  <c r="AE33" i="184"/>
  <c r="AE40" i="184"/>
  <c r="AE34" i="184"/>
  <c r="AE41" i="184"/>
  <c r="AE37" i="184"/>
  <c r="AE44" i="184"/>
  <c r="AE35" i="184"/>
  <c r="AE38" i="184"/>
  <c r="AE32" i="184"/>
  <c r="AE39" i="184"/>
  <c r="N7" i="184"/>
  <c r="N1" i="184" s="1"/>
  <c r="AE231" i="162"/>
  <c r="AE230" i="162"/>
  <c r="AE239" i="162"/>
  <c r="AE234" i="162"/>
  <c r="AE237" i="162"/>
  <c r="AE240" i="162"/>
  <c r="AE233" i="162"/>
  <c r="AE236" i="162"/>
  <c r="AE242" i="162"/>
  <c r="AE232" i="162"/>
  <c r="AE235" i="162"/>
  <c r="AE238" i="162"/>
  <c r="AE241" i="162"/>
  <c r="N49" i="162"/>
  <c r="CK19" i="162" s="1"/>
  <c r="G53" i="162"/>
  <c r="CD23" i="162" s="1"/>
  <c r="M55" i="162"/>
  <c r="CJ25" i="162" s="1"/>
  <c r="H59" i="162"/>
  <c r="CE29" i="162" s="1"/>
  <c r="C50" i="162"/>
  <c r="BZ20" i="162" s="1"/>
  <c r="H53" i="162"/>
  <c r="CE23" i="162" s="1"/>
  <c r="N55" i="162"/>
  <c r="CK25" i="162" s="1"/>
  <c r="N60" i="162"/>
  <c r="CK30" i="162" s="1"/>
  <c r="F60" i="162"/>
  <c r="CC30" i="162" s="1"/>
  <c r="J59" i="162"/>
  <c r="CG29" i="162" s="1"/>
  <c r="N58" i="162"/>
  <c r="CK28" i="162" s="1"/>
  <c r="F58" i="162"/>
  <c r="CC28" i="162" s="1"/>
  <c r="J57" i="162"/>
  <c r="CG27" i="162" s="1"/>
  <c r="N56" i="162"/>
  <c r="CK26" i="162" s="1"/>
  <c r="F56" i="162"/>
  <c r="CC26" i="162" s="1"/>
  <c r="J55" i="162"/>
  <c r="CG25" i="162" s="1"/>
  <c r="N54" i="162"/>
  <c r="CK24" i="162" s="1"/>
  <c r="F54" i="162"/>
  <c r="CC24" i="162" s="1"/>
  <c r="J53" i="162"/>
  <c r="CG23" i="162" s="1"/>
  <c r="N52" i="162"/>
  <c r="CK22" i="162" s="1"/>
  <c r="F52" i="162"/>
  <c r="CC22" i="162" s="1"/>
  <c r="J51" i="162"/>
  <c r="CG21" i="162" s="1"/>
  <c r="N50" i="162"/>
  <c r="CK20" i="162" s="1"/>
  <c r="F50" i="162"/>
  <c r="CC20" i="162" s="1"/>
  <c r="J49" i="162"/>
  <c r="CG19" i="162" s="1"/>
  <c r="N48" i="162"/>
  <c r="CK18" i="162" s="1"/>
  <c r="F48" i="162"/>
  <c r="CC18" i="162" s="1"/>
  <c r="M60" i="162"/>
  <c r="CJ30" i="162" s="1"/>
  <c r="D60" i="162"/>
  <c r="CA30" i="162" s="1"/>
  <c r="G59" i="162"/>
  <c r="CD29" i="162" s="1"/>
  <c r="J58" i="162"/>
  <c r="CG28" i="162" s="1"/>
  <c r="M57" i="162"/>
  <c r="CJ27" i="162" s="1"/>
  <c r="D57" i="162"/>
  <c r="CA27" i="162" s="1"/>
  <c r="G56" i="162"/>
  <c r="CD26" i="162" s="1"/>
  <c r="I55" i="162"/>
  <c r="CF25" i="162" s="1"/>
  <c r="L54" i="162"/>
  <c r="CI24" i="162" s="1"/>
  <c r="C54" i="162"/>
  <c r="BZ24" i="162" s="1"/>
  <c r="F53" i="162"/>
  <c r="CC23" i="162" s="1"/>
  <c r="I52" i="162"/>
  <c r="CF22" i="162" s="1"/>
  <c r="L51" i="162"/>
  <c r="CI21" i="162" s="1"/>
  <c r="C51" i="162"/>
  <c r="BZ21" i="162" s="1"/>
  <c r="E50" i="162"/>
  <c r="CB20" i="162" s="1"/>
  <c r="H49" i="162"/>
  <c r="CE19" i="162" s="1"/>
  <c r="K48" i="162"/>
  <c r="CH18" i="162" s="1"/>
  <c r="K60" i="162"/>
  <c r="CH30" i="162" s="1"/>
  <c r="N59" i="162"/>
  <c r="CK29" i="162" s="1"/>
  <c r="E59" i="162"/>
  <c r="CB29" i="162" s="1"/>
  <c r="H58" i="162"/>
  <c r="CE28" i="162" s="1"/>
  <c r="G60" i="162"/>
  <c r="CD30" i="162" s="1"/>
  <c r="F59" i="162"/>
  <c r="CC29" i="162" s="1"/>
  <c r="E58" i="162"/>
  <c r="CB28" i="162" s="1"/>
  <c r="G57" i="162"/>
  <c r="CD27" i="162" s="1"/>
  <c r="I56" i="162"/>
  <c r="CF26" i="162" s="1"/>
  <c r="K55" i="162"/>
  <c r="CH25" i="162" s="1"/>
  <c r="K54" i="162"/>
  <c r="CH24" i="162" s="1"/>
  <c r="M53" i="162"/>
  <c r="CJ23" i="162" s="1"/>
  <c r="C53" i="162"/>
  <c r="BZ23" i="162" s="1"/>
  <c r="D52" i="162"/>
  <c r="CA22" i="162" s="1"/>
  <c r="F51" i="162"/>
  <c r="CC21" i="162" s="1"/>
  <c r="H50" i="162"/>
  <c r="CE20" i="162" s="1"/>
  <c r="I49" i="162"/>
  <c r="CF19" i="162" s="1"/>
  <c r="J48" i="162"/>
  <c r="CG18" i="162" s="1"/>
  <c r="E60" i="162"/>
  <c r="CB30" i="162" s="1"/>
  <c r="D59" i="162"/>
  <c r="CA29" i="162" s="1"/>
  <c r="D58" i="162"/>
  <c r="CA28" i="162" s="1"/>
  <c r="F57" i="162"/>
  <c r="CC27" i="162" s="1"/>
  <c r="H56" i="162"/>
  <c r="CE26" i="162" s="1"/>
  <c r="H55" i="162"/>
  <c r="CE25" i="162" s="1"/>
  <c r="J54" i="162"/>
  <c r="CG24" i="162" s="1"/>
  <c r="L53" i="162"/>
  <c r="CI23" i="162" s="1"/>
  <c r="M52" i="162"/>
  <c r="CJ22" i="162" s="1"/>
  <c r="C52" i="162"/>
  <c r="BZ22" i="162" s="1"/>
  <c r="E51" i="162"/>
  <c r="CB21" i="162" s="1"/>
  <c r="G50" i="162"/>
  <c r="CD20" i="162" s="1"/>
  <c r="G49" i="162"/>
  <c r="CD19" i="162" s="1"/>
  <c r="I48" i="162"/>
  <c r="CF18" i="162" s="1"/>
  <c r="H60" i="162"/>
  <c r="CE30" i="162" s="1"/>
  <c r="M58" i="162"/>
  <c r="CJ28" i="162" s="1"/>
  <c r="K57" i="162"/>
  <c r="CH27" i="162" s="1"/>
  <c r="J56" i="162"/>
  <c r="CG26" i="162" s="1"/>
  <c r="F55" i="162"/>
  <c r="CC25" i="162" s="1"/>
  <c r="E54" i="162"/>
  <c r="CB24" i="162" s="1"/>
  <c r="D53" i="162"/>
  <c r="CA23" i="162" s="1"/>
  <c r="M51" i="162"/>
  <c r="CJ21" i="162" s="1"/>
  <c r="K50" i="162"/>
  <c r="CH20" i="162" s="1"/>
  <c r="K49" i="162"/>
  <c r="CH19" i="162" s="1"/>
  <c r="G48" i="162"/>
  <c r="CD18" i="162" s="1"/>
  <c r="C60" i="162"/>
  <c r="BZ30" i="162" s="1"/>
  <c r="L58" i="162"/>
  <c r="CI28" i="162" s="1"/>
  <c r="I57" i="162"/>
  <c r="CF27" i="162" s="1"/>
  <c r="E56" i="162"/>
  <c r="CB26" i="162" s="1"/>
  <c r="E55" i="162"/>
  <c r="CB25" i="162" s="1"/>
  <c r="D54" i="162"/>
  <c r="CA24" i="162" s="1"/>
  <c r="L52" i="162"/>
  <c r="CI22" i="162" s="1"/>
  <c r="K51" i="162"/>
  <c r="CH21" i="162" s="1"/>
  <c r="J50" i="162"/>
  <c r="CG20" i="162" s="1"/>
  <c r="F49" i="162"/>
  <c r="CC19" i="162" s="1"/>
  <c r="E48" i="162"/>
  <c r="CB18" i="162" s="1"/>
  <c r="M59" i="162"/>
  <c r="CJ29" i="162" s="1"/>
  <c r="K58" i="162"/>
  <c r="CH28" i="162" s="1"/>
  <c r="H57" i="162"/>
  <c r="CE27" i="162" s="1"/>
  <c r="D56" i="162"/>
  <c r="CA26" i="162" s="1"/>
  <c r="D55" i="162"/>
  <c r="CA25" i="162" s="1"/>
  <c r="N53" i="162"/>
  <c r="CK23" i="162" s="1"/>
  <c r="K52" i="162"/>
  <c r="CH22" i="162" s="1"/>
  <c r="I51" i="162"/>
  <c r="CF21" i="162" s="1"/>
  <c r="I50" i="162"/>
  <c r="CF20" i="162" s="1"/>
  <c r="E49" i="162"/>
  <c r="CB19" i="162" s="1"/>
  <c r="D48" i="162"/>
  <c r="CA18" i="162" s="1"/>
  <c r="L60" i="162"/>
  <c r="CI30" i="162" s="1"/>
  <c r="I58" i="162"/>
  <c r="CF28" i="162" s="1"/>
  <c r="L56" i="162"/>
  <c r="CI26" i="162" s="1"/>
  <c r="M54" i="162"/>
  <c r="CJ24" i="162" s="1"/>
  <c r="E53" i="162"/>
  <c r="CB23" i="162" s="1"/>
  <c r="D51" i="162"/>
  <c r="CA21" i="162" s="1"/>
  <c r="D49" i="162"/>
  <c r="CA19" i="162" s="1"/>
  <c r="J60" i="162"/>
  <c r="CG30" i="162" s="1"/>
  <c r="G58" i="162"/>
  <c r="CD28" i="162" s="1"/>
  <c r="K56" i="162"/>
  <c r="CH26" i="162" s="1"/>
  <c r="I54" i="162"/>
  <c r="CF24" i="162" s="1"/>
  <c r="J52" i="162"/>
  <c r="CG22" i="162" s="1"/>
  <c r="M50" i="162"/>
  <c r="CJ20" i="162" s="1"/>
  <c r="C49" i="162"/>
  <c r="BZ19" i="162" s="1"/>
  <c r="I60" i="162"/>
  <c r="CF30" i="162" s="1"/>
  <c r="C58" i="162"/>
  <c r="BZ28" i="162" s="1"/>
  <c r="C56" i="162"/>
  <c r="BZ26" i="162" s="1"/>
  <c r="H54" i="162"/>
  <c r="CE24" i="162" s="1"/>
  <c r="H52" i="162"/>
  <c r="CE22" i="162" s="1"/>
  <c r="L50" i="162"/>
  <c r="CI20" i="162" s="1"/>
  <c r="M48" i="162"/>
  <c r="CJ18" i="162" s="1"/>
  <c r="D50" i="162"/>
  <c r="CA20" i="162" s="1"/>
  <c r="I53" i="162"/>
  <c r="CF23" i="162" s="1"/>
  <c r="M56" i="162"/>
  <c r="CJ26" i="162" s="1"/>
  <c r="K59" i="162"/>
  <c r="CH29" i="162" s="1"/>
  <c r="C48" i="162"/>
  <c r="BZ18" i="162" s="1"/>
  <c r="G51" i="162"/>
  <c r="CD21" i="162" s="1"/>
  <c r="K53" i="162"/>
  <c r="CH23" i="162" s="1"/>
  <c r="C57" i="162"/>
  <c r="BZ27" i="162" s="1"/>
  <c r="L59" i="162"/>
  <c r="CI29" i="162" s="1"/>
  <c r="CS18" i="162"/>
  <c r="CO19" i="162"/>
  <c r="CW19" i="162"/>
  <c r="CS20" i="162"/>
  <c r="CO21" i="162"/>
  <c r="CW21" i="162"/>
  <c r="CS22" i="162"/>
  <c r="CO23" i="162"/>
  <c r="CW23" i="162"/>
  <c r="CS24" i="162"/>
  <c r="CO25" i="162"/>
  <c r="CW25" i="162"/>
  <c r="CS26" i="162"/>
  <c r="CO27" i="162"/>
  <c r="CW27" i="162"/>
  <c r="CS28" i="162"/>
  <c r="CO29" i="162"/>
  <c r="CW29" i="162"/>
  <c r="CS30" i="162"/>
  <c r="CU18" i="162"/>
  <c r="CQ19" i="162"/>
  <c r="CY19" i="162"/>
  <c r="CU20" i="162"/>
  <c r="CQ21" i="162"/>
  <c r="CY21" i="162"/>
  <c r="CU22" i="162"/>
  <c r="CQ23" i="162"/>
  <c r="CY23" i="162"/>
  <c r="CU24" i="162"/>
  <c r="CQ25" i="162"/>
  <c r="CY25" i="162"/>
  <c r="CU26" i="162"/>
  <c r="CQ27" i="162"/>
  <c r="CY27" i="162"/>
  <c r="CU28" i="162"/>
  <c r="CQ29" i="162"/>
  <c r="CY29" i="162"/>
  <c r="L185" i="162"/>
  <c r="H185" i="162"/>
  <c r="H193" i="162"/>
  <c r="AE103" i="162"/>
  <c r="L196" i="162"/>
  <c r="L189" i="162"/>
  <c r="R189" i="162"/>
  <c r="Z93" i="162"/>
  <c r="V94" i="162"/>
  <c r="AD94" i="162"/>
  <c r="Z95" i="162"/>
  <c r="V96" i="162"/>
  <c r="AD96" i="162"/>
  <c r="Z97" i="162"/>
  <c r="V98" i="162"/>
  <c r="AD98" i="162"/>
  <c r="Z99" i="162"/>
  <c r="V100" i="162"/>
  <c r="AD100" i="162"/>
  <c r="Z101" i="162"/>
  <c r="V102" i="162"/>
  <c r="AD102" i="162"/>
  <c r="Z103" i="162"/>
  <c r="V104" i="162"/>
  <c r="AD104" i="162"/>
  <c r="Z105" i="162"/>
  <c r="CW112" i="162"/>
  <c r="I197" i="162"/>
  <c r="H195" i="162"/>
  <c r="V93" i="162"/>
  <c r="AE93" i="162" s="1"/>
  <c r="AD93" i="162"/>
  <c r="Z94" i="162"/>
  <c r="V95" i="162"/>
  <c r="AE95" i="162" s="1"/>
  <c r="AD95" i="162"/>
  <c r="Z96" i="162"/>
  <c r="V97" i="162"/>
  <c r="AE97" i="162" s="1"/>
  <c r="AD97" i="162"/>
  <c r="Z98" i="162"/>
  <c r="V99" i="162"/>
  <c r="AE99" i="162" s="1"/>
  <c r="AD99" i="162"/>
  <c r="Z100" i="162"/>
  <c r="V101" i="162"/>
  <c r="AE101" i="162" s="1"/>
  <c r="AD101" i="162"/>
  <c r="Z102" i="162"/>
  <c r="V103" i="162"/>
  <c r="AD103" i="162"/>
  <c r="Z104" i="162"/>
  <c r="V105" i="162"/>
  <c r="AE105" i="162" s="1"/>
  <c r="AD105" i="162"/>
  <c r="CY112" i="162"/>
  <c r="CQ112" i="162"/>
  <c r="CV112" i="162"/>
  <c r="CN112" i="162"/>
  <c r="CT112" i="162"/>
  <c r="CQ82" i="162"/>
  <c r="CY82" i="162"/>
  <c r="W93" i="162"/>
  <c r="S94" i="162"/>
  <c r="AE94" i="162" s="1"/>
  <c r="AA94" i="162"/>
  <c r="W95" i="162"/>
  <c r="S96" i="162"/>
  <c r="AA96" i="162"/>
  <c r="W97" i="162"/>
  <c r="S98" i="162"/>
  <c r="AA98" i="162"/>
  <c r="W99" i="162"/>
  <c r="S100" i="162"/>
  <c r="AA100" i="162"/>
  <c r="W101" i="162"/>
  <c r="S102" i="162"/>
  <c r="AA102" i="162"/>
  <c r="W103" i="162"/>
  <c r="S104" i="162"/>
  <c r="AA104" i="162"/>
  <c r="CR112" i="162"/>
  <c r="H184" i="162"/>
  <c r="W123" i="162"/>
  <c r="S124" i="162"/>
  <c r="AA124" i="162"/>
  <c r="W125" i="162"/>
  <c r="S126" i="162"/>
  <c r="AA126" i="162"/>
  <c r="W127" i="162"/>
  <c r="S128" i="162"/>
  <c r="AA128" i="162"/>
  <c r="W129" i="162"/>
  <c r="S130" i="162"/>
  <c r="AA130" i="162"/>
  <c r="W131" i="162"/>
  <c r="S132" i="162"/>
  <c r="AA132" i="162"/>
  <c r="W133" i="162"/>
  <c r="S134" i="162"/>
  <c r="AA134" i="162"/>
  <c r="W135" i="162"/>
  <c r="F138" i="162"/>
  <c r="N138" i="162"/>
  <c r="J139" i="162"/>
  <c r="F140" i="162"/>
  <c r="N140" i="162"/>
  <c r="J141" i="162"/>
  <c r="F142" i="162"/>
  <c r="N142" i="162"/>
  <c r="J143" i="162"/>
  <c r="F144" i="162"/>
  <c r="N144" i="162"/>
  <c r="J145" i="162"/>
  <c r="F146" i="162"/>
  <c r="N146" i="162"/>
  <c r="J147" i="162"/>
  <c r="F148" i="162"/>
  <c r="N148" i="162"/>
  <c r="J149" i="162"/>
  <c r="F150" i="162"/>
  <c r="N150" i="162"/>
  <c r="Y123" i="162"/>
  <c r="U124" i="162"/>
  <c r="AC124" i="162"/>
  <c r="Y125" i="162"/>
  <c r="U126" i="162"/>
  <c r="AC126" i="162"/>
  <c r="Y127" i="162"/>
  <c r="U128" i="162"/>
  <c r="AC128" i="162"/>
  <c r="Y129" i="162"/>
  <c r="U130" i="162"/>
  <c r="AC130" i="162"/>
  <c r="Y131" i="162"/>
  <c r="U132" i="162"/>
  <c r="AC132" i="162"/>
  <c r="Y133" i="162"/>
  <c r="U134" i="162"/>
  <c r="AC134" i="162"/>
  <c r="Y135" i="162"/>
  <c r="H138" i="162"/>
  <c r="D139" i="162"/>
  <c r="L139" i="162"/>
  <c r="H140" i="162"/>
  <c r="D141" i="162"/>
  <c r="L141" i="162"/>
  <c r="H142" i="162"/>
  <c r="D143" i="162"/>
  <c r="L143" i="162"/>
  <c r="H144" i="162"/>
  <c r="D145" i="162"/>
  <c r="L145" i="162"/>
  <c r="H146" i="162"/>
  <c r="D147" i="162"/>
  <c r="L147" i="162"/>
  <c r="H148" i="162"/>
  <c r="D149" i="162"/>
  <c r="L149" i="162"/>
  <c r="H150" i="162"/>
  <c r="Z123" i="162"/>
  <c r="V124" i="162"/>
  <c r="AD124" i="162"/>
  <c r="Z125" i="162"/>
  <c r="V126" i="162"/>
  <c r="AD126" i="162"/>
  <c r="Z127" i="162"/>
  <c r="V128" i="162"/>
  <c r="AD128" i="162"/>
  <c r="Z129" i="162"/>
  <c r="V130" i="162"/>
  <c r="AD130" i="162"/>
  <c r="Z131" i="162"/>
  <c r="V132" i="162"/>
  <c r="AD132" i="162"/>
  <c r="Z133" i="162"/>
  <c r="V134" i="162"/>
  <c r="AD134" i="162"/>
  <c r="Z135" i="162"/>
  <c r="I138" i="162"/>
  <c r="E139" i="162"/>
  <c r="M139" i="162"/>
  <c r="I140" i="162"/>
  <c r="E141" i="162"/>
  <c r="M141" i="162"/>
  <c r="I142" i="162"/>
  <c r="E143" i="162"/>
  <c r="M143" i="162"/>
  <c r="I144" i="162"/>
  <c r="E145" i="162"/>
  <c r="M145" i="162"/>
  <c r="I146" i="162"/>
  <c r="E147" i="162"/>
  <c r="M147" i="162"/>
  <c r="I148" i="162"/>
  <c r="E149" i="162"/>
  <c r="M149" i="162"/>
  <c r="I150" i="162"/>
  <c r="J138" i="162"/>
  <c r="F139" i="162"/>
  <c r="N139" i="162"/>
  <c r="J140" i="162"/>
  <c r="F141" i="162"/>
  <c r="N141" i="162"/>
  <c r="J142" i="162"/>
  <c r="F143" i="162"/>
  <c r="N143" i="162"/>
  <c r="J144" i="162"/>
  <c r="F145" i="162"/>
  <c r="N145" i="162"/>
  <c r="J146" i="162"/>
  <c r="F147" i="162"/>
  <c r="N147" i="162"/>
  <c r="J148" i="162"/>
  <c r="F149" i="162"/>
  <c r="N149" i="162"/>
  <c r="J150" i="162"/>
  <c r="T123" i="162"/>
  <c r="AB123" i="162"/>
  <c r="X124" i="162"/>
  <c r="T125" i="162"/>
  <c r="AB125" i="162"/>
  <c r="X126" i="162"/>
  <c r="T127" i="162"/>
  <c r="AB127" i="162"/>
  <c r="X128" i="162"/>
  <c r="T129" i="162"/>
  <c r="AB129" i="162"/>
  <c r="X130" i="162"/>
  <c r="T131" i="162"/>
  <c r="AB131" i="162"/>
  <c r="X132" i="162"/>
  <c r="T133" i="162"/>
  <c r="AB133" i="162"/>
  <c r="X134" i="162"/>
  <c r="T135" i="162"/>
  <c r="C138" i="162"/>
  <c r="K138" i="162"/>
  <c r="G139" i="162"/>
  <c r="C140" i="162"/>
  <c r="K140" i="162"/>
  <c r="G141" i="162"/>
  <c r="C142" i="162"/>
  <c r="K142" i="162"/>
  <c r="G143" i="162"/>
  <c r="C144" i="162"/>
  <c r="K144" i="162"/>
  <c r="G145" i="162"/>
  <c r="C146" i="162"/>
  <c r="K146" i="162"/>
  <c r="G147" i="162"/>
  <c r="C148" i="162"/>
  <c r="K148" i="162"/>
  <c r="G149" i="162"/>
  <c r="C150" i="162"/>
  <c r="AE16" i="184" l="1"/>
  <c r="AE31" i="184"/>
  <c r="R193" i="162"/>
  <c r="O193" i="162"/>
  <c r="AE104" i="162"/>
  <c r="L193" i="162"/>
  <c r="AX45" i="162" a="1"/>
  <c r="BL45" i="162" a="1"/>
  <c r="AE98" i="162"/>
  <c r="R185" i="162"/>
  <c r="O185" i="162"/>
  <c r="AE102" i="162"/>
  <c r="S78" i="162" a="1"/>
  <c r="H197" i="162"/>
  <c r="O184" i="162"/>
  <c r="R184" i="162"/>
  <c r="AE96" i="162"/>
  <c r="R195" i="162"/>
  <c r="O195" i="162"/>
  <c r="L184" i="162"/>
  <c r="L195" i="162"/>
  <c r="AE100" i="162"/>
  <c r="AE48" i="184" l="1"/>
  <c r="AE54" i="184"/>
  <c r="AE51" i="184"/>
  <c r="AE55" i="184"/>
  <c r="AE50" i="184"/>
  <c r="AE57" i="184"/>
  <c r="AE56" i="184"/>
  <c r="AE47" i="184"/>
  <c r="AE53" i="184"/>
  <c r="AE52" i="184"/>
  <c r="AE59" i="184"/>
  <c r="AE58" i="184"/>
  <c r="AE49" i="184"/>
  <c r="BT70" i="162"/>
  <c r="BL70" i="162"/>
  <c r="BP69" i="162"/>
  <c r="BT68" i="162"/>
  <c r="BL68" i="162"/>
  <c r="BP67" i="162"/>
  <c r="BT66" i="162"/>
  <c r="BL66" i="162"/>
  <c r="BP65" i="162"/>
  <c r="BT64" i="162"/>
  <c r="BL64" i="162"/>
  <c r="BP63" i="162"/>
  <c r="BT62" i="162"/>
  <c r="BL62" i="162"/>
  <c r="BP61" i="162"/>
  <c r="BT60" i="162"/>
  <c r="BL60" i="162"/>
  <c r="BP59" i="162"/>
  <c r="BT58" i="162"/>
  <c r="BL58" i="162"/>
  <c r="BP57" i="162"/>
  <c r="BT56" i="162"/>
  <c r="BL56" i="162"/>
  <c r="BP55" i="162"/>
  <c r="BT54" i="162"/>
  <c r="BL54" i="162"/>
  <c r="BP53" i="162"/>
  <c r="BT52" i="162"/>
  <c r="BL52" i="162"/>
  <c r="BP51" i="162"/>
  <c r="BT50" i="162"/>
  <c r="BL50" i="162"/>
  <c r="BP49" i="162"/>
  <c r="BT48" i="162"/>
  <c r="BW70" i="162"/>
  <c r="BN70" i="162"/>
  <c r="BQ69" i="162"/>
  <c r="BS68" i="162"/>
  <c r="BV67" i="162"/>
  <c r="BM67" i="162"/>
  <c r="BP66" i="162"/>
  <c r="BS65" i="162"/>
  <c r="BV64" i="162"/>
  <c r="BM64" i="162"/>
  <c r="BO63" i="162"/>
  <c r="BR62" i="162"/>
  <c r="BU61" i="162"/>
  <c r="BL61" i="162"/>
  <c r="BO60" i="162"/>
  <c r="BR59" i="162"/>
  <c r="BU58" i="162"/>
  <c r="BW57" i="162"/>
  <c r="BN57" i="162"/>
  <c r="BQ56" i="162"/>
  <c r="BT55" i="162"/>
  <c r="BW54" i="162"/>
  <c r="BN54" i="162"/>
  <c r="BQ53" i="162"/>
  <c r="BS52" i="162"/>
  <c r="BV51" i="162"/>
  <c r="BM51" i="162"/>
  <c r="BP50" i="162"/>
  <c r="BS49" i="162"/>
  <c r="BV48" i="162"/>
  <c r="BM48" i="162"/>
  <c r="BQ47" i="162"/>
  <c r="BU46" i="162"/>
  <c r="BM46" i="162"/>
  <c r="BQ45" i="162"/>
  <c r="BV70" i="162"/>
  <c r="BM70" i="162"/>
  <c r="BO69" i="162"/>
  <c r="BR68" i="162"/>
  <c r="BU67" i="162"/>
  <c r="BL67" i="162"/>
  <c r="BO66" i="162"/>
  <c r="BR65" i="162"/>
  <c r="BU64" i="162"/>
  <c r="BW63" i="162"/>
  <c r="BN63" i="162"/>
  <c r="BQ62" i="162"/>
  <c r="BT61" i="162"/>
  <c r="BW60" i="162"/>
  <c r="BN60" i="162"/>
  <c r="BQ59" i="162"/>
  <c r="BS58" i="162"/>
  <c r="BV57" i="162"/>
  <c r="BM57" i="162"/>
  <c r="BP56" i="162"/>
  <c r="BS55" i="162"/>
  <c r="BV54" i="162"/>
  <c r="BM54" i="162"/>
  <c r="BO53" i="162"/>
  <c r="BR52" i="162"/>
  <c r="BU51" i="162"/>
  <c r="BL51" i="162"/>
  <c r="BO50" i="162"/>
  <c r="BR49" i="162"/>
  <c r="BU48" i="162"/>
  <c r="BL48" i="162"/>
  <c r="BP47" i="162"/>
  <c r="BT46" i="162"/>
  <c r="BL46" i="162"/>
  <c r="BP45" i="162"/>
  <c r="BQ70" i="162"/>
  <c r="BR69" i="162"/>
  <c r="BP68" i="162"/>
  <c r="BQ67" i="162"/>
  <c r="BQ66" i="162"/>
  <c r="BO65" i="162"/>
  <c r="BP64" i="162"/>
  <c r="BQ63" i="162"/>
  <c r="BO62" i="162"/>
  <c r="BO61" i="162"/>
  <c r="BP60" i="162"/>
  <c r="BN59" i="162"/>
  <c r="BO58" i="162"/>
  <c r="BO57" i="162"/>
  <c r="BN56" i="162"/>
  <c r="BN55" i="162"/>
  <c r="BO54" i="162"/>
  <c r="BM53" i="162"/>
  <c r="BN52" i="162"/>
  <c r="BN51" i="162"/>
  <c r="BM50" i="162"/>
  <c r="BM49" i="162"/>
  <c r="BN48" i="162"/>
  <c r="BN47" i="162"/>
  <c r="BP46" i="162"/>
  <c r="BR45" i="162"/>
  <c r="BP70" i="162"/>
  <c r="BN69" i="162"/>
  <c r="BO68" i="162"/>
  <c r="BO67" i="162"/>
  <c r="BN66" i="162"/>
  <c r="BN65" i="162"/>
  <c r="BO64" i="162"/>
  <c r="BM63" i="162"/>
  <c r="BN62" i="162"/>
  <c r="BN61" i="162"/>
  <c r="BM60" i="162"/>
  <c r="BM59" i="162"/>
  <c r="BN58" i="162"/>
  <c r="BL57" i="162"/>
  <c r="BM56" i="162"/>
  <c r="BM55" i="162"/>
  <c r="BW53" i="162"/>
  <c r="BL53" i="162"/>
  <c r="BM52" i="162"/>
  <c r="BW50" i="162"/>
  <c r="BW49" i="162"/>
  <c r="BL49" i="162"/>
  <c r="BW47" i="162"/>
  <c r="BM47" i="162"/>
  <c r="BO46" i="162"/>
  <c r="BO45" i="162"/>
  <c r="BO70" i="162"/>
  <c r="BM69" i="162"/>
  <c r="BN68" i="162"/>
  <c r="BN67" i="162"/>
  <c r="BM66" i="162"/>
  <c r="BM65" i="162"/>
  <c r="BN64" i="162"/>
  <c r="BL63" i="162"/>
  <c r="BM62" i="162"/>
  <c r="BM61" i="162"/>
  <c r="BW59" i="162"/>
  <c r="BL59" i="162"/>
  <c r="BM58" i="162"/>
  <c r="BW56" i="162"/>
  <c r="BW55" i="162"/>
  <c r="BL55" i="162"/>
  <c r="BV53" i="162"/>
  <c r="BW52" i="162"/>
  <c r="BW51" i="162"/>
  <c r="BV50" i="162"/>
  <c r="BV49" i="162"/>
  <c r="BW48" i="162"/>
  <c r="BV47" i="162"/>
  <c r="BL47" i="162"/>
  <c r="BN46" i="162"/>
  <c r="BN45" i="162"/>
  <c r="BS70" i="162"/>
  <c r="BW68" i="162"/>
  <c r="BR67" i="162"/>
  <c r="BU65" i="162"/>
  <c r="BV63" i="162"/>
  <c r="BS62" i="162"/>
  <c r="BU60" i="162"/>
  <c r="BO59" i="162"/>
  <c r="BS57" i="162"/>
  <c r="BV55" i="162"/>
  <c r="BQ54" i="162"/>
  <c r="BU52" i="162"/>
  <c r="BO51" i="162"/>
  <c r="BQ49" i="162"/>
  <c r="BU47" i="162"/>
  <c r="BR46" i="162"/>
  <c r="BL45" i="162"/>
  <c r="BR70" i="162"/>
  <c r="BV68" i="162"/>
  <c r="BW66" i="162"/>
  <c r="BT65" i="162"/>
  <c r="BU63" i="162"/>
  <c r="BP62" i="162"/>
  <c r="BS60" i="162"/>
  <c r="BW58" i="162"/>
  <c r="BR57" i="162"/>
  <c r="BU55" i="162"/>
  <c r="BP54" i="162"/>
  <c r="BQ52" i="162"/>
  <c r="BU50" i="162"/>
  <c r="BO49" i="162"/>
  <c r="BT47" i="162"/>
  <c r="BQ46" i="162"/>
  <c r="BW69" i="162"/>
  <c r="BU68" i="162"/>
  <c r="BV66" i="162"/>
  <c r="BQ65" i="162"/>
  <c r="BT63" i="162"/>
  <c r="BW61" i="162"/>
  <c r="BR60" i="162"/>
  <c r="BV58" i="162"/>
  <c r="BQ57" i="162"/>
  <c r="BR55" i="162"/>
  <c r="BU53" i="162"/>
  <c r="BP52" i="162"/>
  <c r="BS50" i="162"/>
  <c r="BN49" i="162"/>
  <c r="BS47" i="162"/>
  <c r="BW45" i="162"/>
  <c r="BQ68" i="162"/>
  <c r="BW65" i="162"/>
  <c r="BR63" i="162"/>
  <c r="BV60" i="162"/>
  <c r="BP58" i="162"/>
  <c r="BQ55" i="162"/>
  <c r="BN53" i="162"/>
  <c r="BQ50" i="162"/>
  <c r="BO48" i="162"/>
  <c r="BT45" i="162"/>
  <c r="BM68" i="162"/>
  <c r="BV65" i="162"/>
  <c r="BW62" i="162"/>
  <c r="BQ60" i="162"/>
  <c r="BU57" i="162"/>
  <c r="BO55" i="162"/>
  <c r="BV52" i="162"/>
  <c r="BN50" i="162"/>
  <c r="BR47" i="162"/>
  <c r="BS45" i="162"/>
  <c r="BU70" i="162"/>
  <c r="BW67" i="162"/>
  <c r="BL65" i="162"/>
  <c r="BV62" i="162"/>
  <c r="BV59" i="162"/>
  <c r="BT57" i="162"/>
  <c r="BU54" i="162"/>
  <c r="BO52" i="162"/>
  <c r="BU49" i="162"/>
  <c r="BO47" i="162"/>
  <c r="BM45" i="162"/>
  <c r="BU69" i="162"/>
  <c r="BS64" i="162"/>
  <c r="BV61" i="162"/>
  <c r="BU56" i="162"/>
  <c r="BR54" i="162"/>
  <c r="BS48" i="162"/>
  <c r="BV46" i="162"/>
  <c r="BV69" i="162"/>
  <c r="BT67" i="162"/>
  <c r="BW64" i="162"/>
  <c r="BU62" i="162"/>
  <c r="BU59" i="162"/>
  <c r="BV56" i="162"/>
  <c r="BS54" i="162"/>
  <c r="BT51" i="162"/>
  <c r="BT49" i="162"/>
  <c r="BW46" i="162"/>
  <c r="BS67" i="162"/>
  <c r="BT59" i="162"/>
  <c r="BS51" i="162"/>
  <c r="BU66" i="162"/>
  <c r="BQ61" i="162"/>
  <c r="BS53" i="162"/>
  <c r="BS46" i="162"/>
  <c r="BS63" i="162"/>
  <c r="BS66" i="162"/>
  <c r="BS59" i="162"/>
  <c r="BR53" i="162"/>
  <c r="BV45" i="162"/>
  <c r="BQ64" i="162"/>
  <c r="BR50" i="162"/>
  <c r="BS69" i="162"/>
  <c r="BO56" i="162"/>
  <c r="BP48" i="162"/>
  <c r="BR66" i="162"/>
  <c r="BR58" i="162"/>
  <c r="BR51" i="162"/>
  <c r="BU45" i="162"/>
  <c r="BS56" i="162"/>
  <c r="BT69" i="162"/>
  <c r="BR56" i="162"/>
  <c r="BR48" i="162"/>
  <c r="BS61" i="162"/>
  <c r="BQ48" i="162"/>
  <c r="BL69" i="162"/>
  <c r="BR61" i="162"/>
  <c r="BT53" i="162"/>
  <c r="BR64" i="162"/>
  <c r="BQ58" i="162"/>
  <c r="BQ51" i="162"/>
  <c r="AA90" i="162"/>
  <c r="CH105" i="162" s="1"/>
  <c r="S90" i="162"/>
  <c r="BZ105" i="162" s="1"/>
  <c r="W89" i="162"/>
  <c r="CD104" i="162" s="1"/>
  <c r="AA88" i="162"/>
  <c r="CH103" i="162" s="1"/>
  <c r="S88" i="162"/>
  <c r="BZ103" i="162" s="1"/>
  <c r="W87" i="162"/>
  <c r="CD102" i="162" s="1"/>
  <c r="AA86" i="162"/>
  <c r="CH101" i="162" s="1"/>
  <c r="S86" i="162"/>
  <c r="BZ101" i="162" s="1"/>
  <c r="W85" i="162"/>
  <c r="CD100" i="162" s="1"/>
  <c r="AA84" i="162"/>
  <c r="CH99" i="162" s="1"/>
  <c r="S84" i="162"/>
  <c r="BZ99" i="162" s="1"/>
  <c r="W83" i="162"/>
  <c r="CD98" i="162" s="1"/>
  <c r="AA82" i="162"/>
  <c r="CH97" i="162" s="1"/>
  <c r="S82" i="162"/>
  <c r="BZ97" i="162" s="1"/>
  <c r="W81" i="162"/>
  <c r="CD96" i="162" s="1"/>
  <c r="AA80" i="162"/>
  <c r="CH95" i="162" s="1"/>
  <c r="S80" i="162"/>
  <c r="BZ95" i="162" s="1"/>
  <c r="W79" i="162"/>
  <c r="CD94" i="162" s="1"/>
  <c r="AA78" i="162"/>
  <c r="CH93" i="162" s="1"/>
  <c r="S78" i="162"/>
  <c r="Z90" i="162"/>
  <c r="CG105" i="162" s="1"/>
  <c r="AD89" i="162"/>
  <c r="CK104" i="162" s="1"/>
  <c r="V89" i="162"/>
  <c r="CC104" i="162" s="1"/>
  <c r="Z88" i="162"/>
  <c r="CG103" i="162" s="1"/>
  <c r="AD87" i="162"/>
  <c r="CK102" i="162" s="1"/>
  <c r="V87" i="162"/>
  <c r="CC102" i="162" s="1"/>
  <c r="Z86" i="162"/>
  <c r="CG101" i="162" s="1"/>
  <c r="AD85" i="162"/>
  <c r="CK100" i="162" s="1"/>
  <c r="V85" i="162"/>
  <c r="CC100" i="162" s="1"/>
  <c r="Z84" i="162"/>
  <c r="CG99" i="162" s="1"/>
  <c r="X90" i="162"/>
  <c r="CE105" i="162" s="1"/>
  <c r="Z89" i="162"/>
  <c r="CG104" i="162" s="1"/>
  <c r="AB88" i="162"/>
  <c r="CI103" i="162" s="1"/>
  <c r="AB87" i="162"/>
  <c r="CI102" i="162" s="1"/>
  <c r="AD86" i="162"/>
  <c r="CK101" i="162" s="1"/>
  <c r="T86" i="162"/>
  <c r="CA101" i="162" s="1"/>
  <c r="T85" i="162"/>
  <c r="CA100" i="162" s="1"/>
  <c r="V84" i="162"/>
  <c r="CC99" i="162" s="1"/>
  <c r="Y83" i="162"/>
  <c r="CF98" i="162" s="1"/>
  <c r="AB82" i="162"/>
  <c r="CI97" i="162" s="1"/>
  <c r="AD81" i="162"/>
  <c r="CK96" i="162" s="1"/>
  <c r="U81" i="162"/>
  <c r="CB96" i="162" s="1"/>
  <c r="X80" i="162"/>
  <c r="CE95" i="162" s="1"/>
  <c r="AA79" i="162"/>
  <c r="CH94" i="162" s="1"/>
  <c r="AD78" i="162"/>
  <c r="CK93" i="162" s="1"/>
  <c r="U78" i="162"/>
  <c r="CB93" i="162" s="1"/>
  <c r="V90" i="162"/>
  <c r="CC105" i="162" s="1"/>
  <c r="X89" i="162"/>
  <c r="CE104" i="162" s="1"/>
  <c r="X88" i="162"/>
  <c r="CE103" i="162" s="1"/>
  <c r="Z87" i="162"/>
  <c r="CG102" i="162" s="1"/>
  <c r="AB86" i="162"/>
  <c r="CI101" i="162" s="1"/>
  <c r="AB85" i="162"/>
  <c r="CI100" i="162" s="1"/>
  <c r="AD84" i="162"/>
  <c r="CK99" i="162" s="1"/>
  <c r="T84" i="162"/>
  <c r="CA99" i="162" s="1"/>
  <c r="V83" i="162"/>
  <c r="CC98" i="162" s="1"/>
  <c r="Y82" i="162"/>
  <c r="CF97" i="162" s="1"/>
  <c r="AB81" i="162"/>
  <c r="CI96" i="162" s="1"/>
  <c r="S81" i="162"/>
  <c r="BZ96" i="162" s="1"/>
  <c r="V80" i="162"/>
  <c r="CC95" i="162" s="1"/>
  <c r="Y79" i="162"/>
  <c r="CF94" i="162" s="1"/>
  <c r="AB78" i="162"/>
  <c r="CI93" i="162" s="1"/>
  <c r="AC90" i="162"/>
  <c r="CJ105" i="162" s="1"/>
  <c r="AC89" i="162"/>
  <c r="CJ104" i="162" s="1"/>
  <c r="S89" i="162"/>
  <c r="BZ104" i="162" s="1"/>
  <c r="U88" i="162"/>
  <c r="CB103" i="162" s="1"/>
  <c r="U87" i="162"/>
  <c r="CB102" i="162" s="1"/>
  <c r="W86" i="162"/>
  <c r="CD101" i="162" s="1"/>
  <c r="Y85" i="162"/>
  <c r="CF100" i="162" s="1"/>
  <c r="Y84" i="162"/>
  <c r="CF99" i="162" s="1"/>
  <c r="AB83" i="162"/>
  <c r="CI98" i="162" s="1"/>
  <c r="S83" i="162"/>
  <c r="BZ98" i="162" s="1"/>
  <c r="V82" i="162"/>
  <c r="CC97" i="162" s="1"/>
  <c r="Y81" i="162"/>
  <c r="CF96" i="162" s="1"/>
  <c r="AB80" i="162"/>
  <c r="CI95" i="162" s="1"/>
  <c r="AD79" i="162"/>
  <c r="CK94" i="162" s="1"/>
  <c r="U79" i="162"/>
  <c r="CB94" i="162" s="1"/>
  <c r="X78" i="162"/>
  <c r="CE93" i="162" s="1"/>
  <c r="U90" i="162"/>
  <c r="CB105" i="162" s="1"/>
  <c r="AC88" i="162"/>
  <c r="CJ103" i="162" s="1"/>
  <c r="X87" i="162"/>
  <c r="CE102" i="162" s="1"/>
  <c r="AC85" i="162"/>
  <c r="CJ100" i="162" s="1"/>
  <c r="X84" i="162"/>
  <c r="CE99" i="162" s="1"/>
  <c r="U83" i="162"/>
  <c r="CB98" i="162" s="1"/>
  <c r="T82" i="162"/>
  <c r="CA97" i="162" s="1"/>
  <c r="AC80" i="162"/>
  <c r="CJ95" i="162" s="1"/>
  <c r="Z79" i="162"/>
  <c r="CG94" i="162" s="1"/>
  <c r="W78" i="162"/>
  <c r="CD93" i="162" s="1"/>
  <c r="T90" i="162"/>
  <c r="CA105" i="162" s="1"/>
  <c r="Y88" i="162"/>
  <c r="CF103" i="162" s="1"/>
  <c r="T87" i="162"/>
  <c r="CA102" i="162" s="1"/>
  <c r="AA85" i="162"/>
  <c r="CH100" i="162" s="1"/>
  <c r="W84" i="162"/>
  <c r="CD99" i="162" s="1"/>
  <c r="T83" i="162"/>
  <c r="CA98" i="162" s="1"/>
  <c r="AC81" i="162"/>
  <c r="CJ96" i="162" s="1"/>
  <c r="Z80" i="162"/>
  <c r="CG95" i="162" s="1"/>
  <c r="X79" i="162"/>
  <c r="CE94" i="162" s="1"/>
  <c r="V78" i="162"/>
  <c r="CC93" i="162" s="1"/>
  <c r="AA89" i="162"/>
  <c r="CH104" i="162" s="1"/>
  <c r="V88" i="162"/>
  <c r="CC103" i="162" s="1"/>
  <c r="AC86" i="162"/>
  <c r="CJ101" i="162" s="1"/>
  <c r="X85" i="162"/>
  <c r="CE100" i="162" s="1"/>
  <c r="AD83" i="162"/>
  <c r="CK98" i="162" s="1"/>
  <c r="AC82" i="162"/>
  <c r="CJ97" i="162" s="1"/>
  <c r="Z81" i="162"/>
  <c r="CG96" i="162" s="1"/>
  <c r="W80" i="162"/>
  <c r="CD95" i="162" s="1"/>
  <c r="T79" i="162"/>
  <c r="CA94" i="162" s="1"/>
  <c r="AD90" i="162"/>
  <c r="CK105" i="162" s="1"/>
  <c r="AD88" i="162"/>
  <c r="CK103" i="162" s="1"/>
  <c r="X86" i="162"/>
  <c r="CE101" i="162" s="1"/>
  <c r="U84" i="162"/>
  <c r="CB99" i="162" s="1"/>
  <c r="W82" i="162"/>
  <c r="CD97" i="162" s="1"/>
  <c r="U80" i="162"/>
  <c r="CB95" i="162" s="1"/>
  <c r="Y78" i="162"/>
  <c r="CF93" i="162" s="1"/>
  <c r="AB90" i="162"/>
  <c r="CI105" i="162" s="1"/>
  <c r="W88" i="162"/>
  <c r="CD103" i="162" s="1"/>
  <c r="V86" i="162"/>
  <c r="CC101" i="162" s="1"/>
  <c r="AC83" i="162"/>
  <c r="CJ98" i="162" s="1"/>
  <c r="U82" i="162"/>
  <c r="CB97" i="162" s="1"/>
  <c r="T80" i="162"/>
  <c r="CA95" i="162" s="1"/>
  <c r="T78" i="162"/>
  <c r="CA93" i="162" s="1"/>
  <c r="T89" i="162"/>
  <c r="CA104" i="162" s="1"/>
  <c r="Z85" i="162"/>
  <c r="CG100" i="162" s="1"/>
  <c r="AD82" i="162"/>
  <c r="CK97" i="162" s="1"/>
  <c r="Y80" i="162"/>
  <c r="CF95" i="162" s="1"/>
  <c r="T88" i="162"/>
  <c r="CA103" i="162" s="1"/>
  <c r="U85" i="162"/>
  <c r="CB100" i="162" s="1"/>
  <c r="Z82" i="162"/>
  <c r="CG97" i="162" s="1"/>
  <c r="AC79" i="162"/>
  <c r="CJ94" i="162" s="1"/>
  <c r="AC87" i="162"/>
  <c r="CJ102" i="162" s="1"/>
  <c r="S85" i="162"/>
  <c r="BZ100" i="162" s="1"/>
  <c r="X82" i="162"/>
  <c r="CE97" i="162" s="1"/>
  <c r="AB79" i="162"/>
  <c r="CI94" i="162" s="1"/>
  <c r="S87" i="162"/>
  <c r="BZ102" i="162" s="1"/>
  <c r="AA81" i="162"/>
  <c r="CH96" i="162" s="1"/>
  <c r="Z78" i="162"/>
  <c r="CG93" i="162" s="1"/>
  <c r="Y90" i="162"/>
  <c r="CF105" i="162" s="1"/>
  <c r="Y86" i="162"/>
  <c r="CF101" i="162" s="1"/>
  <c r="X81" i="162"/>
  <c r="CE96" i="162" s="1"/>
  <c r="W90" i="162"/>
  <c r="CD105" i="162" s="1"/>
  <c r="U86" i="162"/>
  <c r="CB101" i="162" s="1"/>
  <c r="V81" i="162"/>
  <c r="CC96" i="162" s="1"/>
  <c r="AB89" i="162"/>
  <c r="CI104" i="162" s="1"/>
  <c r="AC84" i="162"/>
  <c r="CJ99" i="162" s="1"/>
  <c r="T81" i="162"/>
  <c r="CA96" i="162" s="1"/>
  <c r="Z83" i="162"/>
  <c r="CG98" i="162" s="1"/>
  <c r="X83" i="162"/>
  <c r="CE98" i="162" s="1"/>
  <c r="Y89" i="162"/>
  <c r="CF104" i="162" s="1"/>
  <c r="AD80" i="162"/>
  <c r="CK95" i="162" s="1"/>
  <c r="S79" i="162"/>
  <c r="BZ94" i="162" s="1"/>
  <c r="U89" i="162"/>
  <c r="CB104" i="162" s="1"/>
  <c r="V79" i="162"/>
  <c r="CC94" i="162" s="1"/>
  <c r="AA87" i="162"/>
  <c r="CH102" i="162" s="1"/>
  <c r="AB84" i="162"/>
  <c r="CI99" i="162" s="1"/>
  <c r="AA83" i="162"/>
  <c r="CH98" i="162" s="1"/>
  <c r="AC78" i="162"/>
  <c r="CJ93" i="162" s="1"/>
  <c r="Y87" i="162"/>
  <c r="CF102" i="162" s="1"/>
  <c r="BH70" i="162"/>
  <c r="AZ70" i="162"/>
  <c r="BD69" i="162"/>
  <c r="BH68" i="162"/>
  <c r="AZ68" i="162"/>
  <c r="BD67" i="162"/>
  <c r="BH66" i="162"/>
  <c r="AZ66" i="162"/>
  <c r="BD65" i="162"/>
  <c r="BH64" i="162"/>
  <c r="AZ64" i="162"/>
  <c r="BD63" i="162"/>
  <c r="BH62" i="162"/>
  <c r="AZ62" i="162"/>
  <c r="BD61" i="162"/>
  <c r="BH60" i="162"/>
  <c r="AZ60" i="162"/>
  <c r="BD59" i="162"/>
  <c r="BH58" i="162"/>
  <c r="AZ58" i="162"/>
  <c r="BD57" i="162"/>
  <c r="BH56" i="162"/>
  <c r="AZ56" i="162"/>
  <c r="BD55" i="162"/>
  <c r="BH54" i="162"/>
  <c r="AZ54" i="162"/>
  <c r="BD53" i="162"/>
  <c r="BH52" i="162"/>
  <c r="AZ52" i="162"/>
  <c r="BD51" i="162"/>
  <c r="BH50" i="162"/>
  <c r="AZ50" i="162"/>
  <c r="BD49" i="162"/>
  <c r="BH48" i="162"/>
  <c r="AZ48" i="162"/>
  <c r="BD47" i="162"/>
  <c r="BH46" i="162"/>
  <c r="AZ46" i="162"/>
  <c r="BD45" i="162"/>
  <c r="BG70" i="162"/>
  <c r="AY70" i="162"/>
  <c r="BC69" i="162"/>
  <c r="BG68" i="162"/>
  <c r="AY68" i="162"/>
  <c r="BC67" i="162"/>
  <c r="BG66" i="162"/>
  <c r="AY66" i="162"/>
  <c r="BC65" i="162"/>
  <c r="BG64" i="162"/>
  <c r="AY64" i="162"/>
  <c r="BC63" i="162"/>
  <c r="BG62" i="162"/>
  <c r="AY62" i="162"/>
  <c r="BC61" i="162"/>
  <c r="BG60" i="162"/>
  <c r="AY60" i="162"/>
  <c r="BC59" i="162"/>
  <c r="BG58" i="162"/>
  <c r="AY58" i="162"/>
  <c r="BC57" i="162"/>
  <c r="BG56" i="162"/>
  <c r="AY56" i="162"/>
  <c r="BC55" i="162"/>
  <c r="BG54" i="162"/>
  <c r="AY54" i="162"/>
  <c r="BC53" i="162"/>
  <c r="BG52" i="162"/>
  <c r="AY52" i="162"/>
  <c r="BC51" i="162"/>
  <c r="BG50" i="162"/>
  <c r="AY50" i="162"/>
  <c r="BC49" i="162"/>
  <c r="BG48" i="162"/>
  <c r="AY48" i="162"/>
  <c r="BC47" i="162"/>
  <c r="BG46" i="162"/>
  <c r="AY46" i="162"/>
  <c r="BC45" i="162"/>
  <c r="BE70" i="162"/>
  <c r="BG69" i="162"/>
  <c r="BI68" i="162"/>
  <c r="BI67" i="162"/>
  <c r="AY67" i="162"/>
  <c r="BA66" i="162"/>
  <c r="BA65" i="162"/>
  <c r="BC64" i="162"/>
  <c r="BE63" i="162"/>
  <c r="BE62" i="162"/>
  <c r="BG61" i="162"/>
  <c r="BI60" i="162"/>
  <c r="BI59" i="162"/>
  <c r="AY59" i="162"/>
  <c r="BA58" i="162"/>
  <c r="BA57" i="162"/>
  <c r="BC56" i="162"/>
  <c r="BE55" i="162"/>
  <c r="BE54" i="162"/>
  <c r="BG53" i="162"/>
  <c r="BI52" i="162"/>
  <c r="BI51" i="162"/>
  <c r="AY51" i="162"/>
  <c r="BA50" i="162"/>
  <c r="BA49" i="162"/>
  <c r="BC48" i="162"/>
  <c r="BE47" i="162"/>
  <c r="BE46" i="162"/>
  <c r="BG45" i="162"/>
  <c r="BD70" i="162"/>
  <c r="BF69" i="162"/>
  <c r="BF68" i="162"/>
  <c r="BH67" i="162"/>
  <c r="AX67" i="162"/>
  <c r="AX66" i="162"/>
  <c r="AZ65" i="162"/>
  <c r="BB64" i="162"/>
  <c r="BB63" i="162"/>
  <c r="BD62" i="162"/>
  <c r="BF61" i="162"/>
  <c r="BF60" i="162"/>
  <c r="BH59" i="162"/>
  <c r="AX59" i="162"/>
  <c r="AX58" i="162"/>
  <c r="AZ57" i="162"/>
  <c r="BB56" i="162"/>
  <c r="BB55" i="162"/>
  <c r="BD54" i="162"/>
  <c r="BF53" i="162"/>
  <c r="BF52" i="162"/>
  <c r="BH51" i="162"/>
  <c r="AX51" i="162"/>
  <c r="AX50" i="162"/>
  <c r="AZ49" i="162"/>
  <c r="BB48" i="162"/>
  <c r="BB47" i="162"/>
  <c r="BD46" i="162"/>
  <c r="BF45" i="162"/>
  <c r="BC70" i="162"/>
  <c r="BE69" i="162"/>
  <c r="BE68" i="162"/>
  <c r="BG67" i="162"/>
  <c r="BI66" i="162"/>
  <c r="BI65" i="162"/>
  <c r="AY65" i="162"/>
  <c r="BA64" i="162"/>
  <c r="BA63" i="162"/>
  <c r="BC62" i="162"/>
  <c r="BE61" i="162"/>
  <c r="BH69" i="162"/>
  <c r="BB68" i="162"/>
  <c r="BF66" i="162"/>
  <c r="BE65" i="162"/>
  <c r="BI63" i="162"/>
  <c r="BF62" i="162"/>
  <c r="AZ61" i="162"/>
  <c r="AX60" i="162"/>
  <c r="BF58" i="162"/>
  <c r="BF57" i="162"/>
  <c r="BD56" i="162"/>
  <c r="AZ55" i="162"/>
  <c r="AX54" i="162"/>
  <c r="AX53" i="162"/>
  <c r="BF51" i="162"/>
  <c r="BD50" i="162"/>
  <c r="BB49" i="162"/>
  <c r="AX48" i="162"/>
  <c r="AX47" i="162"/>
  <c r="BH45" i="162"/>
  <c r="BI70" i="162"/>
  <c r="BA69" i="162"/>
  <c r="AX68" i="162"/>
  <c r="BD66" i="162"/>
  <c r="AX65" i="162"/>
  <c r="BG63" i="162"/>
  <c r="BA62" i="162"/>
  <c r="AX61" i="162"/>
  <c r="BF59" i="162"/>
  <c r="BD58" i="162"/>
  <c r="BB57" i="162"/>
  <c r="AX56" i="162"/>
  <c r="AX55" i="162"/>
  <c r="BH53" i="162"/>
  <c r="BD52" i="162"/>
  <c r="BB51" i="162"/>
  <c r="BB50" i="162"/>
  <c r="AX49" i="162"/>
  <c r="BH47" i="162"/>
  <c r="BF46" i="162"/>
  <c r="BB45" i="162"/>
  <c r="BB69" i="162"/>
  <c r="BE67" i="162"/>
  <c r="BG65" i="162"/>
  <c r="BH63" i="162"/>
  <c r="BI61" i="162"/>
  <c r="BB60" i="162"/>
  <c r="BE58" i="162"/>
  <c r="AX57" i="162"/>
  <c r="BF55" i="162"/>
  <c r="BI53" i="162"/>
  <c r="BB52" i="162"/>
  <c r="BF50" i="162"/>
  <c r="AY49" i="162"/>
  <c r="BF47" i="162"/>
  <c r="AX46" i="162"/>
  <c r="AZ69" i="162"/>
  <c r="BB67" i="162"/>
  <c r="BF65" i="162"/>
  <c r="BF63" i="162"/>
  <c r="BH61" i="162"/>
  <c r="BA60" i="162"/>
  <c r="BC58" i="162"/>
  <c r="BI56" i="162"/>
  <c r="BA55" i="162"/>
  <c r="BE53" i="162"/>
  <c r="BA52" i="162"/>
  <c r="BE50" i="162"/>
  <c r="BI48" i="162"/>
  <c r="BA47" i="162"/>
  <c r="BI45" i="162"/>
  <c r="AY69" i="162"/>
  <c r="BA67" i="162"/>
  <c r="BB65" i="162"/>
  <c r="AZ63" i="162"/>
  <c r="BB61" i="162"/>
  <c r="BG59" i="162"/>
  <c r="BB58" i="162"/>
  <c r="BF56" i="162"/>
  <c r="AY55" i="162"/>
  <c r="BB53" i="162"/>
  <c r="AX52" i="162"/>
  <c r="BC50" i="162"/>
  <c r="BF48" i="162"/>
  <c r="AZ47" i="162"/>
  <c r="BE45" i="162"/>
  <c r="BD68" i="162"/>
  <c r="BF64" i="162"/>
  <c r="AY61" i="162"/>
  <c r="BH57" i="162"/>
  <c r="BF54" i="162"/>
  <c r="BE51" i="162"/>
  <c r="BH49" i="162"/>
  <c r="BI46" i="162"/>
  <c r="BF70" i="162"/>
  <c r="AX69" i="162"/>
  <c r="AZ67" i="162"/>
  <c r="BI64" i="162"/>
  <c r="AY63" i="162"/>
  <c r="BA61" i="162"/>
  <c r="BE59" i="162"/>
  <c r="BI57" i="162"/>
  <c r="BE56" i="162"/>
  <c r="BI54" i="162"/>
  <c r="BA53" i="162"/>
  <c r="BG51" i="162"/>
  <c r="BI49" i="162"/>
  <c r="BE48" i="162"/>
  <c r="AY47" i="162"/>
  <c r="BA45" i="162"/>
  <c r="BB70" i="162"/>
  <c r="BE66" i="162"/>
  <c r="AX63" i="162"/>
  <c r="BB59" i="162"/>
  <c r="BA56" i="162"/>
  <c r="AZ53" i="162"/>
  <c r="BD48" i="162"/>
  <c r="AZ45" i="162"/>
  <c r="BF67" i="162"/>
  <c r="BB62" i="162"/>
  <c r="BG57" i="162"/>
  <c r="BA54" i="162"/>
  <c r="BF49" i="162"/>
  <c r="AY45" i="162"/>
  <c r="BG47" i="162"/>
  <c r="BA68" i="162"/>
  <c r="BC66" i="162"/>
  <c r="AX62" i="162"/>
  <c r="BE57" i="162"/>
  <c r="AY53" i="162"/>
  <c r="BE49" i="162"/>
  <c r="AX45" i="162"/>
  <c r="BE64" i="162"/>
  <c r="BH55" i="162"/>
  <c r="BI69" i="162"/>
  <c r="BA59" i="162"/>
  <c r="AZ51" i="162"/>
  <c r="BC68" i="162"/>
  <c r="AZ59" i="162"/>
  <c r="BI50" i="162"/>
  <c r="BI58" i="162"/>
  <c r="BG49" i="162"/>
  <c r="BB66" i="162"/>
  <c r="BE60" i="162"/>
  <c r="AY57" i="162"/>
  <c r="BE52" i="162"/>
  <c r="BA48" i="162"/>
  <c r="AX70" i="162"/>
  <c r="BC60" i="162"/>
  <c r="BA51" i="162"/>
  <c r="BD64" i="162"/>
  <c r="BG55" i="162"/>
  <c r="BC46" i="162"/>
  <c r="AX64" i="162"/>
  <c r="BC54" i="162"/>
  <c r="BB46" i="162"/>
  <c r="BI62" i="162"/>
  <c r="BB54" i="162"/>
  <c r="BA46" i="162"/>
  <c r="BA70" i="162"/>
  <c r="BH65" i="162"/>
  <c r="BD60" i="162"/>
  <c r="BI55" i="162"/>
  <c r="BC52" i="162"/>
  <c r="BI47" i="162"/>
  <c r="AE46" i="184" l="1"/>
  <c r="N16" i="184"/>
  <c r="BZ93" i="162"/>
  <c r="S63" i="162" a="1"/>
  <c r="N39" i="184" l="1"/>
  <c r="N41" i="184"/>
  <c r="N36" i="184"/>
  <c r="N35" i="184"/>
  <c r="N42" i="184"/>
  <c r="N44" i="184"/>
  <c r="N32" i="184"/>
  <c r="N33" i="184"/>
  <c r="N34" i="184"/>
  <c r="N43" i="184"/>
  <c r="N40" i="184"/>
  <c r="N38" i="184"/>
  <c r="N37" i="184"/>
  <c r="W75" i="162"/>
  <c r="CD90" i="162" s="1"/>
  <c r="AA74" i="162"/>
  <c r="CH89" i="162" s="1"/>
  <c r="S74" i="162"/>
  <c r="BZ89" i="162" s="1"/>
  <c r="W73" i="162"/>
  <c r="CD88" i="162" s="1"/>
  <c r="AA72" i="162"/>
  <c r="CH87" i="162" s="1"/>
  <c r="S72" i="162"/>
  <c r="BZ87" i="162" s="1"/>
  <c r="W71" i="162"/>
  <c r="CD86" i="162" s="1"/>
  <c r="AA70" i="162"/>
  <c r="CH85" i="162" s="1"/>
  <c r="S70" i="162"/>
  <c r="BZ85" i="162" s="1"/>
  <c r="W69" i="162"/>
  <c r="AA68" i="162"/>
  <c r="CH83" i="162" s="1"/>
  <c r="S68" i="162"/>
  <c r="BZ83" i="162" s="1"/>
  <c r="W67" i="162"/>
  <c r="CD82" i="162" s="1"/>
  <c r="AA66" i="162"/>
  <c r="CH81" i="162" s="1"/>
  <c r="S66" i="162"/>
  <c r="BZ81" i="162" s="1"/>
  <c r="W65" i="162"/>
  <c r="CD80" i="162" s="1"/>
  <c r="AA64" i="162"/>
  <c r="CH79" i="162" s="1"/>
  <c r="S64" i="162"/>
  <c r="BZ79" i="162" s="1"/>
  <c r="W63" i="162"/>
  <c r="CD78" i="162" s="1"/>
  <c r="Z75" i="162"/>
  <c r="CG90" i="162" s="1"/>
  <c r="AC74" i="162"/>
  <c r="CJ89" i="162" s="1"/>
  <c r="T74" i="162"/>
  <c r="CA89" i="162" s="1"/>
  <c r="V73" i="162"/>
  <c r="CC88" i="162" s="1"/>
  <c r="Y72" i="162"/>
  <c r="CF87" i="162" s="1"/>
  <c r="AB71" i="162"/>
  <c r="CI86" i="162" s="1"/>
  <c r="S71" i="162"/>
  <c r="BZ86" i="162" s="1"/>
  <c r="V70" i="162"/>
  <c r="CC85" i="162" s="1"/>
  <c r="Y69" i="162"/>
  <c r="AB68" i="162"/>
  <c r="CI83" i="162" s="1"/>
  <c r="AD67" i="162"/>
  <c r="CK82" i="162" s="1"/>
  <c r="U67" i="162"/>
  <c r="CB82" i="162" s="1"/>
  <c r="X66" i="162"/>
  <c r="CE81" i="162" s="1"/>
  <c r="AA65" i="162"/>
  <c r="CH80" i="162" s="1"/>
  <c r="AD64" i="162"/>
  <c r="CK79" i="162" s="1"/>
  <c r="U64" i="162"/>
  <c r="CB79" i="162" s="1"/>
  <c r="X63" i="162"/>
  <c r="CE78" i="162" s="1"/>
  <c r="Y75" i="162"/>
  <c r="CF90" i="162" s="1"/>
  <c r="AB74" i="162"/>
  <c r="CI89" i="162" s="1"/>
  <c r="AD73" i="162"/>
  <c r="CK88" i="162" s="1"/>
  <c r="U73" i="162"/>
  <c r="CB88" i="162" s="1"/>
  <c r="X72" i="162"/>
  <c r="CE87" i="162" s="1"/>
  <c r="AA71" i="162"/>
  <c r="CH86" i="162" s="1"/>
  <c r="AD70" i="162"/>
  <c r="CK85" i="162" s="1"/>
  <c r="U70" i="162"/>
  <c r="CB85" i="162" s="1"/>
  <c r="X69" i="162"/>
  <c r="Z68" i="162"/>
  <c r="CG83" i="162" s="1"/>
  <c r="AC67" i="162"/>
  <c r="CJ82" i="162" s="1"/>
  <c r="T67" i="162"/>
  <c r="CA82" i="162" s="1"/>
  <c r="W66" i="162"/>
  <c r="CD81" i="162" s="1"/>
  <c r="Z65" i="162"/>
  <c r="CG80" i="162" s="1"/>
  <c r="AC64" i="162"/>
  <c r="CJ79" i="162" s="1"/>
  <c r="T64" i="162"/>
  <c r="CA79" i="162" s="1"/>
  <c r="V63" i="162"/>
  <c r="CC78" i="162" s="1"/>
  <c r="V75" i="162"/>
  <c r="CC90" i="162" s="1"/>
  <c r="Y74" i="162"/>
  <c r="CF89" i="162" s="1"/>
  <c r="AB73" i="162"/>
  <c r="CI88" i="162" s="1"/>
  <c r="S73" i="162"/>
  <c r="BZ88" i="162" s="1"/>
  <c r="V72" i="162"/>
  <c r="CC87" i="162" s="1"/>
  <c r="Y71" i="162"/>
  <c r="CF86" i="162" s="1"/>
  <c r="AB70" i="162"/>
  <c r="CI85" i="162" s="1"/>
  <c r="AD69" i="162"/>
  <c r="U69" i="162"/>
  <c r="X68" i="162"/>
  <c r="CE83" i="162" s="1"/>
  <c r="AA67" i="162"/>
  <c r="CH82" i="162" s="1"/>
  <c r="AD66" i="162"/>
  <c r="CK81" i="162" s="1"/>
  <c r="U66" i="162"/>
  <c r="CB81" i="162" s="1"/>
  <c r="X65" i="162"/>
  <c r="CE80" i="162" s="1"/>
  <c r="Z64" i="162"/>
  <c r="CG79" i="162" s="1"/>
  <c r="AC63" i="162"/>
  <c r="CJ78" i="162" s="1"/>
  <c r="T63" i="162"/>
  <c r="CA78" i="162" s="1"/>
  <c r="S75" i="162"/>
  <c r="BZ90" i="162" s="1"/>
  <c r="AA73" i="162"/>
  <c r="CH88" i="162" s="1"/>
  <c r="Z72" i="162"/>
  <c r="CG87" i="162" s="1"/>
  <c r="V71" i="162"/>
  <c r="CC86" i="162" s="1"/>
  <c r="T70" i="162"/>
  <c r="CA85" i="162" s="1"/>
  <c r="AD68" i="162"/>
  <c r="CK83" i="162" s="1"/>
  <c r="Z67" i="162"/>
  <c r="CG82" i="162" s="1"/>
  <c r="Y66" i="162"/>
  <c r="CF81" i="162" s="1"/>
  <c r="U65" i="162"/>
  <c r="CB80" i="162" s="1"/>
  <c r="AD63" i="162"/>
  <c r="CK78" i="162" s="1"/>
  <c r="AD75" i="162"/>
  <c r="CK90" i="162" s="1"/>
  <c r="AD74" i="162"/>
  <c r="CK89" i="162" s="1"/>
  <c r="Z73" i="162"/>
  <c r="CG88" i="162" s="1"/>
  <c r="W72" i="162"/>
  <c r="CD87" i="162" s="1"/>
  <c r="U71" i="162"/>
  <c r="CB86" i="162" s="1"/>
  <c r="AC69" i="162"/>
  <c r="AC68" i="162"/>
  <c r="CJ83" i="162" s="1"/>
  <c r="Y67" i="162"/>
  <c r="CF82" i="162" s="1"/>
  <c r="V66" i="162"/>
  <c r="CC81" i="162" s="1"/>
  <c r="T65" i="162"/>
  <c r="CA80" i="162" s="1"/>
  <c r="AB63" i="162"/>
  <c r="CI78" i="162" s="1"/>
  <c r="T75" i="162"/>
  <c r="CA90" i="162" s="1"/>
  <c r="X73" i="162"/>
  <c r="CE88" i="162" s="1"/>
  <c r="AC71" i="162"/>
  <c r="CJ86" i="162" s="1"/>
  <c r="W70" i="162"/>
  <c r="CD85" i="162" s="1"/>
  <c r="W68" i="162"/>
  <c r="CD83" i="162" s="1"/>
  <c r="AC66" i="162"/>
  <c r="CJ81" i="162" s="1"/>
  <c r="V65" i="162"/>
  <c r="CC80" i="162" s="1"/>
  <c r="Z63" i="162"/>
  <c r="CG78" i="162" s="1"/>
  <c r="Z74" i="162"/>
  <c r="CG89" i="162" s="1"/>
  <c r="T73" i="162"/>
  <c r="CA88" i="162" s="1"/>
  <c r="Z71" i="162"/>
  <c r="CG86" i="162" s="1"/>
  <c r="AB69" i="162"/>
  <c r="V68" i="162"/>
  <c r="CC83" i="162" s="1"/>
  <c r="AB66" i="162"/>
  <c r="CI81" i="162" s="1"/>
  <c r="S65" i="162"/>
  <c r="BZ80" i="162" s="1"/>
  <c r="Y63" i="162"/>
  <c r="CF78" i="162" s="1"/>
  <c r="X74" i="162"/>
  <c r="CE89" i="162" s="1"/>
  <c r="AD72" i="162"/>
  <c r="CK87" i="162" s="1"/>
  <c r="X71" i="162"/>
  <c r="CE86" i="162" s="1"/>
  <c r="AA69" i="162"/>
  <c r="U68" i="162"/>
  <c r="CB83" i="162" s="1"/>
  <c r="Z66" i="162"/>
  <c r="CG81" i="162" s="1"/>
  <c r="AB64" i="162"/>
  <c r="CI79" i="162" s="1"/>
  <c r="U63" i="162"/>
  <c r="CB78" i="162" s="1"/>
  <c r="AB75" i="162"/>
  <c r="CI90" i="162" s="1"/>
  <c r="Y73" i="162"/>
  <c r="CF88" i="162" s="1"/>
  <c r="Z70" i="162"/>
  <c r="CG85" i="162" s="1"/>
  <c r="T68" i="162"/>
  <c r="CA83" i="162" s="1"/>
  <c r="AB65" i="162"/>
  <c r="CI80" i="162" s="1"/>
  <c r="AA75" i="162"/>
  <c r="CH90" i="162" s="1"/>
  <c r="AC72" i="162"/>
  <c r="CJ87" i="162" s="1"/>
  <c r="Y70" i="162"/>
  <c r="CF85" i="162" s="1"/>
  <c r="AB67" i="162"/>
  <c r="CI82" i="162" s="1"/>
  <c r="Y65" i="162"/>
  <c r="CF80" i="162" s="1"/>
  <c r="X75" i="162"/>
  <c r="CE90" i="162" s="1"/>
  <c r="AB72" i="162"/>
  <c r="CI87" i="162" s="1"/>
  <c r="X70" i="162"/>
  <c r="CE85" i="162" s="1"/>
  <c r="X67" i="162"/>
  <c r="CE82" i="162" s="1"/>
  <c r="Y64" i="162"/>
  <c r="CF79" i="162" s="1"/>
  <c r="U75" i="162"/>
  <c r="CB90" i="162" s="1"/>
  <c r="U72" i="162"/>
  <c r="CB87" i="162" s="1"/>
  <c r="Z69" i="162"/>
  <c r="V67" i="162"/>
  <c r="CC82" i="162" s="1"/>
  <c r="X64" i="162"/>
  <c r="CE79" i="162" s="1"/>
  <c r="T71" i="162"/>
  <c r="CA86" i="162" s="1"/>
  <c r="AD65" i="162"/>
  <c r="CK80" i="162" s="1"/>
  <c r="AC75" i="162"/>
  <c r="CJ90" i="162" s="1"/>
  <c r="AC70" i="162"/>
  <c r="CJ85" i="162" s="1"/>
  <c r="AC65" i="162"/>
  <c r="CJ80" i="162" s="1"/>
  <c r="W74" i="162"/>
  <c r="CD89" i="162" s="1"/>
  <c r="V69" i="162"/>
  <c r="W64" i="162"/>
  <c r="CD79" i="162" s="1"/>
  <c r="S69" i="162"/>
  <c r="AA63" i="162"/>
  <c r="CH78" i="162" s="1"/>
  <c r="V74" i="162"/>
  <c r="CC89" i="162" s="1"/>
  <c r="T69" i="162"/>
  <c r="V64" i="162"/>
  <c r="CC79" i="162" s="1"/>
  <c r="U74" i="162"/>
  <c r="CB89" i="162" s="1"/>
  <c r="AC73" i="162"/>
  <c r="CJ88" i="162" s="1"/>
  <c r="Y68" i="162"/>
  <c r="CF83" i="162" s="1"/>
  <c r="S67" i="162"/>
  <c r="BZ82" i="162" s="1"/>
  <c r="T66" i="162"/>
  <c r="CA81" i="162" s="1"/>
  <c r="S63" i="162"/>
  <c r="T72" i="162"/>
  <c r="CA87" i="162" s="1"/>
  <c r="AD71" i="162"/>
  <c r="CK86" i="162" s="1"/>
  <c r="N31" i="184" l="1"/>
  <c r="BZ84" i="162"/>
  <c r="CN114" i="162"/>
  <c r="CN115" i="162" s="1"/>
  <c r="CN116" i="162" s="1"/>
  <c r="CC84" i="162"/>
  <c r="CQ114" i="162"/>
  <c r="CQ115" i="162" s="1"/>
  <c r="CQ116" i="162" s="1"/>
  <c r="CJ84" i="162"/>
  <c r="CX114" i="162"/>
  <c r="CX115" i="162" s="1"/>
  <c r="CX116" i="162" s="1"/>
  <c r="CB84" i="162"/>
  <c r="CP114" i="162"/>
  <c r="CP115" i="162" s="1"/>
  <c r="CP116" i="162" s="1"/>
  <c r="CG84" i="162"/>
  <c r="CU114" i="162"/>
  <c r="CU115" i="162" s="1"/>
  <c r="CU116" i="162" s="1"/>
  <c r="CK84" i="162"/>
  <c r="CY114" i="162"/>
  <c r="CY115" i="162" s="1"/>
  <c r="CY116" i="162" s="1"/>
  <c r="CE84" i="162"/>
  <c r="CS114" i="162"/>
  <c r="CS115" i="162" s="1"/>
  <c r="CS116" i="162" s="1"/>
  <c r="CF84" i="162"/>
  <c r="CT114" i="162"/>
  <c r="CT115" i="162" s="1"/>
  <c r="CT116" i="162" s="1"/>
  <c r="CH84" i="162"/>
  <c r="CV114" i="162"/>
  <c r="CV115" i="162" s="1"/>
  <c r="CV116" i="162" s="1"/>
  <c r="CA84" i="162"/>
  <c r="CO114" i="162"/>
  <c r="CO115" i="162" s="1"/>
  <c r="CO116" i="162" s="1"/>
  <c r="CI84" i="162"/>
  <c r="CW114" i="162"/>
  <c r="CW115" i="162" s="1"/>
  <c r="CW116" i="162" s="1"/>
  <c r="BZ78" i="162"/>
  <c r="AH93" i="162" a="1"/>
  <c r="S48" i="162" a="1"/>
  <c r="S33" i="162" a="1"/>
  <c r="CD84" i="162"/>
  <c r="CR114" i="162"/>
  <c r="CR115" i="162" s="1"/>
  <c r="CR116" i="162" s="1"/>
  <c r="N56" i="184" l="1"/>
  <c r="N50" i="184"/>
  <c r="N55" i="184"/>
  <c r="N52" i="184"/>
  <c r="N57" i="184"/>
  <c r="N48" i="184"/>
  <c r="N49" i="184"/>
  <c r="N53" i="184"/>
  <c r="N59" i="184"/>
  <c r="N51" i="184"/>
  <c r="N47" i="184"/>
  <c r="N54" i="184"/>
  <c r="N58" i="184"/>
  <c r="AM105" i="162"/>
  <c r="AQ104" i="162"/>
  <c r="AI104" i="162"/>
  <c r="AM103" i="162"/>
  <c r="AQ102" i="162"/>
  <c r="AI102" i="162"/>
  <c r="AM101" i="162"/>
  <c r="AQ100" i="162"/>
  <c r="AI100" i="162"/>
  <c r="AM99" i="162"/>
  <c r="AR105" i="162"/>
  <c r="AJ105" i="162"/>
  <c r="AN104" i="162"/>
  <c r="AR103" i="162"/>
  <c r="AJ103" i="162"/>
  <c r="AN102" i="162"/>
  <c r="AR101" i="162"/>
  <c r="AJ101" i="162"/>
  <c r="AN100" i="162"/>
  <c r="AR99" i="162"/>
  <c r="AP105" i="162"/>
  <c r="AH105" i="162"/>
  <c r="AL104" i="162"/>
  <c r="AP103" i="162"/>
  <c r="AH103" i="162"/>
  <c r="AL102" i="162"/>
  <c r="AP101" i="162"/>
  <c r="AH101" i="162"/>
  <c r="AL100" i="162"/>
  <c r="AP99" i="162"/>
  <c r="AH99" i="162"/>
  <c r="AI105" i="162"/>
  <c r="AH104" i="162"/>
  <c r="AS102" i="162"/>
  <c r="AS101" i="162"/>
  <c r="AR100" i="162"/>
  <c r="AQ99" i="162"/>
  <c r="AR98" i="162"/>
  <c r="AJ98" i="162"/>
  <c r="AN97" i="162"/>
  <c r="AR96" i="162"/>
  <c r="AJ96" i="162"/>
  <c r="AN95" i="162"/>
  <c r="AR94" i="162"/>
  <c r="AJ94" i="162"/>
  <c r="AN93" i="162"/>
  <c r="AS104" i="162"/>
  <c r="AS103" i="162"/>
  <c r="AR102" i="162"/>
  <c r="AQ101" i="162"/>
  <c r="AP100" i="162"/>
  <c r="AO99" i="162"/>
  <c r="AQ98" i="162"/>
  <c r="AI98" i="162"/>
  <c r="AM97" i="162"/>
  <c r="AQ96" i="162"/>
  <c r="AI96" i="162"/>
  <c r="AM95" i="162"/>
  <c r="AQ94" i="162"/>
  <c r="AI94" i="162"/>
  <c r="AM93" i="162"/>
  <c r="AN105" i="162"/>
  <c r="AM104" i="162"/>
  <c r="AL103" i="162"/>
  <c r="AK102" i="162"/>
  <c r="AK101" i="162"/>
  <c r="AJ100" i="162"/>
  <c r="AJ99" i="162"/>
  <c r="AM98" i="162"/>
  <c r="AQ97" i="162"/>
  <c r="AI97" i="162"/>
  <c r="AM96" i="162"/>
  <c r="AQ95" i="162"/>
  <c r="AI95" i="162"/>
  <c r="AM94" i="162"/>
  <c r="AQ93" i="162"/>
  <c r="AI93" i="162"/>
  <c r="AK105" i="162"/>
  <c r="AN103" i="162"/>
  <c r="AO101" i="162"/>
  <c r="AH100" i="162"/>
  <c r="AO98" i="162"/>
  <c r="AO97" i="162"/>
  <c r="AN96" i="162"/>
  <c r="AL95" i="162"/>
  <c r="AL94" i="162"/>
  <c r="AK93" i="162"/>
  <c r="AR104" i="162"/>
  <c r="AK103" i="162"/>
  <c r="AN101" i="162"/>
  <c r="AS99" i="162"/>
  <c r="AP104" i="162"/>
  <c r="AI103" i="162"/>
  <c r="AL101" i="162"/>
  <c r="AN99" i="162"/>
  <c r="AL98" i="162"/>
  <c r="AK97" i="162"/>
  <c r="AK96" i="162"/>
  <c r="AJ95" i="162"/>
  <c r="AH94" i="162"/>
  <c r="AH93" i="162"/>
  <c r="AO104" i="162"/>
  <c r="AP102" i="162"/>
  <c r="AI101" i="162"/>
  <c r="AL99" i="162"/>
  <c r="AK98" i="162"/>
  <c r="AJ97" i="162"/>
  <c r="AH96" i="162"/>
  <c r="AH95" i="162"/>
  <c r="AS93" i="162"/>
  <c r="AQ105" i="162"/>
  <c r="AJ104" i="162"/>
  <c r="AM102" i="162"/>
  <c r="AO100" i="162"/>
  <c r="AI99" i="162"/>
  <c r="AS97" i="162"/>
  <c r="AS96" i="162"/>
  <c r="AR95" i="162"/>
  <c r="AP94" i="162"/>
  <c r="AP93" i="162"/>
  <c r="AK104" i="162"/>
  <c r="AK100" i="162"/>
  <c r="AL97" i="162"/>
  <c r="AK95" i="162"/>
  <c r="AJ93" i="162"/>
  <c r="AQ103" i="162"/>
  <c r="AK99" i="162"/>
  <c r="AH97" i="162"/>
  <c r="AS94" i="162"/>
  <c r="AO103" i="162"/>
  <c r="AS98" i="162"/>
  <c r="AP96" i="162"/>
  <c r="AO94" i="162"/>
  <c r="AO102" i="162"/>
  <c r="AP98" i="162"/>
  <c r="AO96" i="162"/>
  <c r="AN94" i="162"/>
  <c r="AL105" i="162"/>
  <c r="AM100" i="162"/>
  <c r="AP97" i="162"/>
  <c r="AO95" i="162"/>
  <c r="AL93" i="162"/>
  <c r="AS100" i="162"/>
  <c r="AR93" i="162"/>
  <c r="AN98" i="162"/>
  <c r="AO93" i="162"/>
  <c r="AR97" i="162"/>
  <c r="AL96" i="162"/>
  <c r="AS95" i="162"/>
  <c r="AS105" i="162"/>
  <c r="AP95" i="162"/>
  <c r="AJ102" i="162"/>
  <c r="AH102" i="162"/>
  <c r="AH98" i="162"/>
  <c r="AK94" i="162"/>
  <c r="AO105" i="162"/>
  <c r="AB45" i="162"/>
  <c r="T45" i="162"/>
  <c r="X44" i="162"/>
  <c r="AB43" i="162"/>
  <c r="T43" i="162"/>
  <c r="X42" i="162"/>
  <c r="AB41" i="162"/>
  <c r="T41" i="162"/>
  <c r="X40" i="162"/>
  <c r="AB39" i="162"/>
  <c r="T39" i="162"/>
  <c r="X38" i="162"/>
  <c r="AB37" i="162"/>
  <c r="Y45" i="162"/>
  <c r="AB44" i="162"/>
  <c r="S44" i="162"/>
  <c r="V43" i="162"/>
  <c r="Y42" i="162"/>
  <c r="AA41" i="162"/>
  <c r="AD40" i="162"/>
  <c r="U40" i="162"/>
  <c r="X39" i="162"/>
  <c r="AA38" i="162"/>
  <c r="V45" i="162"/>
  <c r="W44" i="162"/>
  <c r="Y43" i="162"/>
  <c r="AA42" i="162"/>
  <c r="AC41" i="162"/>
  <c r="AC40" i="162"/>
  <c r="S40" i="162"/>
  <c r="U39" i="162"/>
  <c r="V38" i="162"/>
  <c r="Y37" i="162"/>
  <c r="AC36" i="162"/>
  <c r="U36" i="162"/>
  <c r="Y35" i="162"/>
  <c r="AC34" i="162"/>
  <c r="U34" i="162"/>
  <c r="Y33" i="162"/>
  <c r="AD45" i="162"/>
  <c r="S45" i="162"/>
  <c r="U44" i="162"/>
  <c r="W43" i="162"/>
  <c r="W42" i="162"/>
  <c r="Y41" i="162"/>
  <c r="AA40" i="162"/>
  <c r="AC39" i="162"/>
  <c r="AD38" i="162"/>
  <c r="T38" i="162"/>
  <c r="W37" i="162"/>
  <c r="AA36" i="162"/>
  <c r="S36" i="162"/>
  <c r="W35" i="162"/>
  <c r="AA34" i="162"/>
  <c r="S34" i="162"/>
  <c r="W33" i="162"/>
  <c r="W45" i="162"/>
  <c r="T44" i="162"/>
  <c r="AD42" i="162"/>
  <c r="AD41" i="162"/>
  <c r="Z40" i="162"/>
  <c r="Y39" i="162"/>
  <c r="W38" i="162"/>
  <c r="V37" i="162"/>
  <c r="X36" i="162"/>
  <c r="Z35" i="162"/>
  <c r="Z34" i="162"/>
  <c r="AB33" i="162"/>
  <c r="U45" i="162"/>
  <c r="AD43" i="162"/>
  <c r="AC42" i="162"/>
  <c r="Z41" i="162"/>
  <c r="Y40" i="162"/>
  <c r="W39" i="162"/>
  <c r="U38" i="162"/>
  <c r="U37" i="162"/>
  <c r="W36" i="162"/>
  <c r="X35" i="162"/>
  <c r="Y34" i="162"/>
  <c r="AA33" i="162"/>
  <c r="AD44" i="162"/>
  <c r="AC43" i="162"/>
  <c r="AB42" i="162"/>
  <c r="X41" i="162"/>
  <c r="W40" i="162"/>
  <c r="V39" i="162"/>
  <c r="S38" i="162"/>
  <c r="T37" i="162"/>
  <c r="V36" i="162"/>
  <c r="V35" i="162"/>
  <c r="X34" i="162"/>
  <c r="Z33" i="162"/>
  <c r="AC45" i="162"/>
  <c r="Z43" i="162"/>
  <c r="V41" i="162"/>
  <c r="AC38" i="162"/>
  <c r="AD36" i="162"/>
  <c r="T35" i="162"/>
  <c r="V33" i="162"/>
  <c r="AC44" i="162"/>
  <c r="AA43" i="162"/>
  <c r="Z42" i="162"/>
  <c r="W41" i="162"/>
  <c r="V40" i="162"/>
  <c r="S39" i="162"/>
  <c r="AD37" i="162"/>
  <c r="S37" i="162"/>
  <c r="T36" i="162"/>
  <c r="U35" i="162"/>
  <c r="W34" i="162"/>
  <c r="X33" i="162"/>
  <c r="AA44" i="162"/>
  <c r="V42" i="162"/>
  <c r="T40" i="162"/>
  <c r="AC37" i="162"/>
  <c r="AD35" i="162"/>
  <c r="V34" i="162"/>
  <c r="X45" i="162"/>
  <c r="T42" i="162"/>
  <c r="AB38" i="162"/>
  <c r="Y36" i="162"/>
  <c r="AD33" i="162"/>
  <c r="T34" i="162"/>
  <c r="Z44" i="162"/>
  <c r="S42" i="162"/>
  <c r="Z38" i="162"/>
  <c r="AC35" i="162"/>
  <c r="AC33" i="162"/>
  <c r="AB40" i="162"/>
  <c r="S35" i="162"/>
  <c r="AD39" i="162"/>
  <c r="AD34" i="162"/>
  <c r="AA45" i="162"/>
  <c r="AA39" i="162"/>
  <c r="AB34" i="162"/>
  <c r="Z45" i="162"/>
  <c r="Z39" i="162"/>
  <c r="Y44" i="162"/>
  <c r="U41" i="162"/>
  <c r="Y38" i="162"/>
  <c r="AB35" i="162"/>
  <c r="U33" i="162"/>
  <c r="X43" i="162"/>
  <c r="Z37" i="162"/>
  <c r="S33" i="162"/>
  <c r="U43" i="162"/>
  <c r="X37" i="162"/>
  <c r="S43" i="162"/>
  <c r="AB36" i="162"/>
  <c r="U42" i="162"/>
  <c r="Z36" i="162"/>
  <c r="V44" i="162"/>
  <c r="S41" i="162"/>
  <c r="AA37" i="162"/>
  <c r="AA35" i="162"/>
  <c r="T33" i="162"/>
  <c r="Y60" i="162"/>
  <c r="AC59" i="162"/>
  <c r="U59" i="162"/>
  <c r="Y58" i="162"/>
  <c r="AC57" i="162"/>
  <c r="U57" i="162"/>
  <c r="Y56" i="162"/>
  <c r="AC55" i="162"/>
  <c r="U55" i="162"/>
  <c r="Y54" i="162"/>
  <c r="AC53" i="162"/>
  <c r="U53" i="162"/>
  <c r="Y52" i="162"/>
  <c r="AC51" i="162"/>
  <c r="U51" i="162"/>
  <c r="Y50" i="162"/>
  <c r="AC49" i="162"/>
  <c r="U49" i="162"/>
  <c r="Y48" i="162"/>
  <c r="AC60" i="162"/>
  <c r="T60" i="162"/>
  <c r="W59" i="162"/>
  <c r="Z58" i="162"/>
  <c r="AB57" i="162"/>
  <c r="S57" i="162"/>
  <c r="V56" i="162"/>
  <c r="Y55" i="162"/>
  <c r="AB54" i="162"/>
  <c r="S54" i="162"/>
  <c r="V53" i="162"/>
  <c r="X52" i="162"/>
  <c r="AA51" i="162"/>
  <c r="AD50" i="162"/>
  <c r="U50" i="162"/>
  <c r="X49" i="162"/>
  <c r="AA48" i="162"/>
  <c r="AB60" i="162"/>
  <c r="S60" i="162"/>
  <c r="V59" i="162"/>
  <c r="X58" i="162"/>
  <c r="AA57" i="162"/>
  <c r="AD56" i="162"/>
  <c r="U56" i="162"/>
  <c r="X55" i="162"/>
  <c r="AA54" i="162"/>
  <c r="AD53" i="162"/>
  <c r="T53" i="162"/>
  <c r="W52" i="162"/>
  <c r="Z51" i="162"/>
  <c r="AC50" i="162"/>
  <c r="T50" i="162"/>
  <c r="W49" i="162"/>
  <c r="Z48" i="162"/>
  <c r="Z60" i="162"/>
  <c r="AB59" i="162"/>
  <c r="S59" i="162"/>
  <c r="V58" i="162"/>
  <c r="Y57" i="162"/>
  <c r="AB56" i="162"/>
  <c r="S56" i="162"/>
  <c r="V55" i="162"/>
  <c r="X54" i="162"/>
  <c r="AA53" i="162"/>
  <c r="AD52" i="162"/>
  <c r="U52" i="162"/>
  <c r="X51" i="162"/>
  <c r="AA50" i="162"/>
  <c r="AD49" i="162"/>
  <c r="T49" i="162"/>
  <c r="W48" i="162"/>
  <c r="X60" i="162"/>
  <c r="X59" i="162"/>
  <c r="T58" i="162"/>
  <c r="AC56" i="162"/>
  <c r="AA55" i="162"/>
  <c r="W54" i="162"/>
  <c r="W53" i="162"/>
  <c r="S52" i="162"/>
  <c r="AB50" i="162"/>
  <c r="Z49" i="162"/>
  <c r="V48" i="162"/>
  <c r="W60" i="162"/>
  <c r="T59" i="162"/>
  <c r="S58" i="162"/>
  <c r="AA56" i="162"/>
  <c r="Z55" i="162"/>
  <c r="V54" i="162"/>
  <c r="S53" i="162"/>
  <c r="AD51" i="162"/>
  <c r="Z50" i="162"/>
  <c r="Y49" i="162"/>
  <c r="U48" i="162"/>
  <c r="U60" i="162"/>
  <c r="AA58" i="162"/>
  <c r="T57" i="162"/>
  <c r="T55" i="162"/>
  <c r="Z53" i="162"/>
  <c r="T52" i="162"/>
  <c r="W50" i="162"/>
  <c r="AC48" i="162"/>
  <c r="AD59" i="162"/>
  <c r="W58" i="162"/>
  <c r="Z56" i="162"/>
  <c r="S55" i="162"/>
  <c r="Y53" i="162"/>
  <c r="AB51" i="162"/>
  <c r="V50" i="162"/>
  <c r="AB48" i="162"/>
  <c r="AA59" i="162"/>
  <c r="U58" i="162"/>
  <c r="X56" i="162"/>
  <c r="AD54" i="162"/>
  <c r="X53" i="162"/>
  <c r="Y51" i="162"/>
  <c r="S50" i="162"/>
  <c r="X48" i="162"/>
  <c r="AD60" i="162"/>
  <c r="AD57" i="162"/>
  <c r="AB55" i="162"/>
  <c r="AB52" i="162"/>
  <c r="X50" i="162"/>
  <c r="AA60" i="162"/>
  <c r="Z57" i="162"/>
  <c r="W55" i="162"/>
  <c r="AA52" i="162"/>
  <c r="AB49" i="162"/>
  <c r="V60" i="162"/>
  <c r="X57" i="162"/>
  <c r="AC54" i="162"/>
  <c r="Z52" i="162"/>
  <c r="AA49" i="162"/>
  <c r="Y59" i="162"/>
  <c r="AD55" i="162"/>
  <c r="V51" i="162"/>
  <c r="AD58" i="162"/>
  <c r="Z54" i="162"/>
  <c r="T51" i="162"/>
  <c r="AC58" i="162"/>
  <c r="U54" i="162"/>
  <c r="S51" i="162"/>
  <c r="W57" i="162"/>
  <c r="S49" i="162"/>
  <c r="AB58" i="162"/>
  <c r="T54" i="162"/>
  <c r="V49" i="162"/>
  <c r="AB53" i="162"/>
  <c r="W51" i="162"/>
  <c r="AD48" i="162"/>
  <c r="W56" i="162"/>
  <c r="T56" i="162"/>
  <c r="V52" i="162"/>
  <c r="Z59" i="162"/>
  <c r="T48" i="162"/>
  <c r="AC52" i="162"/>
  <c r="V57" i="162"/>
  <c r="S48" i="162"/>
  <c r="N73" i="184" l="1"/>
  <c r="N46" i="184"/>
  <c r="AI33" i="162" a="1"/>
  <c r="S18" i="162" a="1"/>
  <c r="N66" i="184" l="1"/>
  <c r="N74" i="184"/>
  <c r="N71" i="184"/>
  <c r="N64" i="184"/>
  <c r="N70" i="184"/>
  <c r="N72" i="184"/>
  <c r="N69" i="184"/>
  <c r="N63" i="184"/>
  <c r="N68" i="184"/>
  <c r="N67" i="184"/>
  <c r="N65" i="184"/>
  <c r="N62" i="184"/>
  <c r="AC30" i="162"/>
  <c r="U30" i="162"/>
  <c r="Y29" i="162"/>
  <c r="AC28" i="162"/>
  <c r="U28" i="162"/>
  <c r="Y27" i="162"/>
  <c r="AC26" i="162"/>
  <c r="U26" i="162"/>
  <c r="Y25" i="162"/>
  <c r="AC24" i="162"/>
  <c r="U24" i="162"/>
  <c r="Y23" i="162"/>
  <c r="V30" i="162"/>
  <c r="X29" i="162"/>
  <c r="AA28" i="162"/>
  <c r="AD27" i="162"/>
  <c r="U27" i="162"/>
  <c r="X26" i="162"/>
  <c r="AA25" i="162"/>
  <c r="AD24" i="162"/>
  <c r="T24" i="162"/>
  <c r="W23" i="162"/>
  <c r="AA22" i="162"/>
  <c r="S22" i="162"/>
  <c r="W21" i="162"/>
  <c r="AA20" i="162"/>
  <c r="S20" i="162"/>
  <c r="W19" i="162"/>
  <c r="AA18" i="162"/>
  <c r="S18" i="162"/>
  <c r="AD30" i="162"/>
  <c r="W29" i="162"/>
  <c r="Z28" i="162"/>
  <c r="T27" i="162"/>
  <c r="W26" i="162"/>
  <c r="AB24" i="162"/>
  <c r="V23" i="162"/>
  <c r="Z22" i="162"/>
  <c r="V21" i="162"/>
  <c r="Z20" i="162"/>
  <c r="V19" i="162"/>
  <c r="Z18" i="162"/>
  <c r="T30" i="162"/>
  <c r="AC27" i="162"/>
  <c r="Z25" i="162"/>
  <c r="S24" i="162"/>
  <c r="AD21" i="162"/>
  <c r="AD19" i="162"/>
  <c r="AB30" i="162"/>
  <c r="S30" i="162"/>
  <c r="V29" i="162"/>
  <c r="Y28" i="162"/>
  <c r="AB27" i="162"/>
  <c r="S27" i="162"/>
  <c r="V26" i="162"/>
  <c r="X25" i="162"/>
  <c r="AA24" i="162"/>
  <c r="AD23" i="162"/>
  <c r="U23" i="162"/>
  <c r="Y22" i="162"/>
  <c r="AC21" i="162"/>
  <c r="U21" i="162"/>
  <c r="Y20" i="162"/>
  <c r="AC19" i="162"/>
  <c r="U19" i="162"/>
  <c r="Y18" i="162"/>
  <c r="AA30" i="162"/>
  <c r="AD29" i="162"/>
  <c r="U29" i="162"/>
  <c r="X28" i="162"/>
  <c r="AA27" i="162"/>
  <c r="AD26" i="162"/>
  <c r="T26" i="162"/>
  <c r="W25" i="162"/>
  <c r="Z24" i="162"/>
  <c r="AC23" i="162"/>
  <c r="T23" i="162"/>
  <c r="X22" i="162"/>
  <c r="AB21" i="162"/>
  <c r="T21" i="162"/>
  <c r="X20" i="162"/>
  <c r="AB19" i="162"/>
  <c r="T19" i="162"/>
  <c r="X18" i="162"/>
  <c r="AC29" i="162"/>
  <c r="W28" i="162"/>
  <c r="AB26" i="162"/>
  <c r="V25" i="162"/>
  <c r="AB23" i="162"/>
  <c r="W22" i="162"/>
  <c r="S21" i="162"/>
  <c r="AA19" i="162"/>
  <c r="W18" i="162"/>
  <c r="Y30" i="162"/>
  <c r="AD22" i="162"/>
  <c r="AC22" i="162"/>
  <c r="AB25" i="162"/>
  <c r="AB29" i="162"/>
  <c r="V28" i="162"/>
  <c r="AA26" i="162"/>
  <c r="U25" i="162"/>
  <c r="AA23" i="162"/>
  <c r="V22" i="162"/>
  <c r="AD20" i="162"/>
  <c r="Z19" i="162"/>
  <c r="V18" i="162"/>
  <c r="Z30" i="162"/>
  <c r="Z27" i="162"/>
  <c r="Y24" i="162"/>
  <c r="AA21" i="162"/>
  <c r="X27" i="162"/>
  <c r="X24" i="162"/>
  <c r="V20" i="162"/>
  <c r="AD28" i="162"/>
  <c r="AC25" i="162"/>
  <c r="Y21" i="162"/>
  <c r="AC18" i="162"/>
  <c r="W30" i="162"/>
  <c r="V27" i="162"/>
  <c r="AB22" i="162"/>
  <c r="T20" i="162"/>
  <c r="AA29" i="162"/>
  <c r="T28" i="162"/>
  <c r="Z26" i="162"/>
  <c r="T25" i="162"/>
  <c r="Z23" i="162"/>
  <c r="U22" i="162"/>
  <c r="AC20" i="162"/>
  <c r="Y19" i="162"/>
  <c r="U18" i="162"/>
  <c r="T29" i="162"/>
  <c r="S26" i="162"/>
  <c r="S23" i="162"/>
  <c r="S19" i="162"/>
  <c r="S29" i="162"/>
  <c r="AD25" i="162"/>
  <c r="Z21" i="162"/>
  <c r="AD18" i="162"/>
  <c r="X30" i="162"/>
  <c r="W27" i="162"/>
  <c r="W24" i="162"/>
  <c r="U20" i="162"/>
  <c r="AB28" i="162"/>
  <c r="V24" i="162"/>
  <c r="X21" i="162"/>
  <c r="AB18" i="162"/>
  <c r="Z29" i="162"/>
  <c r="S28" i="162"/>
  <c r="Y26" i="162"/>
  <c r="S25" i="162"/>
  <c r="X23" i="162"/>
  <c r="T22" i="162"/>
  <c r="AB20" i="162"/>
  <c r="X19" i="162"/>
  <c r="T18" i="162"/>
  <c r="W20" i="162"/>
  <c r="AM45" i="162"/>
  <c r="AQ44" i="162"/>
  <c r="AI44" i="162"/>
  <c r="AM43" i="162"/>
  <c r="AQ42" i="162"/>
  <c r="AI42" i="162"/>
  <c r="AM41" i="162"/>
  <c r="AQ40" i="162"/>
  <c r="AI40" i="162"/>
  <c r="AM39" i="162"/>
  <c r="AQ38" i="162"/>
  <c r="AI38" i="162"/>
  <c r="AM37" i="162"/>
  <c r="AQ36" i="162"/>
  <c r="AI36" i="162"/>
  <c r="AM35" i="162"/>
  <c r="AQ34" i="162"/>
  <c r="AI34" i="162"/>
  <c r="AM33" i="162"/>
  <c r="AN45" i="162"/>
  <c r="AP44" i="162"/>
  <c r="AS43" i="162"/>
  <c r="AJ43" i="162"/>
  <c r="AM42" i="162"/>
  <c r="AP41" i="162"/>
  <c r="AS40" i="162"/>
  <c r="AJ40" i="162"/>
  <c r="AL39" i="162"/>
  <c r="AO38" i="162"/>
  <c r="AR37" i="162"/>
  <c r="AI37" i="162"/>
  <c r="AL36" i="162"/>
  <c r="AO35" i="162"/>
  <c r="AR34" i="162"/>
  <c r="AT33" i="162"/>
  <c r="AK33" i="162"/>
  <c r="AK45" i="162"/>
  <c r="AM44" i="162"/>
  <c r="AO43" i="162"/>
  <c r="AP42" i="162"/>
  <c r="AR41" i="162"/>
  <c r="AT40" i="162"/>
  <c r="AT39" i="162"/>
  <c r="AJ39" i="162"/>
  <c r="AL38" i="162"/>
  <c r="AN37" i="162"/>
  <c r="AO36" i="162"/>
  <c r="AQ35" i="162"/>
  <c r="AS34" i="162"/>
  <c r="AS33" i="162"/>
  <c r="AI33" i="162"/>
  <c r="AS45" i="162"/>
  <c r="AI45" i="162"/>
  <c r="AK44" i="162"/>
  <c r="AL43" i="162"/>
  <c r="AN42" i="162"/>
  <c r="AO41" i="162"/>
  <c r="AP40" i="162"/>
  <c r="AR39" i="162"/>
  <c r="AT38" i="162"/>
  <c r="AJ38" i="162"/>
  <c r="AK37" i="162"/>
  <c r="AM36" i="162"/>
  <c r="AN35" i="162"/>
  <c r="AO34" i="162"/>
  <c r="AQ33" i="162"/>
  <c r="AT44" i="162"/>
  <c r="AR43" i="162"/>
  <c r="AR42" i="162"/>
  <c r="AN41" i="162"/>
  <c r="AM40" i="162"/>
  <c r="AK39" i="162"/>
  <c r="AT37" i="162"/>
  <c r="AS36" i="162"/>
  <c r="AR35" i="162"/>
  <c r="AN34" i="162"/>
  <c r="AN33" i="162"/>
  <c r="AT45" i="162"/>
  <c r="AS44" i="162"/>
  <c r="AQ43" i="162"/>
  <c r="AO42" i="162"/>
  <c r="AL41" i="162"/>
  <c r="AL40" i="162"/>
  <c r="AI39" i="162"/>
  <c r="AS37" i="162"/>
  <c r="AR36" i="162"/>
  <c r="AP35" i="162"/>
  <c r="AM34" i="162"/>
  <c r="AL33" i="162"/>
  <c r="AR45" i="162"/>
  <c r="AR44" i="162"/>
  <c r="AP43" i="162"/>
  <c r="AL42" i="162"/>
  <c r="AK41" i="162"/>
  <c r="AK40" i="162"/>
  <c r="AS38" i="162"/>
  <c r="AQ37" i="162"/>
  <c r="AP36" i="162"/>
  <c r="AL35" i="162"/>
  <c r="AL34" i="162"/>
  <c r="AJ33" i="162"/>
  <c r="AP45" i="162"/>
  <c r="AJ42" i="162"/>
  <c r="AQ39" i="162"/>
  <c r="AO37" i="162"/>
  <c r="AJ35" i="162"/>
  <c r="AQ45" i="162"/>
  <c r="AO44" i="162"/>
  <c r="AN43" i="162"/>
  <c r="AK42" i="162"/>
  <c r="AJ41" i="162"/>
  <c r="AS39" i="162"/>
  <c r="AR38" i="162"/>
  <c r="AP37" i="162"/>
  <c r="AN36" i="162"/>
  <c r="AK35" i="162"/>
  <c r="AK34" i="162"/>
  <c r="AK43" i="162"/>
  <c r="AI41" i="162"/>
  <c r="AP38" i="162"/>
  <c r="AK36" i="162"/>
  <c r="AJ34" i="162"/>
  <c r="AL44" i="162"/>
  <c r="AQ41" i="162"/>
  <c r="AM38" i="162"/>
  <c r="AI35" i="162"/>
  <c r="AO33" i="162"/>
  <c r="AT41" i="162"/>
  <c r="AJ44" i="162"/>
  <c r="AR40" i="162"/>
  <c r="AK38" i="162"/>
  <c r="AT34" i="162"/>
  <c r="AT42" i="162"/>
  <c r="AP33" i="162"/>
  <c r="AL45" i="162"/>
  <c r="AO39" i="162"/>
  <c r="AN39" i="162"/>
  <c r="AN44" i="162"/>
  <c r="AN38" i="162"/>
  <c r="AT43" i="162"/>
  <c r="AO40" i="162"/>
  <c r="AL37" i="162"/>
  <c r="AP34" i="162"/>
  <c r="AO45" i="162"/>
  <c r="AT36" i="162"/>
  <c r="AS42" i="162"/>
  <c r="AJ36" i="162"/>
  <c r="AJ45" i="162"/>
  <c r="AT35" i="162"/>
  <c r="AS41" i="162"/>
  <c r="AS35" i="162"/>
  <c r="AI43" i="162"/>
  <c r="AN40" i="162"/>
  <c r="AJ37" i="162"/>
  <c r="AR33" i="162"/>
  <c r="AP39" i="162"/>
  <c r="N61" i="184" l="1"/>
  <c r="AH18" i="162" a="1"/>
  <c r="AH48" i="162" a="1"/>
  <c r="AQ60" i="162" l="1"/>
  <c r="AI60" i="162"/>
  <c r="AM59" i="162"/>
  <c r="AQ58" i="162"/>
  <c r="AI58" i="162"/>
  <c r="AM57" i="162"/>
  <c r="AQ56" i="162"/>
  <c r="AI56" i="162"/>
  <c r="AM55" i="162"/>
  <c r="AQ54" i="162"/>
  <c r="AI54" i="162"/>
  <c r="AM53" i="162"/>
  <c r="AQ52" i="162"/>
  <c r="AI52" i="162"/>
  <c r="AM51" i="162"/>
  <c r="AQ50" i="162"/>
  <c r="AI50" i="162"/>
  <c r="AM49" i="162"/>
  <c r="AQ48" i="162"/>
  <c r="AI48" i="162"/>
  <c r="AP60" i="162"/>
  <c r="AS59" i="162"/>
  <c r="AJ59" i="162"/>
  <c r="AM58" i="162"/>
  <c r="AP57" i="162"/>
  <c r="AS56" i="162"/>
  <c r="AJ56" i="162"/>
  <c r="AL55" i="162"/>
  <c r="AO54" i="162"/>
  <c r="AR53" i="162"/>
  <c r="AI53" i="162"/>
  <c r="AL52" i="162"/>
  <c r="AO51" i="162"/>
  <c r="AR50" i="162"/>
  <c r="AH50" i="162"/>
  <c r="AK49" i="162"/>
  <c r="AN48" i="162"/>
  <c r="AO60" i="162"/>
  <c r="AR59" i="162"/>
  <c r="AI59" i="162"/>
  <c r="AL58" i="162"/>
  <c r="AO57" i="162"/>
  <c r="AR56" i="162"/>
  <c r="AH56" i="162"/>
  <c r="AK55" i="162"/>
  <c r="AN54" i="162"/>
  <c r="AQ53" i="162"/>
  <c r="AH53" i="162"/>
  <c r="AK52" i="162"/>
  <c r="AN51" i="162"/>
  <c r="AP50" i="162"/>
  <c r="AS49" i="162"/>
  <c r="AJ49" i="162"/>
  <c r="AM48" i="162"/>
  <c r="AM60" i="162"/>
  <c r="AP59" i="162"/>
  <c r="AS58" i="162"/>
  <c r="AJ58" i="162"/>
  <c r="AL57" i="162"/>
  <c r="AO56" i="162"/>
  <c r="AR55" i="162"/>
  <c r="AI55" i="162"/>
  <c r="AL54" i="162"/>
  <c r="AO53" i="162"/>
  <c r="AR52" i="162"/>
  <c r="AH52" i="162"/>
  <c r="AG67" i="162" s="1"/>
  <c r="AK51" i="162"/>
  <c r="AN50" i="162"/>
  <c r="AQ49" i="162"/>
  <c r="AH49" i="162"/>
  <c r="AK48" i="162"/>
  <c r="AS60" i="162"/>
  <c r="AO59" i="162"/>
  <c r="AN58" i="162"/>
  <c r="AJ57" i="162"/>
  <c r="AS55" i="162"/>
  <c r="AR54" i="162"/>
  <c r="AN53" i="162"/>
  <c r="AM52" i="162"/>
  <c r="AI51" i="162"/>
  <c r="AR49" i="162"/>
  <c r="AP48" i="162"/>
  <c r="AR60" i="162"/>
  <c r="AN59" i="162"/>
  <c r="AK58" i="162"/>
  <c r="AI57" i="162"/>
  <c r="AQ55" i="162"/>
  <c r="AP54" i="162"/>
  <c r="AL53" i="162"/>
  <c r="AJ52" i="162"/>
  <c r="AH51" i="162"/>
  <c r="AP49" i="162"/>
  <c r="AO48" i="162"/>
  <c r="AJ60" i="162"/>
  <c r="AO58" i="162"/>
  <c r="AP56" i="162"/>
  <c r="AJ55" i="162"/>
  <c r="AP53" i="162"/>
  <c r="AR51" i="162"/>
  <c r="AL50" i="162"/>
  <c r="AR48" i="162"/>
  <c r="AH60" i="162"/>
  <c r="AH58" i="162"/>
  <c r="AN56" i="162"/>
  <c r="AH55" i="162"/>
  <c r="AG70" i="162" s="1"/>
  <c r="AK53" i="162"/>
  <c r="AQ51" i="162"/>
  <c r="AK50" i="162"/>
  <c r="AL48" i="162"/>
  <c r="AQ59" i="162"/>
  <c r="AS57" i="162"/>
  <c r="AM56" i="162"/>
  <c r="AS54" i="162"/>
  <c r="AJ53" i="162"/>
  <c r="AP51" i="162"/>
  <c r="AJ50" i="162"/>
  <c r="AJ48" i="162"/>
  <c r="AN60" i="162"/>
  <c r="AR57" i="162"/>
  <c r="AO55" i="162"/>
  <c r="AP52" i="162"/>
  <c r="AM50" i="162"/>
  <c r="AL60" i="162"/>
  <c r="AQ57" i="162"/>
  <c r="AN55" i="162"/>
  <c r="AO52" i="162"/>
  <c r="AO49" i="162"/>
  <c r="AK60" i="162"/>
  <c r="AN57" i="162"/>
  <c r="AM54" i="162"/>
  <c r="AN52" i="162"/>
  <c r="AN49" i="162"/>
  <c r="AH59" i="162"/>
  <c r="AK54" i="162"/>
  <c r="AS50" i="162"/>
  <c r="AR58" i="162"/>
  <c r="AJ54" i="162"/>
  <c r="AO50" i="162"/>
  <c r="AP58" i="162"/>
  <c r="AH54" i="162"/>
  <c r="AL49" i="162"/>
  <c r="AS52" i="162"/>
  <c r="AK57" i="162"/>
  <c r="AS53" i="162"/>
  <c r="AI49" i="162"/>
  <c r="AH57" i="162"/>
  <c r="AG72" i="162" s="1"/>
  <c r="AS48" i="162"/>
  <c r="AL59" i="162"/>
  <c r="AH48" i="162"/>
  <c r="AL51" i="162"/>
  <c r="AK59" i="162"/>
  <c r="AL56" i="162"/>
  <c r="AP55" i="162"/>
  <c r="AS51" i="162"/>
  <c r="AJ51" i="162"/>
  <c r="AK56" i="162"/>
  <c r="AQ30" i="162"/>
  <c r="AI30" i="162"/>
  <c r="AN29" i="162"/>
  <c r="AS28" i="162"/>
  <c r="AK28" i="162"/>
  <c r="AP27" i="162"/>
  <c r="AH27" i="162"/>
  <c r="AM26" i="162"/>
  <c r="AR25" i="162"/>
  <c r="AJ25" i="162"/>
  <c r="AO24" i="162"/>
  <c r="AT23" i="162"/>
  <c r="AL23" i="162"/>
  <c r="AQ22" i="162"/>
  <c r="AI22" i="162"/>
  <c r="AN21" i="162"/>
  <c r="AS20" i="162"/>
  <c r="AK20" i="162"/>
  <c r="AP19" i="162"/>
  <c r="AH19" i="162"/>
  <c r="AM18" i="162"/>
  <c r="AO30" i="162"/>
  <c r="AS29" i="162"/>
  <c r="AJ29" i="162"/>
  <c r="AN28" i="162"/>
  <c r="AR27" i="162"/>
  <c r="AI27" i="162"/>
  <c r="AL26" i="162"/>
  <c r="AP25" i="162"/>
  <c r="AT24" i="162"/>
  <c r="AK24" i="162"/>
  <c r="AO23" i="162"/>
  <c r="AS22" i="162"/>
  <c r="AJ22" i="162"/>
  <c r="AM21" i="162"/>
  <c r="AQ20" i="162"/>
  <c r="AH20" i="162"/>
  <c r="AL19" i="162"/>
  <c r="AP18" i="162"/>
  <c r="AN30" i="162"/>
  <c r="AI29" i="162"/>
  <c r="AM28" i="162"/>
  <c r="AQ27" i="162"/>
  <c r="AK26" i="162"/>
  <c r="AO25" i="162"/>
  <c r="AS24" i="162"/>
  <c r="AN23" i="162"/>
  <c r="AR22" i="162"/>
  <c r="AL21" i="162"/>
  <c r="AP20" i="162"/>
  <c r="AT19" i="162"/>
  <c r="AO18" i="162"/>
  <c r="AR29" i="162"/>
  <c r="AT26" i="162"/>
  <c r="AJ24" i="162"/>
  <c r="AH22" i="162"/>
  <c r="AK19" i="162"/>
  <c r="AM30" i="162"/>
  <c r="AQ29" i="162"/>
  <c r="AH29" i="162"/>
  <c r="AL28" i="162"/>
  <c r="AO27" i="162"/>
  <c r="AS26" i="162"/>
  <c r="AJ26" i="162"/>
  <c r="AN25" i="162"/>
  <c r="AR24" i="162"/>
  <c r="AI24" i="162"/>
  <c r="AM23" i="162"/>
  <c r="AP22" i="162"/>
  <c r="AT21" i="162"/>
  <c r="AK21" i="162"/>
  <c r="AO20" i="162"/>
  <c r="AS19" i="162"/>
  <c r="AJ19" i="162"/>
  <c r="AN18" i="162"/>
  <c r="AT30" i="162"/>
  <c r="AO29" i="162"/>
  <c r="AM27" i="162"/>
  <c r="AH26" i="162"/>
  <c r="AL25" i="162"/>
  <c r="AS23" i="162"/>
  <c r="AJ23" i="162"/>
  <c r="AR21" i="162"/>
  <c r="AM20" i="162"/>
  <c r="AL30" i="162"/>
  <c r="AP29" i="162"/>
  <c r="AT28" i="162"/>
  <c r="AJ28" i="162"/>
  <c r="AN27" i="162"/>
  <c r="AR26" i="162"/>
  <c r="AI26" i="162"/>
  <c r="AM25" i="162"/>
  <c r="AQ24" i="162"/>
  <c r="AH24" i="162"/>
  <c r="AK23" i="162"/>
  <c r="AO22" i="162"/>
  <c r="AS21" i="162"/>
  <c r="AJ21" i="162"/>
  <c r="AN20" i="162"/>
  <c r="AR19" i="162"/>
  <c r="AI19" i="162"/>
  <c r="AL18" i="162"/>
  <c r="AK30" i="162"/>
  <c r="AI28" i="162"/>
  <c r="AQ26" i="162"/>
  <c r="AP24" i="162"/>
  <c r="AN22" i="162"/>
  <c r="AI21" i="162"/>
  <c r="AQ19" i="162"/>
  <c r="AS30" i="162"/>
  <c r="AK29" i="162"/>
  <c r="AL27" i="162"/>
  <c r="AQ25" i="162"/>
  <c r="AQ23" i="162"/>
  <c r="AQ21" i="162"/>
  <c r="AI20" i="162"/>
  <c r="AK18" i="162"/>
  <c r="AN24" i="162"/>
  <c r="AH28" i="162"/>
  <c r="AT25" i="162"/>
  <c r="AR30" i="162"/>
  <c r="AR28" i="162"/>
  <c r="AK27" i="162"/>
  <c r="AK25" i="162"/>
  <c r="AP23" i="162"/>
  <c r="AP21" i="162"/>
  <c r="AO19" i="162"/>
  <c r="AJ18" i="162"/>
  <c r="AO26" i="162"/>
  <c r="AT20" i="162"/>
  <c r="AT29" i="162"/>
  <c r="AN26" i="162"/>
  <c r="AM22" i="162"/>
  <c r="AS18" i="162"/>
  <c r="AM29" i="162"/>
  <c r="AL22" i="162"/>
  <c r="AR18" i="162"/>
  <c r="AS27" i="162"/>
  <c r="AR23" i="162"/>
  <c r="AJ20" i="162"/>
  <c r="AP30" i="162"/>
  <c r="AQ28" i="162"/>
  <c r="AJ27" i="162"/>
  <c r="AI25" i="162"/>
  <c r="AI23" i="162"/>
  <c r="AO21" i="162"/>
  <c r="AN19" i="162"/>
  <c r="AI18" i="162"/>
  <c r="AH30" i="162"/>
  <c r="AO28" i="162"/>
  <c r="AT22" i="162"/>
  <c r="AT18" i="162"/>
  <c r="AM24" i="162"/>
  <c r="AR20" i="162"/>
  <c r="AT27" i="162"/>
  <c r="AL20" i="162"/>
  <c r="AL29" i="162"/>
  <c r="AS25" i="162"/>
  <c r="AK22" i="162"/>
  <c r="AQ18" i="162"/>
  <c r="AJ30" i="162"/>
  <c r="AP28" i="162"/>
  <c r="AP26" i="162"/>
  <c r="AH25" i="162"/>
  <c r="AH23" i="162"/>
  <c r="AH21" i="162"/>
  <c r="AM19" i="162"/>
  <c r="AH18" i="162"/>
  <c r="AL24" i="162"/>
  <c r="AG68" i="162" l="1"/>
  <c r="AG73" i="162"/>
  <c r="AG75" i="162"/>
  <c r="AG64" i="162"/>
  <c r="AG63" i="162"/>
  <c r="AG74" i="162"/>
  <c r="AG69" i="162"/>
  <c r="AG71" i="162"/>
  <c r="AG66" i="162"/>
  <c r="AG65" i="162"/>
  <c r="AI63" i="162" l="1" a="1"/>
  <c r="AG76" i="162"/>
  <c r="AG77" i="162" s="1"/>
  <c r="AI69" i="162" l="1"/>
  <c r="AI74" i="162"/>
  <c r="AI65" i="162"/>
  <c r="AI73" i="162"/>
  <c r="AI64" i="162"/>
  <c r="AI71" i="162"/>
  <c r="AI63" i="162"/>
  <c r="AI76" i="162" s="1"/>
  <c r="AI77" i="162" s="1"/>
  <c r="AI68" i="162"/>
  <c r="AI67" i="162"/>
  <c r="AI66" i="162"/>
  <c r="AI70" i="162"/>
  <c r="AI72" i="162"/>
  <c r="AI75" i="162"/>
  <c r="C15" i="28" l="1"/>
  <c r="D15" i="28"/>
  <c r="E15" i="28"/>
  <c r="F15" i="28"/>
  <c r="G15" i="28"/>
  <c r="H15" i="28"/>
  <c r="I15" i="28"/>
  <c r="J15" i="28"/>
  <c r="K15" i="28"/>
  <c r="L15" i="28"/>
  <c r="M15" i="28"/>
  <c r="B15" i="28"/>
  <c r="C16" i="28"/>
  <c r="C17" i="28" s="1"/>
  <c r="D16" i="28"/>
  <c r="D17" i="28" s="1"/>
  <c r="E16" i="28"/>
  <c r="F16" i="28"/>
  <c r="G16" i="28"/>
  <c r="H16" i="28"/>
  <c r="I16" i="28"/>
  <c r="J16" i="28"/>
  <c r="J17" i="28" s="1"/>
  <c r="K16" i="28"/>
  <c r="K17" i="28" s="1"/>
  <c r="L16" i="28"/>
  <c r="L17" i="28" s="1"/>
  <c r="M16" i="28"/>
  <c r="M17" i="28" s="1"/>
  <c r="B16" i="28"/>
  <c r="B17"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I76" authorId="0" shapeId="0" xr:uid="{9E1224E1-B798-4796-B768-4DC320869FC1}">
      <text>
        <r>
          <rPr>
            <b/>
            <sz val="9"/>
            <color indexed="81"/>
            <rFont val="Tahoma"/>
            <family val="2"/>
            <charset val="162"/>
          </rPr>
          <t>Salim Yaykıran:</t>
        </r>
        <r>
          <rPr>
            <sz val="9"/>
            <color indexed="81"/>
            <rFont val="Tahoma"/>
            <family val="2"/>
            <charset val="162"/>
          </rPr>
          <t xml:space="preserve">
bu deger zaten ort oluyor!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S25" authorId="0" shapeId="0" xr:uid="{A4BF1F76-276F-4E3E-8215-EF737572E6AC}">
      <text>
        <r>
          <rPr>
            <b/>
            <sz val="9"/>
            <color indexed="81"/>
            <rFont val="Tahoma"/>
            <family val="2"/>
            <charset val="162"/>
          </rPr>
          <t>Salim Yaykıran:</t>
        </r>
        <r>
          <rPr>
            <sz val="9"/>
            <color indexed="81"/>
            <rFont val="Tahoma"/>
            <family val="2"/>
            <charset val="162"/>
          </rPr>
          <t xml:space="preserve">
2045 DEGISECEK</t>
        </r>
      </text>
    </comment>
    <comment ref="S48" authorId="0" shapeId="0" xr:uid="{770814A3-4194-442C-ADBC-FD635AA955F7}">
      <text>
        <r>
          <rPr>
            <b/>
            <sz val="9"/>
            <color indexed="81"/>
            <rFont val="Tahoma"/>
            <family val="2"/>
            <charset val="162"/>
          </rPr>
          <t>Salim Yaykıran:</t>
        </r>
        <r>
          <rPr>
            <sz val="9"/>
            <color indexed="81"/>
            <rFont val="Tahoma"/>
            <family val="2"/>
            <charset val="162"/>
          </rPr>
          <t xml:space="preserve">
TERSTEN HESAPLADIM</t>
        </r>
      </text>
    </comment>
    <comment ref="S49" authorId="0" shapeId="0" xr:uid="{F5D68244-DAB6-4B32-95FB-64F8EC749EB4}">
      <text>
        <r>
          <rPr>
            <b/>
            <sz val="9"/>
            <color indexed="81"/>
            <rFont val="Tahoma"/>
            <family val="2"/>
            <charset val="162"/>
          </rPr>
          <t>Salim Yaykıran:</t>
        </r>
        <r>
          <rPr>
            <sz val="9"/>
            <color indexed="81"/>
            <rFont val="Tahoma"/>
            <family val="2"/>
            <charset val="162"/>
          </rPr>
          <t xml:space="preserve">
TERSTEN HESAPLADIM</t>
        </r>
      </text>
    </comment>
    <comment ref="U90" authorId="0" shapeId="0" xr:uid="{E8AFCE77-583A-408B-8B95-8CCDCAD210F0}">
      <text>
        <r>
          <rPr>
            <b/>
            <sz val="9"/>
            <color indexed="81"/>
            <rFont val="Tahoma"/>
            <family val="2"/>
            <charset val="162"/>
          </rPr>
          <t>Salim Yaykıran:</t>
        </r>
        <r>
          <rPr>
            <sz val="9"/>
            <color indexed="81"/>
            <rFont val="Tahoma"/>
            <family val="2"/>
            <charset val="162"/>
          </rPr>
          <t xml:space="preserve">
DISARIDAN GELEN SU TUKETIMDEN DUSUYOR </t>
        </r>
      </text>
    </comment>
    <comment ref="T106" authorId="0" shapeId="0" xr:uid="{5EF3A7A1-B4A1-4EBE-A052-E4A3E9A7D2EB}">
      <text>
        <r>
          <rPr>
            <b/>
            <sz val="9"/>
            <color indexed="81"/>
            <rFont val="Tahoma"/>
            <family val="2"/>
            <charset val="162"/>
          </rPr>
          <t>YUS AYLIK DAGILIM KABULU YAPILDI</t>
        </r>
      </text>
    </comment>
    <comment ref="T107" authorId="0" shapeId="0" xr:uid="{A38E0DEB-396B-4290-81B0-47BD9AFCEBC2}">
      <text>
        <r>
          <rPr>
            <b/>
            <sz val="9"/>
            <color indexed="81"/>
            <rFont val="Tahoma"/>
            <family val="2"/>
            <charset val="162"/>
          </rPr>
          <t>YUS AYLIK DAGILIM KABULU YAPILDI</t>
        </r>
      </text>
    </comment>
    <comment ref="T108" authorId="0" shapeId="0" xr:uid="{9C3629A4-DF01-4AE6-AC97-E65D22CC0B4B}">
      <text>
        <r>
          <rPr>
            <b/>
            <sz val="9"/>
            <color indexed="81"/>
            <rFont val="Tahoma"/>
            <family val="2"/>
            <charset val="162"/>
          </rPr>
          <t>YUS AYLIK DAGILIM KABULU YAPILDI</t>
        </r>
      </text>
    </comment>
    <comment ref="T109" authorId="0" shapeId="0" xr:uid="{D896BF3D-2560-4560-A736-ACB4A4EDDCF3}">
      <text>
        <r>
          <rPr>
            <b/>
            <sz val="9"/>
            <color indexed="81"/>
            <rFont val="Tahoma"/>
            <family val="2"/>
            <charset val="162"/>
          </rPr>
          <t>YUS AYLIK DAGILIM KABULU YAPILDI</t>
        </r>
      </text>
    </comment>
    <comment ref="T110" authorId="0" shapeId="0" xr:uid="{63AE596E-B051-4076-9906-E7D508FC2ECC}">
      <text>
        <r>
          <rPr>
            <b/>
            <sz val="9"/>
            <color indexed="81"/>
            <rFont val="Tahoma"/>
            <family val="2"/>
            <charset val="162"/>
          </rPr>
          <t>YUS AYLIK DAGILIM KABULU YAPILDI</t>
        </r>
      </text>
    </comment>
    <comment ref="T111" authorId="0" shapeId="0" xr:uid="{630A3310-A0B5-4CFB-94ED-9E9857AFC08D}">
      <text>
        <r>
          <rPr>
            <b/>
            <sz val="9"/>
            <color indexed="81"/>
            <rFont val="Tahoma"/>
            <family val="2"/>
            <charset val="162"/>
          </rPr>
          <t>YUS AYLIK DAGILIM KABULU YAPILDI</t>
        </r>
      </text>
    </comment>
    <comment ref="T112" authorId="0" shapeId="0" xr:uid="{C92B216F-D331-43EB-A7D6-9B54C9301CB7}">
      <text>
        <r>
          <rPr>
            <b/>
            <sz val="9"/>
            <color indexed="81"/>
            <rFont val="Tahoma"/>
            <family val="2"/>
            <charset val="162"/>
          </rPr>
          <t>YUS AYLIK DAGILIM KABULU YAPILDI</t>
        </r>
      </text>
    </comment>
    <comment ref="T113" authorId="0" shapeId="0" xr:uid="{836F4EC9-85F4-49B3-BE0B-6152503FA91F}">
      <text>
        <r>
          <rPr>
            <b/>
            <sz val="9"/>
            <color indexed="81"/>
            <rFont val="Tahoma"/>
            <family val="2"/>
            <charset val="162"/>
          </rPr>
          <t>YUS AYLIK DAGILIM KABULU YAPILDI</t>
        </r>
      </text>
    </comment>
    <comment ref="T114" authorId="0" shapeId="0" xr:uid="{D94E4288-DF3D-4BE5-9646-4C8EC783C9AA}">
      <text>
        <r>
          <rPr>
            <b/>
            <sz val="9"/>
            <color indexed="81"/>
            <rFont val="Tahoma"/>
            <family val="2"/>
            <charset val="162"/>
          </rPr>
          <t>YUS AYLIK DAGILIM KABULU YAPILDI</t>
        </r>
      </text>
    </comment>
    <comment ref="T115" authorId="0" shapeId="0" xr:uid="{10525D2C-B09C-4439-B873-D86514DDF82F}">
      <text>
        <r>
          <rPr>
            <b/>
            <sz val="9"/>
            <color indexed="81"/>
            <rFont val="Tahoma"/>
            <family val="2"/>
            <charset val="162"/>
          </rPr>
          <t>YUS AYLIK DAGILIM KABULU YAPILDI</t>
        </r>
      </text>
    </comment>
    <comment ref="T116" authorId="0" shapeId="0" xr:uid="{B87FE083-D769-4F8B-8AEC-7ED58844B2C4}">
      <text>
        <r>
          <rPr>
            <b/>
            <sz val="9"/>
            <color indexed="81"/>
            <rFont val="Tahoma"/>
            <family val="2"/>
            <charset val="162"/>
          </rPr>
          <t>YUS AYLIK DAGILIM KABULU YAPILDI</t>
        </r>
      </text>
    </comment>
    <comment ref="T117" authorId="0" shapeId="0" xr:uid="{98887605-9206-40A3-B97E-FA5F6D043300}">
      <text>
        <r>
          <rPr>
            <b/>
            <sz val="9"/>
            <color indexed="81"/>
            <rFont val="Tahoma"/>
            <family val="2"/>
            <charset val="162"/>
          </rPr>
          <t>YUS AYLIK DAGILIM KABULU YAPILDI</t>
        </r>
      </text>
    </comment>
    <comment ref="T118" authorId="0" shapeId="0" xr:uid="{5909D940-BDC0-4DFB-BD5D-5279478CD9D3}">
      <text>
        <r>
          <rPr>
            <b/>
            <sz val="9"/>
            <color indexed="81"/>
            <rFont val="Tahoma"/>
            <family val="2"/>
            <charset val="162"/>
          </rPr>
          <t>YUS AYLIK DAGILIM KABULU YAPILDI</t>
        </r>
      </text>
    </comment>
    <comment ref="U144" authorId="0" shapeId="0" xr:uid="{3D6FD75A-9C7A-42D1-BD18-9E3B25BFF1EA}">
      <text>
        <r>
          <rPr>
            <b/>
            <sz val="9"/>
            <color indexed="81"/>
            <rFont val="Tahoma"/>
            <family val="2"/>
            <charset val="162"/>
          </rPr>
          <t>Salim Yaykıran:</t>
        </r>
        <r>
          <rPr>
            <sz val="9"/>
            <color indexed="81"/>
            <rFont val="Tahoma"/>
            <family val="2"/>
            <charset val="162"/>
          </rPr>
          <t xml:space="preserve">
DISARIDAN GELEN SU TUKETIMDEN DUSUYOR </t>
        </r>
      </text>
    </comment>
    <comment ref="C193" authorId="0" shapeId="0" xr:uid="{BD79EE58-AE44-4D9D-A0E6-1464743525D6}">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194" authorId="0" shapeId="0" xr:uid="{CF5A79F8-ABC7-463A-B3B9-6F7401EF6A62}">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195" authorId="0" shapeId="0" xr:uid="{65A0098E-27A7-43C3-8E43-3DE72018058B}">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196" authorId="0" shapeId="0" xr:uid="{7126EC45-9DF7-4846-A910-299700E9301C}">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197" authorId="0" shapeId="0" xr:uid="{1A82722B-7A74-41FD-885A-FC0B80D52D29}">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223" authorId="0" shapeId="0" xr:uid="{E1C87910-F485-4EDD-B1E1-6B076800C7E5}">
      <text>
        <r>
          <rPr>
            <b/>
            <sz val="9"/>
            <color indexed="81"/>
            <rFont val="Tahoma"/>
            <family val="2"/>
            <charset val="162"/>
          </rPr>
          <t>Not: E12A041 Nolu AGİ'nin doğal akımlarından yağış alanı oranı kullanarak hesaplanmıştır.(21343.8 km2/ 20435.1 km2)</t>
        </r>
        <r>
          <rPr>
            <sz val="9"/>
            <color indexed="81"/>
            <rFont val="Tahoma"/>
            <family val="2"/>
            <charset val="162"/>
          </rPr>
          <t xml:space="preserve">
</t>
        </r>
      </text>
    </comment>
    <comment ref="C224" authorId="0" shapeId="0" xr:uid="{CCFF3BC6-2B36-4770-9BA2-8735A18CDF5A}">
      <text>
        <r>
          <rPr>
            <b/>
            <sz val="9"/>
            <color indexed="81"/>
            <rFont val="Tahoma"/>
            <family val="2"/>
            <charset val="162"/>
          </rPr>
          <t>Not: E12A051 Nolu AGİ'nin doğal akımlarıyla aynı yerde kabul edilmiştir.</t>
        </r>
        <r>
          <rPr>
            <sz val="9"/>
            <color indexed="81"/>
            <rFont val="Tahoma"/>
            <family val="2"/>
            <charset val="162"/>
          </rPr>
          <t xml:space="preserve">
</t>
        </r>
      </text>
    </comment>
    <comment ref="C228" authorId="0" shapeId="0" xr:uid="{2F0C537F-4C8C-409B-867D-A7200D95F1B1}">
      <text>
        <r>
          <rPr>
            <b/>
            <sz val="9"/>
            <color indexed="81"/>
            <rFont val="Tahoma"/>
            <family val="2"/>
            <charset val="162"/>
          </rPr>
          <t>Tablo 3.36 Kirmir Çayı Sarıyar Baraj Gölüne Birleşim Yeri Doğal  Akım Değerleri (hm3)</t>
        </r>
      </text>
    </comment>
    <comment ref="C238" authorId="0" shapeId="0" xr:uid="{4A9D42BC-3795-4F70-AB95-87C4E7022046}">
      <text>
        <r>
          <rPr>
            <b/>
            <sz val="9"/>
            <color indexed="81"/>
            <rFont val="Tahoma"/>
            <family val="2"/>
            <charset val="162"/>
          </rPr>
          <t>GEREDE VE KIZILIRMAK ICME SUYU TRANSFERLERI DISARIDAN GELIYOR. KIRMIRDEN EGREKKAYA VE CAMLIDERE TRANSFERLERI VAR</t>
        </r>
      </text>
    </comment>
    <comment ref="C241" authorId="0" shapeId="0" xr:uid="{B00D3917-D1B7-4E81-9161-68E68C2C7059}">
      <text>
        <r>
          <rPr>
            <b/>
            <sz val="9"/>
            <color indexed="81"/>
            <rFont val="Tahoma"/>
            <family val="2"/>
            <charset val="162"/>
          </rPr>
          <t>GEREDE ICME SUYU TRANSFERLERI DISARIDAN GELIYOR VE DOGRUDAN ANKARAYA GIDIYOR. EGREKKAYA VE CAMLIDERE TRANSFERLERI ANKARAYA GIDIYOR</t>
        </r>
      </text>
    </comment>
    <comment ref="S266" authorId="0" shapeId="0" xr:uid="{4508882D-CFB7-4788-915C-9E175D97CA8D}">
      <text>
        <r>
          <rPr>
            <b/>
            <sz val="9"/>
            <color indexed="81"/>
            <rFont val="Tahoma"/>
            <family val="2"/>
            <charset val="162"/>
          </rPr>
          <t>HAVZA TRANSFERINI TUKETIM OLARAK DUSMUS. O ACIDAN HESAPLAR TUTARLI.</t>
        </r>
      </text>
    </comment>
    <comment ref="C289" authorId="0" shapeId="0" xr:uid="{0FB353A6-80C9-4F76-A148-0CB775EC814E}">
      <text>
        <r>
          <rPr>
            <b/>
            <sz val="9"/>
            <color indexed="81"/>
            <rFont val="Tahoma"/>
            <family val="2"/>
            <charset val="162"/>
          </rPr>
          <t>MUHTEMELEN DONUS KATSAYISI ILE ILGILI MASTERPLANDA BASKA BIR KONU VAR. MESELA TUKETIM KATSAYISI 1 ALINMIS OLABILIR</t>
        </r>
      </text>
    </comment>
    <comment ref="C292" authorId="0" shapeId="0" xr:uid="{B12E4D89-444D-4128-9FE5-CC15B175CC74}">
      <text>
        <r>
          <rPr>
            <b/>
            <sz val="9"/>
            <color indexed="81"/>
            <rFont val="Tahoma"/>
            <family val="2"/>
            <charset val="162"/>
          </rPr>
          <t>MUHTEMELEN DONUS KATSAYISI ILE ILGILI MASTERPLANDA BASKA BIR KONU VAR. MESELA TUKETIM KATSAYISI 1 ALINMIS OLABILIR</t>
        </r>
      </text>
    </comment>
    <comment ref="C302" authorId="0" shapeId="0" xr:uid="{A63A7CCC-3F24-4D66-BC26-2CAD1D8050F4}">
      <text>
        <r>
          <rPr>
            <b/>
            <sz val="9"/>
            <color indexed="81"/>
            <rFont val="Tahoma"/>
            <family val="2"/>
            <charset val="162"/>
          </rPr>
          <t>ANKARA KIRMIR TRANSFERLERI</t>
        </r>
        <r>
          <rPr>
            <sz val="9"/>
            <color indexed="81"/>
            <rFont val="Tahoma"/>
            <family val="2"/>
            <charset val="162"/>
          </rPr>
          <t xml:space="preserve">
</t>
        </r>
      </text>
    </comment>
    <comment ref="C305" authorId="0" shapeId="0" xr:uid="{D466AAAC-1E37-411E-AEC8-6B6B55F949A3}">
      <text>
        <r>
          <rPr>
            <b/>
            <sz val="9"/>
            <color indexed="81"/>
            <rFont val="Tahoma"/>
            <family val="2"/>
            <charset val="162"/>
          </rPr>
          <t>ANKARA KIRMIR TRANSFERLERI</t>
        </r>
        <r>
          <rPr>
            <sz val="9"/>
            <color indexed="81"/>
            <rFont val="Tahoma"/>
            <family val="2"/>
            <charset val="162"/>
          </rPr>
          <t xml:space="preserve">
</t>
        </r>
      </text>
    </comment>
    <comment ref="C345" authorId="0" shapeId="0" xr:uid="{DE36E181-FF1A-42C8-AC61-4238B56710D3}">
      <text>
        <r>
          <rPr>
            <b/>
            <sz val="9"/>
            <color indexed="81"/>
            <rFont val="Tahoma"/>
            <family val="2"/>
            <charset val="162"/>
          </rPr>
          <t>Salim Yaykıran:</t>
        </r>
        <r>
          <rPr>
            <sz val="9"/>
            <color indexed="81"/>
            <rFont val="Tahoma"/>
            <family val="2"/>
            <charset val="162"/>
          </rPr>
          <t xml:space="preserve">
BURDA SARIYAR BARAJI DAHIL DEGIL. CIKISTAKI GRUPTA OLACAK</t>
        </r>
      </text>
    </comment>
    <comment ref="T378" authorId="0" shapeId="0" xr:uid="{8976BC79-3374-4E3B-B1FD-151BA0C13253}">
      <text>
        <r>
          <rPr>
            <b/>
            <sz val="9"/>
            <color indexed="81"/>
            <rFont val="Tahoma"/>
            <family val="2"/>
            <charset val="162"/>
          </rPr>
          <t>Salim Yaykıran:</t>
        </r>
        <r>
          <rPr>
            <sz val="9"/>
            <color indexed="81"/>
            <rFont val="Tahoma"/>
            <family val="2"/>
            <charset val="162"/>
          </rPr>
          <t xml:space="preserve">
WEIGHTED COEFF
</t>
        </r>
      </text>
    </comment>
    <comment ref="T379" authorId="0" shapeId="0" xr:uid="{77AC2C18-48E8-4A70-9E33-373863155CB6}">
      <text>
        <r>
          <rPr>
            <b/>
            <sz val="9"/>
            <color indexed="81"/>
            <rFont val="Tahoma"/>
            <family val="2"/>
            <charset val="162"/>
          </rPr>
          <t>Salim Yaykıran:</t>
        </r>
        <r>
          <rPr>
            <sz val="9"/>
            <color indexed="81"/>
            <rFont val="Tahoma"/>
            <family val="2"/>
            <charset val="162"/>
          </rPr>
          <t xml:space="preserve">
WEIGHTED COEFF
</t>
        </r>
      </text>
    </comment>
    <comment ref="T380" authorId="0" shapeId="0" xr:uid="{38B88965-BC9A-4BBA-B5A7-4B4D23360A52}">
      <text>
        <r>
          <rPr>
            <b/>
            <sz val="9"/>
            <color indexed="81"/>
            <rFont val="Tahoma"/>
            <family val="2"/>
            <charset val="162"/>
          </rPr>
          <t>Salim Yaykıran:</t>
        </r>
        <r>
          <rPr>
            <sz val="9"/>
            <color indexed="81"/>
            <rFont val="Tahoma"/>
            <family val="2"/>
            <charset val="162"/>
          </rPr>
          <t xml:space="preserve">
WEIGHTED COEFF
</t>
        </r>
      </text>
    </comment>
    <comment ref="T381" authorId="0" shapeId="0" xr:uid="{9571A65B-BE7E-40F1-B912-D60AE1E84E48}">
      <text>
        <r>
          <rPr>
            <b/>
            <sz val="9"/>
            <color indexed="81"/>
            <rFont val="Tahoma"/>
            <family val="2"/>
            <charset val="162"/>
          </rPr>
          <t>Salim Yaykıran:</t>
        </r>
        <r>
          <rPr>
            <sz val="9"/>
            <color indexed="81"/>
            <rFont val="Tahoma"/>
            <family val="2"/>
            <charset val="162"/>
          </rPr>
          <t xml:space="preserve">
WEIGHTED COEFF
</t>
        </r>
      </text>
    </comment>
    <comment ref="T382" authorId="0" shapeId="0" xr:uid="{F97A58B6-5A51-44FE-BC07-3E90E0EB85AF}">
      <text>
        <r>
          <rPr>
            <b/>
            <sz val="9"/>
            <color indexed="81"/>
            <rFont val="Tahoma"/>
            <family val="2"/>
            <charset val="162"/>
          </rPr>
          <t>Salim Yaykıran:</t>
        </r>
        <r>
          <rPr>
            <sz val="9"/>
            <color indexed="81"/>
            <rFont val="Tahoma"/>
            <family val="2"/>
            <charset val="162"/>
          </rPr>
          <t xml:space="preserve">
WEIGHTED COEFF
</t>
        </r>
      </text>
    </comment>
    <comment ref="T383" authorId="0" shapeId="0" xr:uid="{9DE59B41-CF7C-4215-A071-45C6F8B93AA1}">
      <text>
        <r>
          <rPr>
            <b/>
            <sz val="9"/>
            <color indexed="81"/>
            <rFont val="Tahoma"/>
            <family val="2"/>
            <charset val="162"/>
          </rPr>
          <t>Salim Yaykıran:</t>
        </r>
        <r>
          <rPr>
            <sz val="9"/>
            <color indexed="81"/>
            <rFont val="Tahoma"/>
            <family val="2"/>
            <charset val="162"/>
          </rPr>
          <t xml:space="preserve">
WEIGHTED COEFF
</t>
        </r>
      </text>
    </comment>
    <comment ref="T384" authorId="0" shapeId="0" xr:uid="{8D38EE0A-A96D-4326-9AF9-FA334E678445}">
      <text>
        <r>
          <rPr>
            <b/>
            <sz val="9"/>
            <color indexed="81"/>
            <rFont val="Tahoma"/>
            <family val="2"/>
            <charset val="162"/>
          </rPr>
          <t>Salim Yaykıran:</t>
        </r>
        <r>
          <rPr>
            <sz val="9"/>
            <color indexed="81"/>
            <rFont val="Tahoma"/>
            <family val="2"/>
            <charset val="162"/>
          </rPr>
          <t xml:space="preserve">
WEIGHTED COEFF
</t>
        </r>
      </text>
    </comment>
    <comment ref="T385" authorId="0" shapeId="0" xr:uid="{090711C7-94D6-4027-8061-CB7A55C8C95F}">
      <text>
        <r>
          <rPr>
            <b/>
            <sz val="9"/>
            <color indexed="81"/>
            <rFont val="Tahoma"/>
            <family val="2"/>
            <charset val="162"/>
          </rPr>
          <t>Salim Yaykıran:</t>
        </r>
        <r>
          <rPr>
            <sz val="9"/>
            <color indexed="81"/>
            <rFont val="Tahoma"/>
            <family val="2"/>
            <charset val="162"/>
          </rPr>
          <t xml:space="preserve">
WEIGHTED COEFF
</t>
        </r>
      </text>
    </comment>
    <comment ref="T386" authorId="0" shapeId="0" xr:uid="{FDC32483-85C8-4D90-BF94-963963E82266}">
      <text>
        <r>
          <rPr>
            <b/>
            <sz val="9"/>
            <color indexed="81"/>
            <rFont val="Tahoma"/>
            <family val="2"/>
            <charset val="162"/>
          </rPr>
          <t>Salim Yaykıran:</t>
        </r>
        <r>
          <rPr>
            <sz val="9"/>
            <color indexed="81"/>
            <rFont val="Tahoma"/>
            <family val="2"/>
            <charset val="162"/>
          </rPr>
          <t xml:space="preserve">
WEIGHTED COEFF
</t>
        </r>
      </text>
    </comment>
    <comment ref="T387" authorId="0" shapeId="0" xr:uid="{5FF1F872-6189-4833-89A1-8399B3B1DFC0}">
      <text>
        <r>
          <rPr>
            <b/>
            <sz val="9"/>
            <color indexed="81"/>
            <rFont val="Tahoma"/>
            <family val="2"/>
            <charset val="162"/>
          </rPr>
          <t>Salim Yaykıran:</t>
        </r>
        <r>
          <rPr>
            <sz val="9"/>
            <color indexed="81"/>
            <rFont val="Tahoma"/>
            <family val="2"/>
            <charset val="162"/>
          </rPr>
          <t xml:space="preserve">
WEIGHTED COEFF
</t>
        </r>
      </text>
    </comment>
    <comment ref="T388" authorId="0" shapeId="0" xr:uid="{0A7E4AB5-5003-45A4-9934-E7EE20D7BD44}">
      <text>
        <r>
          <rPr>
            <b/>
            <sz val="9"/>
            <color indexed="81"/>
            <rFont val="Tahoma"/>
            <family val="2"/>
            <charset val="162"/>
          </rPr>
          <t>Salim Yaykıran:</t>
        </r>
        <r>
          <rPr>
            <sz val="9"/>
            <color indexed="81"/>
            <rFont val="Tahoma"/>
            <family val="2"/>
            <charset val="162"/>
          </rPr>
          <t xml:space="preserve">
WEIGHTED COEFF
</t>
        </r>
      </text>
    </comment>
    <comment ref="T389" authorId="0" shapeId="0" xr:uid="{CE8F9B63-2105-404C-A9EB-DC7BB275089A}">
      <text>
        <r>
          <rPr>
            <b/>
            <sz val="9"/>
            <color indexed="81"/>
            <rFont val="Tahoma"/>
            <family val="2"/>
            <charset val="162"/>
          </rPr>
          <t>Salim Yaykıran:</t>
        </r>
        <r>
          <rPr>
            <sz val="9"/>
            <color indexed="81"/>
            <rFont val="Tahoma"/>
            <family val="2"/>
            <charset val="162"/>
          </rPr>
          <t xml:space="preserve">
WEIGHTED COEFF
</t>
        </r>
      </text>
    </comment>
    <comment ref="T390" authorId="0" shapeId="0" xr:uid="{B98885F1-51BE-4777-BF9F-BB5931FFCD55}">
      <text>
        <r>
          <rPr>
            <b/>
            <sz val="9"/>
            <color indexed="81"/>
            <rFont val="Tahoma"/>
            <family val="2"/>
            <charset val="162"/>
          </rPr>
          <t>Salim Yaykıran:</t>
        </r>
        <r>
          <rPr>
            <sz val="9"/>
            <color indexed="81"/>
            <rFont val="Tahoma"/>
            <family val="2"/>
            <charset val="162"/>
          </rPr>
          <t xml:space="preserve">
WEIGHTED COEFF
</t>
        </r>
      </text>
    </comment>
    <comment ref="C417" authorId="0" shapeId="0" xr:uid="{BCF7E161-E448-40DA-AC5C-4014E417A306}">
      <text>
        <r>
          <rPr>
            <b/>
            <sz val="9"/>
            <color indexed="81"/>
            <rFont val="Tahoma"/>
            <family val="2"/>
            <charset val="162"/>
          </rPr>
          <t>TOPLAM GOLET TUKETIMINDE %90 SULAMA - %10 BUHARLASMA KABULU YAPILDI</t>
        </r>
      </text>
    </comment>
    <comment ref="C418" authorId="0" shapeId="0" xr:uid="{286B5C87-86CA-4276-B282-AEAEA476F495}">
      <text>
        <r>
          <rPr>
            <b/>
            <sz val="9"/>
            <color indexed="81"/>
            <rFont val="Tahoma"/>
            <family val="2"/>
            <charset val="162"/>
          </rPr>
          <t>TOPLAM GOLET TUKETIMINDE %90 SULAMA - %10 BUHARLASMA KABULU YAPILDI</t>
        </r>
      </text>
    </comment>
    <comment ref="C419" authorId="0" shapeId="0" xr:uid="{93787957-73CF-4DAB-8F17-0AD82934882E}">
      <text>
        <r>
          <rPr>
            <b/>
            <sz val="9"/>
            <color indexed="81"/>
            <rFont val="Tahoma"/>
            <family val="2"/>
            <charset val="162"/>
          </rPr>
          <t>TOPLAM GOLET TUKETIMINDE %90 SULAMA - %10 BUHARLASMA KABULU YAPILDI</t>
        </r>
      </text>
    </comment>
    <comment ref="C420" authorId="0" shapeId="0" xr:uid="{943C001B-3A9D-4745-A47D-DA99FCAAE249}">
      <text>
        <r>
          <rPr>
            <b/>
            <sz val="9"/>
            <color indexed="81"/>
            <rFont val="Tahoma"/>
            <family val="2"/>
            <charset val="162"/>
          </rPr>
          <t>TOPLAM GOLET TUKETIMINDE %90 SULAMA - %10 BUHARLASMA KABULU YAPILDI</t>
        </r>
      </text>
    </comment>
    <comment ref="C421" authorId="0" shapeId="0" xr:uid="{E3DE3958-9400-45C8-9CF0-FEEA1807D897}">
      <text>
        <r>
          <rPr>
            <b/>
            <sz val="9"/>
            <color indexed="81"/>
            <rFont val="Tahoma"/>
            <family val="2"/>
            <charset val="162"/>
          </rPr>
          <t>TOPLAM GOLET TUKETIMINDE %90 SULAMA - %10 BUHARLASMA KABULU YAPILDI</t>
        </r>
      </text>
    </comment>
    <comment ref="C422" authorId="0" shapeId="0" xr:uid="{227AAF7F-0FD2-4E4A-87FB-B326E4FF593A}">
      <text>
        <r>
          <rPr>
            <b/>
            <sz val="9"/>
            <color indexed="81"/>
            <rFont val="Tahoma"/>
            <family val="2"/>
            <charset val="162"/>
          </rPr>
          <t>TOPLAM GOLET TUKETIMINDE %90 SULAMA - %10 BUHARLASMA KABULU YAPILDI</t>
        </r>
      </text>
    </comment>
    <comment ref="C423" authorId="0" shapeId="0" xr:uid="{26D566C7-BD6D-4033-8346-9B4E95CA7F80}">
      <text>
        <r>
          <rPr>
            <b/>
            <sz val="9"/>
            <color indexed="81"/>
            <rFont val="Tahoma"/>
            <family val="2"/>
            <charset val="162"/>
          </rPr>
          <t>TOPLAM GOLET TUKETIMINDE %90 SULAMA - %10 BUHARLASMA KABULU YAPILDI</t>
        </r>
      </text>
    </comment>
    <comment ref="C424" authorId="0" shapeId="0" xr:uid="{6FBA72C7-4A14-4AA4-9BF7-6EEB9D7F53DF}">
      <text>
        <r>
          <rPr>
            <b/>
            <sz val="9"/>
            <color indexed="81"/>
            <rFont val="Tahoma"/>
            <family val="2"/>
            <charset val="162"/>
          </rPr>
          <t>TOPLAM GOLET TUKETIMINDE %90 SULAMA - %10 BUHARLASMA KABULU YAPILDI</t>
        </r>
      </text>
    </comment>
    <comment ref="C425" authorId="0" shapeId="0" xr:uid="{9C567967-7574-40F7-A440-C3083528A425}">
      <text>
        <r>
          <rPr>
            <b/>
            <sz val="9"/>
            <color indexed="81"/>
            <rFont val="Tahoma"/>
            <family val="2"/>
            <charset val="162"/>
          </rPr>
          <t>TOPLAM GOLET TUKETIMINDE %90 SULAMA - %10 BUHARLASMA KABULU YAPILDI</t>
        </r>
      </text>
    </comment>
    <comment ref="C426" authorId="0" shapeId="0" xr:uid="{24B25993-86BB-45DD-98EE-34F3D39B4C9D}">
      <text>
        <r>
          <rPr>
            <b/>
            <sz val="9"/>
            <color indexed="81"/>
            <rFont val="Tahoma"/>
            <family val="2"/>
            <charset val="162"/>
          </rPr>
          <t>TOPLAM GOLET TUKETIMINDE %90 SULAMA - %10 BUHARLASMA KABULU YAPILDI</t>
        </r>
      </text>
    </comment>
    <comment ref="C427" authorId="0" shapeId="0" xr:uid="{3CF98AF6-83B3-49C3-90CA-2878F82D9535}">
      <text>
        <r>
          <rPr>
            <b/>
            <sz val="9"/>
            <color indexed="81"/>
            <rFont val="Tahoma"/>
            <family val="2"/>
            <charset val="162"/>
          </rPr>
          <t>TOPLAM GOLET TUKETIMINDE %90 SULAMA - %10 BUHARLASMA KABULU YAPILDI</t>
        </r>
      </text>
    </comment>
    <comment ref="C428" authorId="0" shapeId="0" xr:uid="{47ACEF38-0745-4C9C-822D-C31A577116B4}">
      <text>
        <r>
          <rPr>
            <b/>
            <sz val="9"/>
            <color indexed="81"/>
            <rFont val="Tahoma"/>
            <family val="2"/>
            <charset val="162"/>
          </rPr>
          <t>TOPLAM GOLET TUKETIMINDE %90 SULAMA - %10 BUHARLASMA KABULU YAPILDI</t>
        </r>
      </text>
    </comment>
    <comment ref="C429" authorId="0" shapeId="0" xr:uid="{066CDBF0-100F-42E5-9FDC-39D56FBF3BEB}">
      <text>
        <r>
          <rPr>
            <b/>
            <sz val="9"/>
            <color indexed="81"/>
            <rFont val="Tahoma"/>
            <family val="2"/>
            <charset val="162"/>
          </rPr>
          <t>TOPLAM GOLET TUKETIMINDE %90 SULAMA - %10 BUHARLASMA KABULU YAPILDI</t>
        </r>
      </text>
    </comment>
    <comment ref="C445" authorId="0" shapeId="0" xr:uid="{25D539DE-AA10-468E-B258-46E4BA5AE825}">
      <text>
        <r>
          <rPr>
            <b/>
            <sz val="9"/>
            <color indexed="81"/>
            <rFont val="Tahoma"/>
            <family val="2"/>
            <charset val="162"/>
          </rPr>
          <t>Salim Yaykıran:</t>
        </r>
        <r>
          <rPr>
            <sz val="9"/>
            <color indexed="81"/>
            <rFont val="Tahoma"/>
            <family val="2"/>
            <charset val="162"/>
          </rPr>
          <t xml:space="preserve">
MASTERPLAN VERISI DOGRUDAN ALDIM</t>
        </r>
      </text>
    </comment>
    <comment ref="C448" authorId="0" shapeId="0" xr:uid="{5C449368-DBBA-48B2-BD6C-4A9D9CCD0165}">
      <text>
        <r>
          <rPr>
            <b/>
            <sz val="9"/>
            <color indexed="81"/>
            <rFont val="Tahoma"/>
            <family val="2"/>
            <charset val="162"/>
          </rPr>
          <t>Salim Yaykıran:</t>
        </r>
        <r>
          <rPr>
            <sz val="9"/>
            <color indexed="81"/>
            <rFont val="Tahoma"/>
            <family val="2"/>
            <charset val="162"/>
          </rPr>
          <t xml:space="preserve">
MASTERPLAN VERISI DOGRUDAN ALDIM</t>
        </r>
      </text>
    </comment>
    <comment ref="C471" authorId="0" shapeId="0" xr:uid="{6D906029-5BDE-4C84-90C5-200862832DC4}">
      <text>
        <r>
          <rPr>
            <b/>
            <sz val="9"/>
            <color indexed="81"/>
            <rFont val="Tahoma"/>
            <family val="2"/>
            <charset val="162"/>
          </rPr>
          <t>Salim Yaykıran:</t>
        </r>
        <r>
          <rPr>
            <sz val="9"/>
            <color indexed="81"/>
            <rFont val="Tahoma"/>
            <family val="2"/>
            <charset val="162"/>
          </rPr>
          <t xml:space="preserve">
MASTERPLAN VERISI DOGRUDAN ALDIM</t>
        </r>
      </text>
    </comment>
    <comment ref="C474" authorId="0" shapeId="0" xr:uid="{5AE9261F-2568-47C2-970B-23EEC09742BA}">
      <text>
        <r>
          <rPr>
            <b/>
            <sz val="9"/>
            <color indexed="81"/>
            <rFont val="Tahoma"/>
            <family val="2"/>
            <charset val="162"/>
          </rPr>
          <t>Salim Yaykıran:</t>
        </r>
        <r>
          <rPr>
            <sz val="9"/>
            <color indexed="81"/>
            <rFont val="Tahoma"/>
            <family val="2"/>
            <charset val="162"/>
          </rPr>
          <t xml:space="preserve">
MASTERPLAN VERISI DOGRUDAN ALDIM</t>
        </r>
      </text>
    </comment>
    <comment ref="C496" authorId="0" shapeId="0" xr:uid="{F6BE1F52-4458-46DE-9ECB-9C092201D4B3}">
      <text>
        <r>
          <rPr>
            <b/>
            <sz val="9"/>
            <color indexed="81"/>
            <rFont val="Tahoma"/>
            <family val="2"/>
            <charset val="162"/>
          </rPr>
          <t xml:space="preserve">Tablo EK 3.55. Kütahya OSB Su Tüketimi Tablosu (hm3)
0.016 0.016 0.016 0.016 0.016 0.016 0.016 0.016 0.016 0.016 0.016 0.016 0.190
Not : Kütahya OSB. kullanma ve proses suyu yeraltı su kaynaklarından temin edilmektedir.
Tablo EK 3.56. Kütahya O.S.B. İçme Ve Kullanma  Suyu  Müdahale Tablosu-1 (hm3)
0.012 0.012 0.012 0.012 0.012 0.012 0.012 0.012 0.012 0.012 0.012 0.012 0.143
Not : İçme ve kullanma Suyu Müdahale hesaplarında geri dönüş suyu oranı %75 olarak alınmıştır.Kullanma suyu yeraltı kaynaklarından karşılanmaktadır.
 Bu nedenle  dönen suların değerleri doğallaştırma çalışmasında düşülmüş, mevcut durum için ise dönen kısmı  eklenmiştir.
Tablo EK 3.57. Enne Barajından Seyitömer Termik Santrali İçin Çekilen Sular Tablosu (hm3)
ORT. 0.615 0.516 0.625 0.591 0.625 0.718 0.644 0.701 0.849 0.888 1.004 0.852 8.629
Not: 1970-2003 periyodu için ortalama değerler alınmıştır.Enne Barajı Seyitömer Termik  Santraline su sağlamaktadır.Barajdan alınan sular havza
 değiştirdiğinden dönüş suları Porsuk  Havzasına gelmemektedir.  Bu tablodaki değerler DSİ 3. Bölge Müdürlüğünce Seyitömer Termik Santrali  İşletme
 Müdürlüğünden temin edilmiştir.2012 yılı temin edilemediği için 2011 yılıyla aynı alınmıştır.
 Tablo EK 3.78. Kütahya Sulaması Şebekeye Alınan Sular (hm3)
0.783 0.000 0.000 0.000 0.000 0.000 0.105 0.432 1.241 2.309 2.016 1.426 8.312
Tablodaki değerler DSİ.3.Bölge Müdürlüğü İşletme ve Bakım Şubesi'nin gözlenmiş fiili su tüketimlerinden alınmıştır
 Tablo EK 3.79. Kütahya Sulaması Müdahale (Tüketim) Miktarları (hm3)
 0.665 0.000 0.000 0.000 0.000 0.000 0.089 0.367 1.055 1.963 1.713 1.212 7.065
Not:Sulama sistemi %100 salma sulama şeklindedir(klasik ve kanaletlidir).Sulama için şebekeye alınan suyun % 85 i tüketilmekte, % 15 i geri dönmektedir.
Tabloda  tüketilen kısmı verilmiştir.
Tablo EK 3.95. Eskişehir Şeker Fabrikası Su Tüketimi (Müdahale) Tablosu (hm3)
0.279 0.270 0.279 0.193 0.101 0.112 0.108 0.112 0.108 0.112 0.112 0.189 1.972
Not : Şeker fabrikasının kampanya dönemlerinde normal dönemden fazla gelen suyun hepsinin döndüğü, normal zamanlarda ise suyun %75'nin döndüğü 
kabul edilmiştir. Şeker fabrikasının suyunun tamamı Porsuk barajından karşılanmaktadır.
</t>
        </r>
      </text>
    </comment>
    <comment ref="C497" authorId="0" shapeId="0" xr:uid="{C9156922-1EE3-47F9-BB08-FEE278B7D949}">
      <text>
        <r>
          <rPr>
            <b/>
            <sz val="9"/>
            <color indexed="81"/>
            <rFont val="Tahoma"/>
            <family val="2"/>
            <charset val="162"/>
          </rPr>
          <t>Salim Yaykıran:</t>
        </r>
        <r>
          <rPr>
            <sz val="9"/>
            <color indexed="81"/>
            <rFont val="Tahoma"/>
            <family val="2"/>
            <charset val="162"/>
          </rPr>
          <t xml:space="preserve">
TRANSFER GERI DONUSLERI -</t>
        </r>
      </text>
    </comment>
    <comment ref="C499" authorId="0" shapeId="0" xr:uid="{EDC180DF-8E57-433C-BE0B-9A0AA8C1C589}">
      <text>
        <r>
          <rPr>
            <b/>
            <sz val="9"/>
            <color indexed="81"/>
            <rFont val="Tahoma"/>
            <family val="2"/>
            <charset val="162"/>
          </rPr>
          <t>Salim Yaykıran:</t>
        </r>
        <r>
          <rPr>
            <sz val="9"/>
            <color indexed="81"/>
            <rFont val="Tahoma"/>
            <family val="2"/>
            <charset val="162"/>
          </rPr>
          <t xml:space="preserve">
HESAP DENK GELSIN DIYE KAYIP OLARAK GOSTERDIM</t>
        </r>
      </text>
    </comment>
    <comment ref="C500" authorId="0" shapeId="0" xr:uid="{F338A9EA-5CD7-4ABC-82F3-5B73B7A98990}">
      <text>
        <r>
          <rPr>
            <b/>
            <sz val="9"/>
            <color indexed="81"/>
            <rFont val="Tahoma"/>
            <family val="2"/>
            <charset val="162"/>
          </rPr>
          <t>Salim Yaykıran:</t>
        </r>
        <r>
          <rPr>
            <sz val="9"/>
            <color indexed="81"/>
            <rFont val="Tahoma"/>
            <family val="2"/>
            <charset val="162"/>
          </rPr>
          <t xml:space="preserve">
ANKARA HAVZASINA AKTARILANLAR</t>
        </r>
      </text>
    </comment>
    <comment ref="C507" authorId="0" shapeId="0" xr:uid="{C8476B8A-8800-40A6-A9E1-D2C77E6D2ACA}">
      <text>
        <r>
          <rPr>
            <b/>
            <sz val="9"/>
            <color indexed="81"/>
            <rFont val="Tahoma"/>
            <family val="2"/>
            <charset val="162"/>
          </rPr>
          <t>BALLIKAYA VE SAPANCA CARK SUYU ICME SUYU KULLANIMLARI</t>
        </r>
        <r>
          <rPr>
            <sz val="9"/>
            <color indexed="81"/>
            <rFont val="Tahoma"/>
            <family val="2"/>
            <charset val="162"/>
          </rPr>
          <t xml:space="preserve">
</t>
        </r>
      </text>
    </comment>
    <comment ref="C508" authorId="0" shapeId="0" xr:uid="{F9E7F532-958D-42CF-B531-81B12A1B8D8C}">
      <text>
        <r>
          <rPr>
            <b/>
            <sz val="9"/>
            <color indexed="81"/>
            <rFont val="Tahoma"/>
            <family val="2"/>
            <charset val="162"/>
          </rPr>
          <t>YAS DONUSLERDEN DUSEBILIRIM</t>
        </r>
      </text>
    </comment>
    <comment ref="C509" authorId="0" shapeId="0" xr:uid="{D4A89CF1-41E6-4881-8915-9E34F3C6F7A0}">
      <text>
        <r>
          <rPr>
            <b/>
            <sz val="9"/>
            <color indexed="81"/>
            <rFont val="Tahoma"/>
            <family val="2"/>
            <charset val="162"/>
          </rPr>
          <t>YAS DONUSLERDEN DUSEBILIRIM</t>
        </r>
      </text>
    </comment>
    <comment ref="C510" authorId="0" shapeId="0" xr:uid="{D1F71614-54C1-4881-9FB3-506C5EC816AC}">
      <text>
        <r>
          <rPr>
            <b/>
            <sz val="9"/>
            <color indexed="81"/>
            <rFont val="Tahoma"/>
            <family val="2"/>
            <charset val="162"/>
          </rPr>
          <t>YAS DONUSLERDEN DUSEBILIRIM</t>
        </r>
      </text>
    </comment>
    <comment ref="C511" authorId="0" shapeId="0" xr:uid="{672B2FD9-EDEA-4738-A56D-8D6B5473E593}">
      <text>
        <r>
          <rPr>
            <b/>
            <sz val="9"/>
            <color indexed="81"/>
            <rFont val="Tahoma"/>
            <family val="2"/>
            <charset val="162"/>
          </rPr>
          <t>YAS DONUSLERDEN DUSEBILIRIM</t>
        </r>
      </text>
    </comment>
    <comment ref="C512" authorId="0" shapeId="0" xr:uid="{94736D7B-AC3D-4F66-BA66-23352D1B5316}">
      <text>
        <r>
          <rPr>
            <b/>
            <sz val="9"/>
            <color indexed="81"/>
            <rFont val="Tahoma"/>
            <family val="2"/>
            <charset val="162"/>
          </rPr>
          <t>YAS DONUSLERDEN DUSEBILIRIM</t>
        </r>
      </text>
    </comment>
    <comment ref="C513" authorId="0" shapeId="0" xr:uid="{72B0C9E9-B3D9-4C1A-9584-DF5E4407A703}">
      <text>
        <r>
          <rPr>
            <b/>
            <sz val="9"/>
            <color indexed="81"/>
            <rFont val="Tahoma"/>
            <family val="2"/>
            <charset val="162"/>
          </rPr>
          <t>YAS DONUSLERDEN DUSEBILIRIM</t>
        </r>
      </text>
    </comment>
    <comment ref="C514" authorId="0" shapeId="0" xr:uid="{D89919C3-4256-4491-9B26-3CD8086C4BE0}">
      <text>
        <r>
          <rPr>
            <b/>
            <sz val="9"/>
            <color indexed="81"/>
            <rFont val="Tahoma"/>
            <family val="2"/>
            <charset val="162"/>
          </rPr>
          <t>YAS DONUSLERDEN DUSEBILIRIM</t>
        </r>
      </text>
    </comment>
    <comment ref="C515" authorId="0" shapeId="0" xr:uid="{FC1B8215-66A6-4757-B36C-B08F4B4E3ADF}">
      <text>
        <r>
          <rPr>
            <b/>
            <sz val="9"/>
            <color indexed="81"/>
            <rFont val="Tahoma"/>
            <family val="2"/>
            <charset val="162"/>
          </rPr>
          <t>YAS DONUSLERDEN DUSEBILIRIM</t>
        </r>
      </text>
    </comment>
    <comment ref="C516" authorId="0" shapeId="0" xr:uid="{5347DFC5-04BC-4126-913E-3D73F9F8DFAE}">
      <text>
        <r>
          <rPr>
            <b/>
            <sz val="9"/>
            <color indexed="81"/>
            <rFont val="Tahoma"/>
            <family val="2"/>
            <charset val="162"/>
          </rPr>
          <t>YAS DONUSLERDEN DUSEBILIRIM</t>
        </r>
      </text>
    </comment>
    <comment ref="C517" authorId="0" shapeId="0" xr:uid="{4C3C1E3E-7AE7-4581-BB48-F8BAA662E4DE}">
      <text>
        <r>
          <rPr>
            <b/>
            <sz val="9"/>
            <color indexed="81"/>
            <rFont val="Tahoma"/>
            <family val="2"/>
            <charset val="162"/>
          </rPr>
          <t>YAS DONUSLERDEN DUSEBILIRIM</t>
        </r>
      </text>
    </comment>
    <comment ref="C518" authorId="0" shapeId="0" xr:uid="{E19D74A3-7654-431D-9EFF-049BE5328889}">
      <text>
        <r>
          <rPr>
            <b/>
            <sz val="9"/>
            <color indexed="81"/>
            <rFont val="Tahoma"/>
            <family val="2"/>
            <charset val="162"/>
          </rPr>
          <t>YAS DONUSLERDEN DUSEBILIRIM</t>
        </r>
      </text>
    </comment>
    <comment ref="C519" authorId="0" shapeId="0" xr:uid="{3B7366A5-EB85-4BB1-A75C-F760F294413E}">
      <text>
        <r>
          <rPr>
            <b/>
            <sz val="9"/>
            <color indexed="81"/>
            <rFont val="Tahoma"/>
            <family val="2"/>
            <charset val="162"/>
          </rPr>
          <t>YAS DONUSLERDEN DUSEBILIRIM</t>
        </r>
      </text>
    </comment>
    <comment ref="C520" authorId="0" shapeId="0" xr:uid="{F52188F6-2B2D-477A-BC93-5BC66D6A6F27}">
      <text>
        <r>
          <rPr>
            <b/>
            <sz val="9"/>
            <color indexed="81"/>
            <rFont val="Tahoma"/>
            <family val="2"/>
            <charset val="162"/>
          </rPr>
          <t>YAS DONUSLERDEN DUSEBILIRIM</t>
        </r>
      </text>
    </comment>
    <comment ref="C534" authorId="0" shapeId="0" xr:uid="{47A29708-FB5C-436A-BD9E-848F5714C8F4}">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35" authorId="0" shapeId="0" xr:uid="{63E6CE9D-2D25-4CFE-8C43-BA95283E841C}">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36" authorId="0" shapeId="0" xr:uid="{78C1270F-B3C7-4B3E-BB77-86C71470DEC0}">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37" authorId="0" shapeId="0" xr:uid="{606B5BF5-7380-4764-A910-6FA8B06414C9}">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38" authorId="0" shapeId="0" xr:uid="{2276ACD1-0166-420B-B9F6-5739FC15F925}">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39" authorId="0" shapeId="0" xr:uid="{125E73CF-EB04-4623-8E9E-902DB8C47A91}">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40" authorId="0" shapeId="0" xr:uid="{3A7BE649-9D75-45C6-8AE8-BBA74EE6E38D}">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41" authorId="0" shapeId="0" xr:uid="{B35E3450-12A7-4D85-BFC5-BCD907284FD4}">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42" authorId="0" shapeId="0" xr:uid="{F83B6327-F30C-458D-B77F-8E0949CE2E9F}">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43" authorId="0" shapeId="0" xr:uid="{81D53688-0B74-4A26-8A69-A863C8D453D3}">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44" authorId="0" shapeId="0" xr:uid="{103FC5BE-D28D-4950-8E12-45C025FD4A48}">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45" authorId="0" shapeId="0" xr:uid="{767872B5-4F90-4961-9706-F806C01FF624}">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 ref="C546" authorId="0" shapeId="0" xr:uid="{0119EEDE-44BE-4594-9C91-3C5F879DDC73}">
      <text>
        <r>
          <rPr>
            <b/>
            <sz val="9"/>
            <color indexed="81"/>
            <rFont val="Tahoma"/>
            <family val="2"/>
            <charset val="162"/>
          </rPr>
          <t>Salim Yaykıran:</t>
        </r>
        <r>
          <rPr>
            <sz val="9"/>
            <color indexed="81"/>
            <rFont val="Tahoma"/>
            <family val="2"/>
            <charset val="162"/>
          </rPr>
          <t xml:space="preserve">
HKEP RAPORUNDA VERILEN METODOLOJI KASIM-HAZIRAN ICIN 0.15, TEMMUZ-EKIM ICIN 0.2 KATSAYILARI. SON 10 YIL GUNLUK ORTALAMA UZERINDEN YAPILIR. YILLIK YAKLASIK 0.17 QORT.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528A3324-9474-4584-9AD2-CB2C72F1ED0C}">
      <text>
        <r>
          <rPr>
            <b/>
            <sz val="9"/>
            <color indexed="81"/>
            <rFont val="Tahoma"/>
            <family val="2"/>
            <charset val="162"/>
          </rPr>
          <t>Salim Yaykıran:</t>
        </r>
        <r>
          <rPr>
            <sz val="9"/>
            <color indexed="81"/>
            <rFont val="Tahoma"/>
            <family val="2"/>
            <charset val="162"/>
          </rPr>
          <t xml:space="preserve">
MAKALE SONRASI YENILEDIM. ARTIK TAHSIS OLARAK VERILECEK GERI DONUS NODE CIKISNDA OLACAK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29EBF730-DEFC-4F5D-8A04-E23F8D4C02BA}">
      <text>
        <r>
          <rPr>
            <b/>
            <sz val="9"/>
            <color indexed="81"/>
            <rFont val="Tahoma"/>
            <family val="2"/>
            <charset val="162"/>
          </rPr>
          <t>Salim Yaykıran:</t>
        </r>
        <r>
          <rPr>
            <sz val="9"/>
            <color indexed="81"/>
            <rFont val="Tahoma"/>
            <family val="2"/>
            <charset val="162"/>
          </rPr>
          <t xml:space="preserve">
MODEL DISI SULAMALRIN CIFTICI HALK GOLET TAHSISI
MAKALE SONRASI YENILEDIM. ARTIK TAHSIS OLARAK VERILECEK GERI DONUS NODE CIKISNDA OLACAK</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4A22651F-387A-43DB-AD92-4340F8246D58}">
      <text>
        <r>
          <rPr>
            <b/>
            <sz val="9"/>
            <color indexed="81"/>
            <rFont val="Tahoma"/>
            <family val="2"/>
            <charset val="162"/>
          </rPr>
          <t>Salim Yaykıran:</t>
        </r>
        <r>
          <rPr>
            <sz val="9"/>
            <color indexed="81"/>
            <rFont val="Tahoma"/>
            <family val="2"/>
            <charset val="162"/>
          </rPr>
          <t xml:space="preserve">
MODEL DISI SULAMALRIN CIFTICI HALK GOLET TAHSISI
MAKALE SONRASI YENILEDIM. ARTIK TAHSIS OLARAK VERILECEK GERI DONUS NODE CIKISNDA OLACAK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69FA45F9-2D80-47EB-9CEC-65CC323239D1}">
      <text>
        <r>
          <rPr>
            <b/>
            <sz val="9"/>
            <color indexed="81"/>
            <rFont val="Tahoma"/>
            <family val="2"/>
            <charset val="162"/>
          </rPr>
          <t xml:space="preserve">DOMESTIC ICIN YUS SU TAHSISI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0606FD33-9047-4C52-82AE-EF693A82137B}">
      <text>
        <r>
          <rPr>
            <b/>
            <sz val="9"/>
            <color indexed="81"/>
            <rFont val="Tahoma"/>
            <family val="2"/>
            <charset val="162"/>
          </rPr>
          <t>Salim Yaykıran:</t>
        </r>
        <r>
          <rPr>
            <sz val="9"/>
            <color indexed="81"/>
            <rFont val="Tahoma"/>
            <family val="2"/>
            <charset val="162"/>
          </rPr>
          <t xml:space="preserve">
GOLET-HALK SULAMALI GIBI GERI KALAN SULAMALAR ICIN.
MAKALE SONRASI YENILEDIM. ARTIK TAHSIS OLARAK VERILECEK GERI DONUS NODE CIKISNDA OLACAK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485B0677-AF49-4732-9311-1CD2CA369D0E}">
      <text>
        <r>
          <rPr>
            <b/>
            <sz val="9"/>
            <color indexed="81"/>
            <rFont val="Tahoma"/>
            <family val="2"/>
            <charset val="162"/>
          </rPr>
          <t>Salim Yaykıran:</t>
        </r>
        <r>
          <rPr>
            <sz val="9"/>
            <color indexed="81"/>
            <rFont val="Tahoma"/>
            <family val="2"/>
            <charset val="162"/>
          </rPr>
          <t xml:space="preserve">
MAKALE SONRASI YENILEDIM. ARTIK TAHSIS OLARAK VERILECEK GERI DONUS NODE CIKISNDA OLACAK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AD8DD918-DE56-4D7B-A8CA-1FC76D6AB3BF}">
      <text>
        <r>
          <rPr>
            <b/>
            <sz val="9"/>
            <color indexed="81"/>
            <rFont val="Tahoma"/>
            <family val="2"/>
            <charset val="162"/>
          </rPr>
          <t>Salim Yaykıran:</t>
        </r>
        <r>
          <rPr>
            <sz val="9"/>
            <color indexed="81"/>
            <rFont val="Tahoma"/>
            <family val="2"/>
            <charset val="162"/>
          </rPr>
          <t xml:space="preserve">
TAHSIS OLARAK DONUSTURDUM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66FA87A9-F034-4E9D-B712-8373554729D1}">
      <text>
        <r>
          <rPr>
            <b/>
            <sz val="9"/>
            <color indexed="81"/>
            <rFont val="Tahoma"/>
            <family val="2"/>
            <charset val="162"/>
          </rPr>
          <t>Salim Yaykıran:</t>
        </r>
        <r>
          <rPr>
            <sz val="9"/>
            <color indexed="81"/>
            <rFont val="Tahoma"/>
            <family val="2"/>
            <charset val="162"/>
          </rPr>
          <t xml:space="preserve">
SULAMA MAX TUKETIMI ASMASI MANTIKLI DEGIL. O NEDENLE MAX OLARAK SULAMA TUKETIM IHTIYACI OLARAK BELIRLEDIM. VE BU ARTIK TAHSIS DEGERI, MAKALE SONRASI ARTIK TUKETIM DEGIL TAHSISI KULLANACGIM. SONRA GERI DONUS SUYU EKLENECEK OUTFLOWA</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2AADF87A-209F-42C7-B9B7-4D4E034DE616}">
      <text>
        <r>
          <rPr>
            <b/>
            <sz val="9"/>
            <color indexed="81"/>
            <rFont val="Tahoma"/>
            <family val="2"/>
            <charset val="162"/>
          </rPr>
          <t>OCT2024 UPDATED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B5" authorId="0" shapeId="0" xr:uid="{DDA1DF33-3CBF-4ABD-97B1-2574EAFC9DE8}">
      <text>
        <r>
          <rPr>
            <b/>
            <sz val="9"/>
            <color indexed="81"/>
            <rFont val="Tahoma"/>
            <family val="2"/>
            <charset val="162"/>
          </rPr>
          <t>Salim Yaykıran:</t>
        </r>
        <r>
          <rPr>
            <sz val="9"/>
            <color indexed="81"/>
            <rFont val="Tahoma"/>
            <family val="2"/>
            <charset val="162"/>
          </rPr>
          <t xml:space="preserve">
VERI YOK</t>
        </r>
      </text>
    </comment>
    <comment ref="B6" authorId="0" shapeId="0" xr:uid="{011C69D9-A640-48AB-873C-9C53FDCDB084}">
      <text>
        <r>
          <rPr>
            <b/>
            <sz val="9"/>
            <color indexed="81"/>
            <rFont val="Tahoma"/>
            <family val="2"/>
            <charset val="162"/>
          </rPr>
          <t>Salim Yaykıran:</t>
        </r>
        <r>
          <rPr>
            <sz val="9"/>
            <color indexed="81"/>
            <rFont val="Tahoma"/>
            <family val="2"/>
            <charset val="162"/>
          </rPr>
          <t xml:space="preserve">
VERI YOK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0D86DCD5-0B27-401D-B4E6-95DDE0F24E40}">
      <text>
        <r>
          <rPr>
            <b/>
            <sz val="9"/>
            <color indexed="81"/>
            <rFont val="Tahoma"/>
            <family val="2"/>
            <charset val="162"/>
          </rPr>
          <t>Salim Yaykıran:
Tennat Yöntemi’nin mevsimlik akımları (debi) çok geniş bir aralıkta değişen (genelde 
Türkiye’deki akarsularda olduğu gibi) ve ortalama eğimi %1’den büyük olan düzenlenmemiş 
(vahşi) akarsular için, koruma maksatlı olarak dahi olsa, akarsuyun yer aldığı coğrafi bölge, 
iklim, doğal eko sistem vb. faktörler ışığında tadil edilmeksizin, bire bir uygulanmasının doğru 
olmadığı bilinmektedir. Bu yüzden özellikle Doğu Karadeniz Bölgesi akarsuları için, akım 
karakteristikleri bakımından temmuz-ekim (yaz/kurak ) ile kasım-haziran (kış/bahar) olmak 
üzere iki farklı dönem dikkate alınarak, akarsuda orta-iyi (iyiye yakın) bir ekosistem statüsü 
hedeflenmek üzere koruma-kullanma dengesi de gözetilerek ve HES Tesisleri ile 
yenilenebilir enerji üretimini de fizibil kılmak üzere nehir tipi HES’lerde regülatörden mevcut 
akarsu yatağına yıl boyu bırakılması gereken ağırlıklı ortalama çevresel ihtiyaç debisi 
aşağıdaki ifadeye göre hesaplanabilir.</t>
        </r>
      </text>
    </comment>
    <comment ref="B1" authorId="0" shapeId="0" xr:uid="{B72BFC6F-404C-4359-8A08-401C9FD96B41}">
      <text>
        <r>
          <rPr>
            <b/>
            <sz val="9"/>
            <color indexed="81"/>
            <rFont val="Tahoma"/>
            <family val="2"/>
            <charset val="162"/>
          </rPr>
          <t>Salim Yaykıran:</t>
        </r>
        <r>
          <rPr>
            <sz val="9"/>
            <color indexed="81"/>
            <rFont val="Tahoma"/>
            <family val="2"/>
            <charset val="162"/>
          </rPr>
          <t xml:space="preserve">
AKIM 0.2 İLE CARPILDI</t>
        </r>
      </text>
    </comment>
    <comment ref="C1" authorId="0" shapeId="0" xr:uid="{00B6F1C8-E059-4632-A745-FA1659A7F6E6}">
      <text>
        <r>
          <rPr>
            <b/>
            <sz val="9"/>
            <color indexed="81"/>
            <rFont val="Tahoma"/>
            <family val="2"/>
            <charset val="162"/>
          </rPr>
          <t>Salim Yaykıran:</t>
        </r>
        <r>
          <rPr>
            <sz val="9"/>
            <color indexed="81"/>
            <rFont val="Tahoma"/>
            <family val="2"/>
            <charset val="162"/>
          </rPr>
          <t xml:space="preserve">
Salim Yaykıran:
AKIM 0.15 İLE CARPILDI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0C287C22-5F59-4676-B022-5DF063B3BB65}">
      <text>
        <r>
          <rPr>
            <b/>
            <sz val="9"/>
            <color indexed="81"/>
            <rFont val="Tahoma"/>
            <family val="2"/>
            <charset val="162"/>
          </rPr>
          <t>Salim Yaykıran:
Tennat Yöntemi’nin mevsimlik akımları (debi) çok geniş bir aralıkta değişen (genelde 
Türkiye’deki akarsularda olduğu gibi) ve ortalama eğimi %1’den büyük olan düzenlenmemiş 
(vahşi) akarsular için, koruma maksatlı olarak dahi olsa, akarsuyun yer aldığı coğrafi bölge, 
iklim, doğal eko sistem vb. faktörler ışığında tadil edilmeksizin, bire bir uygulanmasının doğru 
olmadığı bilinmektedir. Bu yüzden özellikle Doğu Karadeniz Bölgesi akarsuları için, akım 
karakteristikleri bakımından temmuz-ekim (yaz/kurak ) ile kasım-haziran (kış/bahar) olmak 
üzere iki farklı dönem dikkate alınarak, akarsuda orta-iyi (iyiye yakın) bir ekosistem statüsü 
hedeflenmek üzere koruma-kullanma dengesi de gözetilerek ve HES Tesisleri ile 
yenilenebilir enerji üretimini de fizibil kılmak üzere nehir tipi HES’lerde regülatörden mevcut 
akarsu yatağına yıl boyu bırakılması gereken ağırlıklı ortalama çevresel ihtiyaç debisi 
aşağıdaki ifadeye göre hesaplanabilir.</t>
        </r>
      </text>
    </comment>
    <comment ref="B1" authorId="0" shapeId="0" xr:uid="{79666098-9D89-423B-A475-F5B6D3274FA5}">
      <text>
        <r>
          <rPr>
            <b/>
            <sz val="9"/>
            <color indexed="81"/>
            <rFont val="Tahoma"/>
            <family val="2"/>
            <charset val="162"/>
          </rPr>
          <t>Salim Yaykıran:</t>
        </r>
        <r>
          <rPr>
            <sz val="9"/>
            <color indexed="81"/>
            <rFont val="Tahoma"/>
            <family val="2"/>
            <charset val="162"/>
          </rPr>
          <t xml:space="preserve">
AKIM 0.2 İLE CARPILDI</t>
        </r>
      </text>
    </comment>
    <comment ref="C1" authorId="0" shapeId="0" xr:uid="{041F91B3-5159-49F9-A3BF-2FF4AB6D42F7}">
      <text>
        <r>
          <rPr>
            <b/>
            <sz val="9"/>
            <color indexed="81"/>
            <rFont val="Tahoma"/>
            <family val="2"/>
            <charset val="162"/>
          </rPr>
          <t>Salim Yaykıran:</t>
        </r>
        <r>
          <rPr>
            <sz val="9"/>
            <color indexed="81"/>
            <rFont val="Tahoma"/>
            <family val="2"/>
            <charset val="162"/>
          </rPr>
          <t xml:space="preserve">
Salim Yaykıran:
AKIM 0.15 İLE CARPILDI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B9BCA9D7-A559-4D05-BBDD-D25E57217750}">
      <text>
        <r>
          <rPr>
            <b/>
            <sz val="9"/>
            <color indexed="81"/>
            <rFont val="Tahoma"/>
            <family val="2"/>
            <charset val="162"/>
          </rPr>
          <t>Salim Yaykıran:</t>
        </r>
        <r>
          <rPr>
            <sz val="9"/>
            <color indexed="81"/>
            <rFont val="Tahoma"/>
            <family val="2"/>
            <charset val="162"/>
          </rPr>
          <t xml:space="preserve">
90 PERCENTILE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Salim Yaykıran</author>
  </authors>
  <commentList>
    <comment ref="A1" authorId="0" shapeId="0" xr:uid="{B3F190B7-1066-41B3-A36A-A0CE65C68974}">
      <text>
        <r>
          <rPr>
            <b/>
            <sz val="9"/>
            <color indexed="81"/>
            <rFont val="Tahoma"/>
            <family val="2"/>
            <charset val="162"/>
          </rPr>
          <t>Salim Yaykıran:</t>
        </r>
        <r>
          <rPr>
            <sz val="9"/>
            <color indexed="81"/>
            <rFont val="Tahoma"/>
            <family val="2"/>
            <charset val="162"/>
          </rPr>
          <t xml:space="preserve">
90 PERCENTILE</t>
        </r>
      </text>
    </comment>
  </commentList>
</comments>
</file>

<file path=xl/sharedStrings.xml><?xml version="1.0" encoding="utf-8"?>
<sst xmlns="http://schemas.openxmlformats.org/spreadsheetml/2006/main" count="5941" uniqueCount="397">
  <si>
    <t>GURSOGUT</t>
  </si>
  <si>
    <t>EKİ</t>
  </si>
  <si>
    <t>KAS</t>
  </si>
  <si>
    <t>ARA</t>
  </si>
  <si>
    <t>OCA</t>
  </si>
  <si>
    <t>ŞUB</t>
  </si>
  <si>
    <t>MAR</t>
  </si>
  <si>
    <t>NİS</t>
  </si>
  <si>
    <t>MAY</t>
  </si>
  <si>
    <t>HAZ</t>
  </si>
  <si>
    <t>TEM</t>
  </si>
  <si>
    <t>AĞU</t>
  </si>
  <si>
    <t>EYL</t>
  </si>
  <si>
    <t>TOPLAM</t>
  </si>
  <si>
    <t>EN MIN</t>
  </si>
  <si>
    <t>EN MAX</t>
  </si>
  <si>
    <t>KARGI</t>
  </si>
  <si>
    <t>ANKARA SULAMA</t>
  </si>
  <si>
    <t>KIRMIR SULAMA</t>
  </si>
  <si>
    <t>SARIYAR</t>
  </si>
  <si>
    <t>OUT</t>
  </si>
  <si>
    <t>YUK SAKARYA SULAMA</t>
  </si>
  <si>
    <t>PORSUK SULAMA</t>
  </si>
  <si>
    <t>GOKCEKAYA</t>
  </si>
  <si>
    <t>YENICE</t>
  </si>
  <si>
    <t>ORSAK SULAMA</t>
  </si>
  <si>
    <t>GOKSU SULAMA</t>
  </si>
  <si>
    <t>ANAKOL 4_1 SULAMA</t>
  </si>
  <si>
    <t>ASAKARYA SULAMA</t>
  </si>
  <si>
    <t>SMAX</t>
  </si>
  <si>
    <t>SMIN</t>
  </si>
  <si>
    <t>EVA</t>
  </si>
  <si>
    <t>IR NET</t>
  </si>
  <si>
    <t>EN</t>
  </si>
  <si>
    <t>SP</t>
  </si>
  <si>
    <t>SP + EN</t>
  </si>
  <si>
    <t>GIRIS AKIM</t>
  </si>
  <si>
    <t>DOGAL KUMULATIF</t>
  </si>
  <si>
    <t>S CUM MATRIS ISLEM</t>
  </si>
  <si>
    <t>S0</t>
  </si>
  <si>
    <t>S1</t>
  </si>
  <si>
    <t>S2</t>
  </si>
  <si>
    <t>S3</t>
  </si>
  <si>
    <t>S4</t>
  </si>
  <si>
    <t>S5</t>
  </si>
  <si>
    <t>S6</t>
  </si>
  <si>
    <t>S7</t>
  </si>
  <si>
    <t>S8</t>
  </si>
  <si>
    <t>S9</t>
  </si>
  <si>
    <t>S10</t>
  </si>
  <si>
    <t>S11</t>
  </si>
  <si>
    <t>S12</t>
  </si>
  <si>
    <t>[S0] [DELTA S]</t>
  </si>
  <si>
    <t>[DELTA S] OBS</t>
  </si>
  <si>
    <t>MX_CON</t>
  </si>
  <si>
    <t>MX_ENR</t>
  </si>
  <si>
    <t>MX_STO</t>
  </si>
  <si>
    <t>CONS_HIDR</t>
  </si>
  <si>
    <t>OBS_NAT_FLOW</t>
  </si>
  <si>
    <t>NAT_INFLOW</t>
  </si>
  <si>
    <t>OBS_OUTFLOW</t>
  </si>
  <si>
    <t>OBS_SDELTA</t>
  </si>
  <si>
    <t>OBS_STO (Ay Sonunda)</t>
  </si>
  <si>
    <t>OBS_STO</t>
  </si>
  <si>
    <t>CUM_POT_FLOW</t>
  </si>
  <si>
    <t>OBS_SPL</t>
  </si>
  <si>
    <t>OBS_EVA</t>
  </si>
  <si>
    <t>N_HOUR</t>
  </si>
  <si>
    <t>OBS_POW_MW</t>
  </si>
  <si>
    <t>OBS_ENR_GWH</t>
  </si>
  <si>
    <t>OBS_NET_HEAD</t>
  </si>
  <si>
    <t>OBS_EFF</t>
  </si>
  <si>
    <t>1 YUK SKR</t>
  </si>
  <si>
    <t>2 PORSUK</t>
  </si>
  <si>
    <t>3 ANKARA</t>
  </si>
  <si>
    <t>4 GURSOG</t>
  </si>
  <si>
    <t>5 KARGI</t>
  </si>
  <si>
    <t>6 KIRMIR</t>
  </si>
  <si>
    <t>7 SARIYR</t>
  </si>
  <si>
    <t>8 GOKCKY</t>
  </si>
  <si>
    <t>9 YENICE</t>
  </si>
  <si>
    <t>10 ORT SKR</t>
  </si>
  <si>
    <t>11 GOKSU</t>
  </si>
  <si>
    <t>12 PAMKOV</t>
  </si>
  <si>
    <t>13 ASG SKR</t>
  </si>
  <si>
    <t>CH_NAMES</t>
  </si>
  <si>
    <t>CH_MONTHS</t>
  </si>
  <si>
    <t>OCT</t>
  </si>
  <si>
    <t>NOV</t>
  </si>
  <si>
    <t>DEC</t>
  </si>
  <si>
    <t>JAN</t>
  </si>
  <si>
    <t>FEB</t>
  </si>
  <si>
    <t>APR</t>
  </si>
  <si>
    <t>JUN</t>
  </si>
  <si>
    <t>JUL</t>
  </si>
  <si>
    <t>AUG</t>
  </si>
  <si>
    <t>SEP</t>
  </si>
  <si>
    <t>Coefficients</t>
  </si>
  <si>
    <t>a</t>
  </si>
  <si>
    <t>b</t>
  </si>
  <si>
    <t>c</t>
  </si>
  <si>
    <t>EVA_MM (NET BUH)</t>
  </si>
  <si>
    <t>Rezervuar Max. Kotu :</t>
  </si>
  <si>
    <t>Rezervuar Min. Kotu :</t>
  </si>
  <si>
    <t>S0 INI</t>
  </si>
  <si>
    <t>WEIGHTED</t>
  </si>
  <si>
    <t>REGULASYON ORANI %</t>
  </si>
  <si>
    <t>SUM</t>
  </si>
  <si>
    <t>AV</t>
  </si>
  <si>
    <t>AV REG%</t>
  </si>
  <si>
    <t>MULTP</t>
  </si>
  <si>
    <t>EN_OPER_CAP</t>
  </si>
  <si>
    <t>GOKSU</t>
  </si>
  <si>
    <t>K_MIN</t>
  </si>
  <si>
    <t>K_MAX</t>
  </si>
  <si>
    <t>K_END</t>
  </si>
  <si>
    <t>TEST</t>
  </si>
  <si>
    <t>LOWER_BOUND_C85</t>
  </si>
  <si>
    <t>UPPER_BOUND_C85</t>
  </si>
  <si>
    <t>SPILLAGE_CAP</t>
  </si>
  <si>
    <t>HM3/AY</t>
  </si>
  <si>
    <t>SUM_ENOPR_AND_SPLCAP</t>
  </si>
  <si>
    <t>SULAMA TARAFI C85</t>
  </si>
  <si>
    <t>NEW</t>
  </si>
  <si>
    <t>TUNNEL_DIA_M</t>
  </si>
  <si>
    <t>TAILWAT_LEV_M</t>
  </si>
  <si>
    <t>TUNNEL_L_M</t>
  </si>
  <si>
    <t>OBS_EN_MIN</t>
  </si>
  <si>
    <t>OBS_EN_MAX</t>
  </si>
  <si>
    <t>Sep</t>
  </si>
  <si>
    <t>Aug</t>
  </si>
  <si>
    <t>Jul</t>
  </si>
  <si>
    <t>Jun</t>
  </si>
  <si>
    <t>May</t>
  </si>
  <si>
    <t>Apr</t>
  </si>
  <si>
    <t>Mar</t>
  </si>
  <si>
    <t>Feb</t>
  </si>
  <si>
    <t>Jan</t>
  </si>
  <si>
    <t>Dec</t>
  </si>
  <si>
    <t>Nov</t>
  </si>
  <si>
    <t>Oct</t>
  </si>
  <si>
    <t>EN+SP+IR90</t>
  </si>
  <si>
    <t>OBS_ELEV (Ay Sonda Göl Kotu)</t>
  </si>
  <si>
    <t>Coefficients  area = a*elevation ^b</t>
  </si>
  <si>
    <t>INF - IR</t>
  </si>
  <si>
    <t>EN MX * [KUM AKIM POT - (EN + SP + KUM EVA)]</t>
  </si>
  <si>
    <t>CUM_EVA</t>
  </si>
  <si>
    <t>[KUM AKIM POT - (EN + SP + KUM EVA)]</t>
  </si>
  <si>
    <t xml:space="preserve"> [DELTA S] = HAZNE TUTULAN HACIM</t>
  </si>
  <si>
    <t>KUM AKIM POT - KUM HAZNE - KUM EVA</t>
  </si>
  <si>
    <t>EN MX * [KUM AKIM POT - (EN + SP)]</t>
  </si>
  <si>
    <t>DEGISIYOR</t>
  </si>
  <si>
    <t>Q</t>
  </si>
  <si>
    <t>MAX FARKI</t>
  </si>
  <si>
    <t>MIN FARKI</t>
  </si>
  <si>
    <t>acava</t>
  </si>
  <si>
    <t>OBS_SDELTA EVA YOK</t>
  </si>
  <si>
    <t>SERININ MINIMAXI</t>
  </si>
  <si>
    <t>K_SC</t>
  </si>
  <si>
    <t>REVO</t>
  </si>
  <si>
    <t>INST CAPACITY MW</t>
  </si>
  <si>
    <t>MW</t>
  </si>
  <si>
    <t>0.9 PERC</t>
  </si>
  <si>
    <t>0.1 PERC</t>
  </si>
  <si>
    <t>0.5 PERC</t>
  </si>
  <si>
    <t>AVE</t>
  </si>
  <si>
    <t>EN FIRM WATER HM3 - PERC 0.05</t>
  </si>
  <si>
    <t>EN FIRM WATER MW - PERC 0.05</t>
  </si>
  <si>
    <t>EN FIRM WATER GWH - PERC 0.05</t>
  </si>
  <si>
    <t>GWH CAP</t>
  </si>
  <si>
    <t>FDC Shift - HM3 Environmental Management Class (EMC)</t>
  </si>
  <si>
    <t>Middle Sakarya</t>
  </si>
  <si>
    <t>Lower Sakarya</t>
  </si>
  <si>
    <t>Total</t>
  </si>
  <si>
    <t>Kargi</t>
  </si>
  <si>
    <t>Pamukova</t>
  </si>
  <si>
    <t>Porsuk</t>
  </si>
  <si>
    <t>Ankara</t>
  </si>
  <si>
    <t>Kirmir</t>
  </si>
  <si>
    <t>Yenice</t>
  </si>
  <si>
    <t>Upper Sakarya</t>
  </si>
  <si>
    <t>Sariyar</t>
  </si>
  <si>
    <t>Gokcekaya</t>
  </si>
  <si>
    <t>Goksu</t>
  </si>
  <si>
    <t>Gursogut</t>
  </si>
  <si>
    <t>NAT_INFLOW_NORMAL</t>
  </si>
  <si>
    <t>BLOK INPUT TOPLAM</t>
  </si>
  <si>
    <t>CONS_OTHER BLOK INPUT</t>
  </si>
  <si>
    <t>BRJ BUHARLASMA TOPLAM</t>
  </si>
  <si>
    <t>SULAMA TUKETIM TOPLAM</t>
  </si>
  <si>
    <t>BLOK INPUT TUKETIMLER 2025</t>
  </si>
  <si>
    <t>ICME</t>
  </si>
  <si>
    <t>HALK</t>
  </si>
  <si>
    <t>GOLET</t>
  </si>
  <si>
    <t>DIGER</t>
  </si>
  <si>
    <t>SEKTOR SULAMA</t>
  </si>
  <si>
    <t>SEKTOR BUHARLASMA</t>
  </si>
  <si>
    <t>SEKTOR ICME</t>
  </si>
  <si>
    <t>SEKTOR DIGER</t>
  </si>
  <si>
    <t>SULAMA MODEL KONTROL ORANI</t>
  </si>
  <si>
    <t>BUYUK SULAMALAR SU TUEKTIM</t>
  </si>
  <si>
    <t>KALANLAR</t>
  </si>
  <si>
    <t>GENEL COMB</t>
  </si>
  <si>
    <t>OBS_DEMAND OCT24</t>
  </si>
  <si>
    <t>OBS_ECO_DEMAND</t>
  </si>
  <si>
    <t>OBS_ECO_DEMAND_INDIVIDUAL</t>
  </si>
  <si>
    <t>OBS_STO 90 PERCENTILE (Ay Sonunda)</t>
  </si>
  <si>
    <t>OBS_STO 50 PERCENTILE (Ay Sonunda)</t>
  </si>
  <si>
    <t>HALK - OZEL - CIFTCI SULAMA TUK</t>
  </si>
  <si>
    <t>GOLET TUK 0.9 SULAMA</t>
  </si>
  <si>
    <t>GOLET TUK 0.1 BUHARLASMA</t>
  </si>
  <si>
    <t>ICME SUYU TUK</t>
  </si>
  <si>
    <t>DIGER TUK</t>
  </si>
  <si>
    <t>IR MAX ALLOCATION 2025</t>
  </si>
  <si>
    <t>IR MIN 2025 TAHSIS</t>
  </si>
  <si>
    <t>IR ALLOCATION 2025</t>
  </si>
  <si>
    <t>SW_IRG_MAIN_CONS_RATIO</t>
  </si>
  <si>
    <t>SW_IRG_OTHER_CONS_RATIO</t>
  </si>
  <si>
    <t>SW_IRG_OTHER_ALLOC 2025</t>
  </si>
  <si>
    <t>SW_DOM_TOTAL_ALLOC</t>
  </si>
  <si>
    <t>BLOK INPUT TOPLAM SAGLAMA</t>
  </si>
  <si>
    <t>2025 SUM</t>
  </si>
  <si>
    <t>CONS RATIO</t>
  </si>
  <si>
    <t>RTRN RATIO</t>
  </si>
  <si>
    <t>01_1U_UPSKR</t>
  </si>
  <si>
    <t>02_2P_PORSK</t>
  </si>
  <si>
    <t>03_3A_ANKRA</t>
  </si>
  <si>
    <t>04_4M_GURSG</t>
  </si>
  <si>
    <t>05_4M_KARGI</t>
  </si>
  <si>
    <t>06_3A_KIRMR</t>
  </si>
  <si>
    <t>07_4M_SARYR</t>
  </si>
  <si>
    <t>08_4M_GOKCK</t>
  </si>
  <si>
    <t>09_4M_YENCE</t>
  </si>
  <si>
    <t>10_4M_MDSKR</t>
  </si>
  <si>
    <t>11_5G_GOKSU</t>
  </si>
  <si>
    <t>12_4M_PAMKV</t>
  </si>
  <si>
    <t>13_6L_LWSKY</t>
  </si>
  <si>
    <t>NODE ID</t>
  </si>
  <si>
    <t>BASIN ID</t>
  </si>
  <si>
    <t>NODE NAME</t>
  </si>
  <si>
    <t>VARIABLE</t>
  </si>
  <si>
    <t>DETAIL</t>
  </si>
  <si>
    <t>TOT</t>
  </si>
  <si>
    <t>RATIO</t>
  </si>
  <si>
    <t>SW_CONSM_SIM</t>
  </si>
  <si>
    <t>SW_OUTFLOW_SIM</t>
  </si>
  <si>
    <t>01</t>
  </si>
  <si>
    <t>1U</t>
  </si>
  <si>
    <t>UPSKR</t>
  </si>
  <si>
    <t>NODE_IN</t>
  </si>
  <si>
    <t>GIRIS</t>
  </si>
  <si>
    <t>SW_BASN_POTWAT</t>
  </si>
  <si>
    <t>HAVZA YUZEYSEL POT</t>
  </si>
  <si>
    <t>SW_BASN_TRNSFR</t>
  </si>
  <si>
    <t>HAVZA SU AKTARIMI</t>
  </si>
  <si>
    <t>SW_EVA_MAIN_CONSM</t>
  </si>
  <si>
    <t>BARAJ BUHARLASMA</t>
  </si>
  <si>
    <t>SW_EVA_POND_CONSM</t>
  </si>
  <si>
    <t>GOLET BUHARLASMA</t>
  </si>
  <si>
    <t>SW_IRG_MAIN_ALLOC</t>
  </si>
  <si>
    <t>SULAMA PROJESI TAHSIS</t>
  </si>
  <si>
    <t>SW_IRG_MAIN_RETRN</t>
  </si>
  <si>
    <t>SULAMA PROJESI DONUS</t>
  </si>
  <si>
    <t>SW_IRG_MAIN_CONSM</t>
  </si>
  <si>
    <t>SULAMA PROJESI TUKETIM</t>
  </si>
  <si>
    <t>SW_IRG_PUBL_ALLOC</t>
  </si>
  <si>
    <t>HALK SULAMA TAHSIS</t>
  </si>
  <si>
    <t>SW_IRG_PUBL_RETRN</t>
  </si>
  <si>
    <t>HALK SULAMA DONUS</t>
  </si>
  <si>
    <t>SW_IRG_PUBL_CONSM</t>
  </si>
  <si>
    <t>HALK SULAMA TUKETIM</t>
  </si>
  <si>
    <t>SW_IRG_POND_TOTAL</t>
  </si>
  <si>
    <t>GOLET TOPLAM TUKETIM</t>
  </si>
  <si>
    <t>SW_IRG_POND_ALLOC</t>
  </si>
  <si>
    <t>GOLET SULAMA TAHSIS</t>
  </si>
  <si>
    <t>SW_IRG_POND_RETRN</t>
  </si>
  <si>
    <t>GOLET SULAMA DONUS</t>
  </si>
  <si>
    <t>SW_IRG_POND_CONSM</t>
  </si>
  <si>
    <t>GOLET SULAMA TUKETIM</t>
  </si>
  <si>
    <t>SW_DOM_ALLOC</t>
  </si>
  <si>
    <t>YUS ICME KULLANMA TAHSIS</t>
  </si>
  <si>
    <t>SW_DOM_RETRN</t>
  </si>
  <si>
    <t>YUS ICME KULLANMA DONUS</t>
  </si>
  <si>
    <t>SW_DOM_CONSM</t>
  </si>
  <si>
    <t>YUS ICME KULLANMA TUKETIM</t>
  </si>
  <si>
    <t>GW_DOM_ALLOC</t>
  </si>
  <si>
    <t>YAS ICME KULLANMA TAHSIS</t>
  </si>
  <si>
    <t>GW_DOM_RETRN</t>
  </si>
  <si>
    <t>YAS ICME KULLANMA DONUS</t>
  </si>
  <si>
    <t>GW_DOM_CONSM</t>
  </si>
  <si>
    <t>YAS ICME KULLANMA TUKETIM</t>
  </si>
  <si>
    <t>TW_DOM_CONSM</t>
  </si>
  <si>
    <t>YAS YUS TOPLAM NET TUKETIM</t>
  </si>
  <si>
    <t>TW_DOM_CONSM_SIM</t>
  </si>
  <si>
    <t>ICME KUL NET TUK - SIM</t>
  </si>
  <si>
    <t>TW_DOM_CONSM_OBS</t>
  </si>
  <si>
    <t>ICME KUL NET TUK - OBS</t>
  </si>
  <si>
    <t>TW_DOM_DEMND</t>
  </si>
  <si>
    <t>TOPLAM ICME KULLANMA TALEBI</t>
  </si>
  <si>
    <t>ASMPT_DOM_RATIO</t>
  </si>
  <si>
    <t>ICME AYLIK DAGILIM KABULU</t>
  </si>
  <si>
    <t>SW_OTH_CONSM</t>
  </si>
  <si>
    <t>YUS DIGER KULLANIMLAR</t>
  </si>
  <si>
    <t>GW_IRG_ALLOC</t>
  </si>
  <si>
    <t>YAS SULAMA TAHSIS</t>
  </si>
  <si>
    <t>GW_DOT_ALLOC</t>
  </si>
  <si>
    <t>YAS DIGER ICME KULANMA TAHSIS</t>
  </si>
  <si>
    <t>GW_IND_ALLOC</t>
  </si>
  <si>
    <t>YAS SANAYI TAHSIS</t>
  </si>
  <si>
    <t>GW_IRG_RETRN</t>
  </si>
  <si>
    <t>YAS SULAMA DONUS</t>
  </si>
  <si>
    <t>GW_DOT_RETRN</t>
  </si>
  <si>
    <t>YAS ICME DIGER DONUS</t>
  </si>
  <si>
    <t>GW_IND_RETRN</t>
  </si>
  <si>
    <t>YAS SANAYI DONUS</t>
  </si>
  <si>
    <t>SW_OUTFLOW_COR</t>
  </si>
  <si>
    <t>DUZELTME OLARAK EKLENECEK</t>
  </si>
  <si>
    <t>CIKIS AKIM - SIM</t>
  </si>
  <si>
    <t>SW_OUTFLOW_OBS</t>
  </si>
  <si>
    <t>CIKIS AKIM - OBS</t>
  </si>
  <si>
    <t>SW_OUTFLOW_DIF</t>
  </si>
  <si>
    <t>SIM GOZLEM FARKI</t>
  </si>
  <si>
    <t>SW_OUTFLOW_ECO</t>
  </si>
  <si>
    <t>CEVRESEL IHTIYAC DEBISI</t>
  </si>
  <si>
    <t>TOP TUKETIM KONTROL - SIM</t>
  </si>
  <si>
    <t>SW_CONSM_OBS</t>
  </si>
  <si>
    <t>TOP TUKETIM KONTROL - OBS</t>
  </si>
  <si>
    <t>SW_CONSM_DIF</t>
  </si>
  <si>
    <t>SIM TUKETIM FARKI</t>
  </si>
  <si>
    <t>NODE_OUT</t>
  </si>
  <si>
    <t>CIKIS</t>
  </si>
  <si>
    <t>02</t>
  </si>
  <si>
    <t>2P</t>
  </si>
  <si>
    <t>PORSK</t>
  </si>
  <si>
    <t>03</t>
  </si>
  <si>
    <t>3A</t>
  </si>
  <si>
    <t>ANKRA</t>
  </si>
  <si>
    <t>SW_BASN_TRNSFR_DETAILS</t>
  </si>
  <si>
    <t>CUBUK 2 TAHSIS</t>
  </si>
  <si>
    <t>KURTBOGAZI SISTEMI TAHSIS</t>
  </si>
  <si>
    <t>KURTBOGAZI SISTEMI TAHSIS (EGREKAYA HARIC)</t>
  </si>
  <si>
    <t>IC TRANSFER - CAMLIDERE TAHSIS</t>
  </si>
  <si>
    <t>IC TRANSFER - EGREKKAYA TAHSIS</t>
  </si>
  <si>
    <t>DIS TRANSFER - GEREDE TAHSIS</t>
  </si>
  <si>
    <t>DIS TRANSFER - KIZILIRMAK TAHSIS</t>
  </si>
  <si>
    <t>ICME TOP TUKETIM HESABI</t>
  </si>
  <si>
    <t>TRANSF GERI DONUS</t>
  </si>
  <si>
    <t>ICME SUYU NET TUKETIM HESABI</t>
  </si>
  <si>
    <t>06</t>
  </si>
  <si>
    <t>KIRMR</t>
  </si>
  <si>
    <t>04</t>
  </si>
  <si>
    <t>4M</t>
  </si>
  <si>
    <t>GURSG</t>
  </si>
  <si>
    <t>RES_IN</t>
  </si>
  <si>
    <t>HAZNE GIRIS</t>
  </si>
  <si>
    <t>RES_OPR_STORG_IMPND</t>
  </si>
  <si>
    <t>HAZNE TUTULAN HACIM</t>
  </si>
  <si>
    <t>RES_OPR_EVAPO</t>
  </si>
  <si>
    <t>HAZNE BUHARLASMA</t>
  </si>
  <si>
    <t>RES_IRG_ALLOC</t>
  </si>
  <si>
    <t>BARAJ SULAMA TAHSIS</t>
  </si>
  <si>
    <t>RES_IRG_RETRN</t>
  </si>
  <si>
    <t>BARAJ SULAMA GERI DONUS</t>
  </si>
  <si>
    <t>RES_DOM_ALLOC</t>
  </si>
  <si>
    <t>BARAJ ICME TAHSIS</t>
  </si>
  <si>
    <t>RES_DOM_RETRN</t>
  </si>
  <si>
    <t>BARAJ ICME GERI DONUS</t>
  </si>
  <si>
    <t>RES_ENR_ALLOC</t>
  </si>
  <si>
    <t>BARAJ HES ENERJI SU SALINIMI</t>
  </si>
  <si>
    <t>RES_OPR_SPLWY</t>
  </si>
  <si>
    <t>BARAJ SAVAKTAN BIRAKILAN</t>
  </si>
  <si>
    <t>RES_OPR_FLWRQ</t>
  </si>
  <si>
    <t>BARAJ CEVRESEL IHTIYAC</t>
  </si>
  <si>
    <t>RES_OUTFLOW_SIM</t>
  </si>
  <si>
    <t>BARAJ CIKIS AKIM - SIM</t>
  </si>
  <si>
    <t>RES_OUTFLOW_OBS</t>
  </si>
  <si>
    <t>BARAJ CIKIS AKIM - OBS</t>
  </si>
  <si>
    <t>RES_OUT</t>
  </si>
  <si>
    <t>HAZNE CIKIS</t>
  </si>
  <si>
    <t>05</t>
  </si>
  <si>
    <t>07</t>
  </si>
  <si>
    <t>SARYR</t>
  </si>
  <si>
    <t>08</t>
  </si>
  <si>
    <t>GOKCK</t>
  </si>
  <si>
    <t>09</t>
  </si>
  <si>
    <t>YENCE</t>
  </si>
  <si>
    <t>10</t>
  </si>
  <si>
    <t>MDSKR</t>
  </si>
  <si>
    <t>11</t>
  </si>
  <si>
    <t>5G</t>
  </si>
  <si>
    <t>12</t>
  </si>
  <si>
    <t>PAMKV</t>
  </si>
  <si>
    <t>13</t>
  </si>
  <si>
    <t>6L</t>
  </si>
  <si>
    <t>LWSKY</t>
  </si>
  <si>
    <t>BALLIKAYA MUD NET</t>
  </si>
  <si>
    <t>SAPANCA CARK SUYU MUD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</si>
</sst>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_-;\-* #,##0_-;_-* &quot;-&quot;??_-;_-@_-"/>
    <numFmt numFmtId="165" formatCode="0.0"/>
    <numFmt numFmtId="166" formatCode="_-* #,##0.0_-;\-* #,##0.0_-;_-* &quot;-&quot;??_-;_-@_-"/>
    <numFmt numFmtId="168" formatCode="000"/>
    <numFmt numFmtId="169" formatCode="0.000"/>
    <numFmt numFmtId="170" formatCode="0.0000"/>
    <numFmt numFmtId="171" formatCode="0.00000"/>
    <numFmt numFmtId="172" formatCode="0.000000"/>
  </numFmts>
  <fonts count="74" x14ac:knownFonts="1">
    <font>
      <sz val="11"/>
      <color theme="1"/>
      <name val="JetBrains Mono"/>
      <family val="2"/>
      <scheme val="minor"/>
    </font>
    <font>
      <sz val="11"/>
      <color theme="1"/>
      <name val="JetBrains Mono"/>
      <family val="2"/>
      <scheme val="minor"/>
    </font>
    <font>
      <sz val="10"/>
      <name val="Arial"/>
      <family val="2"/>
      <charset val="162"/>
    </font>
    <font>
      <sz val="11"/>
      <color theme="1"/>
      <name val="JetBrains Mono"/>
      <family val="2"/>
      <charset val="162"/>
      <scheme val="minor"/>
    </font>
    <font>
      <sz val="9"/>
      <color indexed="81"/>
      <name val="Tahoma"/>
      <family val="2"/>
      <charset val="162"/>
    </font>
    <font>
      <b/>
      <sz val="9"/>
      <color indexed="81"/>
      <name val="Tahoma"/>
      <family val="2"/>
      <charset val="162"/>
    </font>
    <font>
      <b/>
      <sz val="11"/>
      <color theme="1"/>
      <name val="JetBrains Mono"/>
      <charset val="162"/>
      <scheme val="minor"/>
    </font>
    <font>
      <sz val="11"/>
      <color rgb="FFFF0000"/>
      <name val="JetBrains Mono"/>
      <charset val="162"/>
      <scheme val="minor"/>
    </font>
    <font>
      <b/>
      <sz val="11"/>
      <color rgb="FFFF0000"/>
      <name val="JetBrains Mono"/>
      <charset val="162"/>
      <scheme val="minor"/>
    </font>
    <font>
      <sz val="9"/>
      <color theme="1"/>
      <name val="JetBrains Mono"/>
      <charset val="162"/>
      <scheme val="minor"/>
    </font>
    <font>
      <b/>
      <sz val="9"/>
      <color rgb="FF92D050"/>
      <name val="Roboto"/>
      <charset val="162"/>
    </font>
    <font>
      <b/>
      <sz val="9"/>
      <color theme="1"/>
      <name val="JetBrains Mono"/>
      <charset val="162"/>
      <scheme val="minor"/>
    </font>
    <font>
      <b/>
      <sz val="9"/>
      <color theme="0"/>
      <name val="JetBrains Mono"/>
      <charset val="162"/>
      <scheme val="minor"/>
    </font>
    <font>
      <sz val="9"/>
      <color theme="0"/>
      <name val="JetBrains Mono"/>
      <charset val="162"/>
      <scheme val="minor"/>
    </font>
    <font>
      <sz val="8"/>
      <name val="JetBrains Mono"/>
      <family val="2"/>
      <scheme val="minor"/>
    </font>
    <font>
      <sz val="9"/>
      <color theme="7" tint="0.79998168889431442"/>
      <name val="JetBrains Mono"/>
      <charset val="162"/>
      <scheme val="minor"/>
    </font>
    <font>
      <b/>
      <sz val="9"/>
      <color theme="7" tint="0.79998168889431442"/>
      <name val="JetBrains Mono"/>
      <charset val="162"/>
      <scheme val="minor"/>
    </font>
    <font>
      <b/>
      <sz val="11"/>
      <color indexed="8"/>
      <name val="JetBrains Mono"/>
      <charset val="162"/>
      <scheme val="minor"/>
    </font>
    <font>
      <sz val="11"/>
      <color theme="0"/>
      <name val="JetBrains Mono"/>
      <family val="2"/>
      <scheme val="minor"/>
    </font>
    <font>
      <sz val="8"/>
      <color theme="1"/>
      <name val="JetBrains Mono"/>
      <charset val="162"/>
      <scheme val="minor"/>
    </font>
    <font>
      <b/>
      <sz val="8"/>
      <color theme="1"/>
      <name val="JetBrains Mono"/>
      <charset val="162"/>
      <scheme val="minor"/>
    </font>
    <font>
      <b/>
      <sz val="8"/>
      <color rgb="FF92D050"/>
      <name val="Roboto"/>
      <charset val="162"/>
    </font>
    <font>
      <sz val="11"/>
      <color theme="1"/>
      <name val="JetBrains Mono"/>
      <charset val="162"/>
      <scheme val="minor"/>
    </font>
    <font>
      <sz val="10"/>
      <name val="Arial Tur"/>
      <charset val="162"/>
    </font>
    <font>
      <sz val="9"/>
      <color rgb="FFFF0000"/>
      <name val="JetBrains Mono"/>
      <charset val="162"/>
      <scheme val="minor"/>
    </font>
    <font>
      <b/>
      <sz val="9"/>
      <color rgb="FFFF0000"/>
      <name val="JetBrains Mono"/>
      <charset val="162"/>
      <scheme val="minor"/>
    </font>
    <font>
      <sz val="8"/>
      <color rgb="FFFFFF00"/>
      <name val="JetBrains Mono"/>
      <family val="2"/>
      <charset val="162"/>
      <scheme val="minor"/>
    </font>
    <font>
      <b/>
      <sz val="8"/>
      <color rgb="FFFFFF00"/>
      <name val="JetBrains Mono"/>
      <family val="2"/>
      <charset val="162"/>
      <scheme val="minor"/>
    </font>
    <font>
      <sz val="11"/>
      <color rgb="FF7030A0"/>
      <name val="JetBrains Mono"/>
      <charset val="162"/>
      <scheme val="minor"/>
    </font>
    <font>
      <b/>
      <sz val="11"/>
      <color rgb="FFFFFF00"/>
      <name val="JetBrains Mono"/>
      <family val="2"/>
      <charset val="162"/>
      <scheme val="minor"/>
    </font>
    <font>
      <sz val="9"/>
      <color theme="0"/>
      <name val="Roboto"/>
      <charset val="162"/>
    </font>
    <font>
      <b/>
      <sz val="9"/>
      <color rgb="FFC00000"/>
      <name val="JetBrains Mono"/>
      <charset val="162"/>
      <scheme val="minor"/>
    </font>
    <font>
      <sz val="11"/>
      <color rgb="FF92D050"/>
      <name val="JetBrains Mono"/>
      <charset val="162"/>
      <scheme val="minor"/>
    </font>
    <font>
      <b/>
      <sz val="11"/>
      <color rgb="FF92D050"/>
      <name val="JetBrains Mono"/>
      <charset val="162"/>
      <scheme val="minor"/>
    </font>
    <font>
      <sz val="8"/>
      <color theme="1"/>
      <name val="JetBrains Mono"/>
      <family val="2"/>
      <charset val="162"/>
      <scheme val="minor"/>
    </font>
    <font>
      <sz val="9"/>
      <color rgb="FFFF0000"/>
      <name val="Roboto"/>
      <charset val="162"/>
    </font>
    <font>
      <b/>
      <sz val="8"/>
      <color theme="0"/>
      <name val="JetBrains Mono"/>
      <family val="2"/>
      <charset val="162"/>
      <scheme val="minor"/>
    </font>
    <font>
      <b/>
      <sz val="8"/>
      <color theme="7" tint="0.79998168889431442"/>
      <name val="JetBrains Mono"/>
      <family val="2"/>
      <charset val="162"/>
      <scheme val="minor"/>
    </font>
    <font>
      <sz val="8"/>
      <color theme="3"/>
      <name val="JetBrains Mono"/>
      <family val="2"/>
      <charset val="162"/>
      <scheme val="minor"/>
    </font>
    <font>
      <b/>
      <sz val="8"/>
      <color theme="3"/>
      <name val="JetBrains Mono"/>
      <family val="2"/>
      <charset val="162"/>
      <scheme val="minor"/>
    </font>
    <font>
      <sz val="8"/>
      <color theme="7" tint="0.79998168889431442"/>
      <name val="JetBrains Mono"/>
      <family val="2"/>
      <charset val="162"/>
      <scheme val="minor"/>
    </font>
    <font>
      <b/>
      <sz val="8"/>
      <color theme="1"/>
      <name val="JetBrains Mono"/>
      <family val="2"/>
      <charset val="162"/>
      <scheme val="minor"/>
    </font>
    <font>
      <b/>
      <sz val="8"/>
      <color rgb="FFFFC000"/>
      <name val="JetBrains Mono"/>
      <family val="2"/>
      <charset val="162"/>
      <scheme val="minor"/>
    </font>
    <font>
      <sz val="8"/>
      <color theme="0"/>
      <name val="JetBrains Mono"/>
      <family val="2"/>
      <charset val="162"/>
      <scheme val="minor"/>
    </font>
    <font>
      <sz val="8"/>
      <color rgb="FFFF0000"/>
      <name val="JetBrains Mono"/>
      <family val="2"/>
      <charset val="162"/>
      <scheme val="minor"/>
    </font>
    <font>
      <sz val="2"/>
      <color theme="1"/>
      <name val="JetBrains Mono"/>
      <family val="2"/>
      <charset val="162"/>
      <scheme val="minor"/>
    </font>
    <font>
      <sz val="8"/>
      <color theme="7" tint="0.39997558519241921"/>
      <name val="JetBrains Mono"/>
      <family val="2"/>
      <charset val="162"/>
      <scheme val="minor"/>
    </font>
    <font>
      <sz val="8"/>
      <color theme="1" tint="0.34998626667073579"/>
      <name val="JetBrains Mono"/>
      <family val="2"/>
      <charset val="162"/>
      <scheme val="minor"/>
    </font>
    <font>
      <sz val="8"/>
      <color theme="0" tint="-0.499984740745262"/>
      <name val="JetBrains Mono"/>
      <family val="2"/>
      <charset val="162"/>
      <scheme val="minor"/>
    </font>
    <font>
      <b/>
      <sz val="8"/>
      <color theme="0" tint="-0.499984740745262"/>
      <name val="JetBrains Mono"/>
      <family val="2"/>
      <charset val="162"/>
      <scheme val="minor"/>
    </font>
    <font>
      <b/>
      <sz val="8"/>
      <color rgb="FFFF0000"/>
      <name val="JetBrains Mono"/>
      <family val="2"/>
      <charset val="162"/>
      <scheme val="minor"/>
    </font>
    <font>
      <b/>
      <sz val="8"/>
      <color rgb="FFC00000"/>
      <name val="Roboto"/>
      <charset val="162"/>
    </font>
    <font>
      <b/>
      <sz val="8"/>
      <color theme="1"/>
      <name val="Roboto"/>
      <charset val="162"/>
    </font>
    <font>
      <b/>
      <sz val="11"/>
      <color theme="1"/>
      <name val="JetBrains Mono"/>
      <family val="2"/>
      <scheme val="minor"/>
    </font>
    <font>
      <sz val="11"/>
      <name val="JetBrains Mono"/>
      <family val="3"/>
      <charset val="162"/>
    </font>
    <font>
      <b/>
      <sz val="11"/>
      <name val="JetBrains Mono"/>
      <family val="3"/>
      <charset val="162"/>
    </font>
    <font>
      <b/>
      <sz val="11"/>
      <color theme="0"/>
      <name val="JetBrains Mono"/>
      <family val="3"/>
      <charset val="162"/>
    </font>
    <font>
      <sz val="11"/>
      <color theme="0"/>
      <name val="JetBrains Mono"/>
      <family val="3"/>
      <charset val="162"/>
    </font>
    <font>
      <sz val="11"/>
      <color theme="1"/>
      <name val="JetBrains Mono"/>
      <family val="3"/>
      <charset val="162"/>
    </font>
    <font>
      <i/>
      <sz val="11"/>
      <color theme="1" tint="4.9989318521683403E-2"/>
      <name val="JetBrains Mono"/>
      <family val="3"/>
      <charset val="162"/>
    </font>
    <font>
      <b/>
      <sz val="11"/>
      <color theme="1"/>
      <name val="JetBrains Mono"/>
      <family val="3"/>
      <charset val="162"/>
    </font>
    <font>
      <b/>
      <sz val="11"/>
      <color rgb="FFC00000"/>
      <name val="JetBrains Mono"/>
      <family val="3"/>
      <charset val="162"/>
    </font>
    <font>
      <sz val="11"/>
      <color rgb="FFC00000"/>
      <name val="JetBrains Mono"/>
      <family val="3"/>
      <charset val="162"/>
    </font>
    <font>
      <b/>
      <sz val="11"/>
      <color rgb="FFFF0000"/>
      <name val="JetBrains Mono"/>
      <family val="3"/>
      <charset val="162"/>
    </font>
    <font>
      <sz val="11"/>
      <color rgb="FFFF0000"/>
      <name val="JetBrains Mono"/>
      <family val="3"/>
      <charset val="162"/>
    </font>
    <font>
      <i/>
      <sz val="11"/>
      <name val="JetBrains Mono"/>
      <family val="3"/>
      <charset val="162"/>
    </font>
    <font>
      <sz val="11"/>
      <color theme="1"/>
      <name val="JetBrains Mono"/>
      <family val="3"/>
      <charset val="162"/>
      <scheme val="minor"/>
    </font>
    <font>
      <i/>
      <sz val="11"/>
      <color theme="1" tint="4.9989318521683403E-2"/>
      <name val="JetBrains Mono"/>
      <family val="3"/>
      <charset val="162"/>
      <scheme val="minor"/>
    </font>
    <font>
      <b/>
      <sz val="11"/>
      <color rgb="FFFFC000"/>
      <name val="JetBrains Mono"/>
      <family val="3"/>
      <charset val="162"/>
    </font>
    <font>
      <sz val="11"/>
      <color rgb="FFFFC000"/>
      <name val="JetBrains Mono"/>
      <family val="3"/>
      <charset val="162"/>
    </font>
    <font>
      <i/>
      <sz val="11"/>
      <color theme="0"/>
      <name val="JetBrains Mono"/>
      <family val="3"/>
      <charset val="162"/>
    </font>
    <font>
      <i/>
      <sz val="11"/>
      <color rgb="FFC00000"/>
      <name val="JetBrains Mono"/>
      <family val="3"/>
      <charset val="162"/>
    </font>
    <font>
      <b/>
      <sz val="11"/>
      <color rgb="FF7030A0"/>
      <name val="JetBrains Mono"/>
      <family val="3"/>
      <charset val="162"/>
    </font>
    <font>
      <sz val="11"/>
      <color rgb="FF7030A0"/>
      <name val="JetBrains Mono"/>
      <family val="3"/>
      <charset val="162"/>
    </font>
  </fonts>
  <fills count="45">
    <fill>
      <patternFill patternType="none"/>
    </fill>
    <fill>
      <patternFill patternType="gray125"/>
    </fill>
    <fill>
      <patternFill patternType="solid">
        <fgColor rgb="FFFFC00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rgb="FFC00000"/>
        <bgColor indexed="64"/>
      </patternFill>
    </fill>
    <fill>
      <patternFill patternType="solid">
        <fgColor rgb="FF7030A0"/>
        <bgColor indexed="64"/>
      </patternFill>
    </fill>
    <fill>
      <patternFill patternType="solid">
        <fgColor theme="0" tint="-0.249977111117893"/>
        <bgColor indexed="64"/>
      </patternFill>
    </fill>
    <fill>
      <patternFill patternType="solid">
        <fgColor theme="7"/>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rgb="FFFF5050"/>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8" tint="-0.499984740745262"/>
        <bgColor indexed="64"/>
      </patternFill>
    </fill>
    <fill>
      <patternFill patternType="solid">
        <fgColor theme="3" tint="-0.249977111117893"/>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33CCFF"/>
        <bgColor indexed="64"/>
      </patternFill>
    </fill>
    <fill>
      <patternFill patternType="solid">
        <fgColor theme="6" tint="-0.499984740745262"/>
        <bgColor indexed="64"/>
      </patternFill>
    </fill>
    <fill>
      <patternFill patternType="solid">
        <fgColor theme="1" tint="0.499984740745262"/>
        <bgColor indexed="64"/>
      </patternFill>
    </fill>
    <fill>
      <patternFill patternType="solid">
        <fgColor theme="8" tint="-0.249977111117893"/>
        <bgColor indexed="64"/>
      </patternFill>
    </fill>
    <fill>
      <patternFill patternType="solid">
        <fgColor rgb="FF7DDDFF"/>
        <bgColor indexed="64"/>
      </patternFill>
    </fill>
    <fill>
      <patternFill patternType="solid">
        <fgColor theme="4"/>
        <bgColor indexed="64"/>
      </patternFill>
    </fill>
    <fill>
      <patternFill patternType="solid">
        <fgColor theme="4" tint="0.59999389629810485"/>
        <bgColor indexed="64"/>
      </patternFill>
    </fill>
    <fill>
      <patternFill patternType="solid">
        <fgColor theme="5" tint="-0.499984740745262"/>
        <bgColor indexed="64"/>
      </patternFill>
    </fill>
    <fill>
      <patternFill patternType="solid">
        <fgColor theme="0" tint="-0.34998626667073579"/>
        <bgColor indexed="64"/>
      </patternFill>
    </fill>
    <fill>
      <patternFill patternType="solid">
        <fgColor theme="2" tint="-0.749992370372631"/>
        <bgColor indexed="64"/>
      </patternFill>
    </fill>
    <fill>
      <patternFill patternType="solid">
        <fgColor rgb="FFE2BCC9"/>
        <bgColor indexed="64"/>
      </patternFill>
    </fill>
    <fill>
      <patternFill patternType="solid">
        <fgColor rgb="FFABE9FF"/>
        <bgColor indexed="64"/>
      </patternFill>
    </fill>
    <fill>
      <patternFill patternType="solid">
        <fgColor theme="6"/>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0" fontId="2" fillId="0" borderId="0"/>
    <xf numFmtId="0" fontId="3" fillId="0" borderId="0"/>
    <xf numFmtId="0" fontId="23" fillId="0" borderId="0"/>
    <xf numFmtId="9" fontId="1" fillId="0" borderId="0" applyFont="0" applyFill="0" applyBorder="0" applyAlignment="0" applyProtection="0"/>
  </cellStyleXfs>
  <cellXfs count="439">
    <xf numFmtId="0" fontId="0" fillId="0" borderId="0" xfId="0"/>
    <xf numFmtId="2" fontId="0" fillId="9" borderId="1" xfId="1" applyNumberFormat="1" applyFont="1" applyFill="1" applyBorder="1"/>
    <xf numFmtId="0" fontId="6" fillId="0" borderId="0" xfId="0" applyFont="1"/>
    <xf numFmtId="0" fontId="0" fillId="0" borderId="1" xfId="0" applyBorder="1"/>
    <xf numFmtId="2" fontId="0" fillId="9" borderId="1" xfId="0" applyNumberFormat="1" applyFill="1" applyBorder="1"/>
    <xf numFmtId="2" fontId="0" fillId="0" borderId="0" xfId="0" applyNumberFormat="1"/>
    <xf numFmtId="0" fontId="6" fillId="0" borderId="1" xfId="0" applyFont="1" applyBorder="1"/>
    <xf numFmtId="43" fontId="0" fillId="0" borderId="0" xfId="0" applyNumberFormat="1"/>
    <xf numFmtId="165" fontId="9" fillId="3" borderId="1" xfId="1" applyNumberFormat="1" applyFont="1" applyFill="1" applyBorder="1"/>
    <xf numFmtId="165" fontId="9" fillId="19" borderId="1" xfId="1" applyNumberFormat="1" applyFont="1" applyFill="1" applyBorder="1"/>
    <xf numFmtId="165" fontId="9" fillId="10" borderId="1" xfId="1" applyNumberFormat="1" applyFont="1" applyFill="1" applyBorder="1"/>
    <xf numFmtId="165" fontId="9" fillId="2" borderId="1" xfId="1" applyNumberFormat="1" applyFont="1" applyFill="1" applyBorder="1"/>
    <xf numFmtId="165" fontId="9" fillId="16" borderId="1" xfId="1" applyNumberFormat="1" applyFont="1" applyFill="1" applyBorder="1"/>
    <xf numFmtId="165" fontId="9" fillId="8" borderId="1" xfId="1" applyNumberFormat="1" applyFont="1" applyFill="1" applyBorder="1"/>
    <xf numFmtId="165" fontId="11" fillId="2" borderId="1" xfId="0" applyNumberFormat="1" applyFont="1" applyFill="1" applyBorder="1"/>
    <xf numFmtId="165" fontId="12" fillId="23" borderId="0" xfId="0" applyNumberFormat="1" applyFont="1" applyFill="1"/>
    <xf numFmtId="165" fontId="12" fillId="7" borderId="1" xfId="1" applyNumberFormat="1" applyFont="1" applyFill="1" applyBorder="1"/>
    <xf numFmtId="165" fontId="13" fillId="7" borderId="1" xfId="1" applyNumberFormat="1" applyFont="1" applyFill="1" applyBorder="1"/>
    <xf numFmtId="2" fontId="15" fillId="7" borderId="1" xfId="1" applyNumberFormat="1" applyFont="1" applyFill="1" applyBorder="1"/>
    <xf numFmtId="2" fontId="0" fillId="0" borderId="0" xfId="1" applyNumberFormat="1" applyFont="1"/>
    <xf numFmtId="2" fontId="6" fillId="0" borderId="0" xfId="1" applyNumberFormat="1" applyFont="1"/>
    <xf numFmtId="2" fontId="9" fillId="16" borderId="1" xfId="1" applyNumberFormat="1" applyFont="1" applyFill="1" applyBorder="1"/>
    <xf numFmtId="2" fontId="9" fillId="2" borderId="1" xfId="1" applyNumberFormat="1" applyFont="1" applyFill="1" applyBorder="1"/>
    <xf numFmtId="2" fontId="6" fillId="0" borderId="0" xfId="0" applyNumberFormat="1" applyFont="1"/>
    <xf numFmtId="0" fontId="17" fillId="0" borderId="0" xfId="0" applyFont="1"/>
    <xf numFmtId="2" fontId="6" fillId="9" borderId="1" xfId="1" applyNumberFormat="1" applyFont="1" applyFill="1" applyBorder="1"/>
    <xf numFmtId="165" fontId="11" fillId="2" borderId="1" xfId="1" applyNumberFormat="1" applyFont="1" applyFill="1" applyBorder="1"/>
    <xf numFmtId="2" fontId="11" fillId="2" borderId="1" xfId="1" applyNumberFormat="1" applyFont="1" applyFill="1" applyBorder="1"/>
    <xf numFmtId="2" fontId="16" fillId="7" borderId="1" xfId="1" applyNumberFormat="1" applyFont="1" applyFill="1" applyBorder="1"/>
    <xf numFmtId="165" fontId="11" fillId="3" borderId="1" xfId="1" applyNumberFormat="1" applyFont="1" applyFill="1" applyBorder="1"/>
    <xf numFmtId="165" fontId="11" fillId="10" borderId="1" xfId="1" applyNumberFormat="1" applyFont="1" applyFill="1" applyBorder="1"/>
    <xf numFmtId="0" fontId="6" fillId="0" borderId="0" xfId="0" applyFont="1" applyAlignment="1">
      <alignment horizontal="center" vertical="center"/>
    </xf>
    <xf numFmtId="0" fontId="0" fillId="8" borderId="0" xfId="0" applyFill="1"/>
    <xf numFmtId="2" fontId="0" fillId="8" borderId="0" xfId="0" applyNumberFormat="1" applyFill="1"/>
    <xf numFmtId="0" fontId="6" fillId="8" borderId="0" xfId="0" applyFont="1" applyFill="1"/>
    <xf numFmtId="165" fontId="19" fillId="10" borderId="1" xfId="1" applyNumberFormat="1" applyFont="1" applyFill="1" applyBorder="1"/>
    <xf numFmtId="2" fontId="19" fillId="10" borderId="1" xfId="1" applyNumberFormat="1" applyFont="1" applyFill="1" applyBorder="1"/>
    <xf numFmtId="2" fontId="20" fillId="20" borderId="1" xfId="1" applyNumberFormat="1" applyFont="1" applyFill="1" applyBorder="1"/>
    <xf numFmtId="0" fontId="21" fillId="18" borderId="2" xfId="0" applyFont="1" applyFill="1" applyBorder="1" applyAlignment="1">
      <alignment vertical="center"/>
    </xf>
    <xf numFmtId="2" fontId="17" fillId="9" borderId="1" xfId="0" applyNumberFormat="1" applyFont="1" applyFill="1" applyBorder="1"/>
    <xf numFmtId="43" fontId="0" fillId="0" borderId="0" xfId="1" applyFont="1"/>
    <xf numFmtId="168" fontId="0" fillId="0" borderId="1" xfId="0" applyNumberFormat="1" applyBorder="1"/>
    <xf numFmtId="169" fontId="0" fillId="0" borderId="0" xfId="0" applyNumberFormat="1"/>
    <xf numFmtId="171" fontId="9" fillId="19" borderId="1" xfId="1" applyNumberFormat="1" applyFont="1" applyFill="1" applyBorder="1"/>
    <xf numFmtId="172" fontId="9" fillId="10" borderId="1" xfId="1" applyNumberFormat="1" applyFont="1" applyFill="1" applyBorder="1"/>
    <xf numFmtId="172" fontId="11" fillId="8" borderId="1" xfId="1" applyNumberFormat="1" applyFont="1" applyFill="1" applyBorder="1"/>
    <xf numFmtId="172" fontId="9" fillId="8" borderId="1" xfId="1" applyNumberFormat="1" applyFont="1" applyFill="1" applyBorder="1"/>
    <xf numFmtId="170" fontId="9" fillId="16" borderId="1" xfId="1" applyNumberFormat="1" applyFont="1" applyFill="1" applyBorder="1"/>
    <xf numFmtId="170" fontId="11" fillId="2" borderId="1" xfId="1" applyNumberFormat="1" applyFont="1" applyFill="1" applyBorder="1"/>
    <xf numFmtId="170" fontId="9" fillId="2" borderId="1" xfId="1" applyNumberFormat="1" applyFont="1" applyFill="1" applyBorder="1"/>
    <xf numFmtId="169" fontId="6" fillId="0" borderId="0" xfId="0" applyNumberFormat="1" applyFont="1"/>
    <xf numFmtId="2" fontId="11" fillId="24" borderId="1" xfId="0" applyNumberFormat="1" applyFont="1" applyFill="1" applyBorder="1"/>
    <xf numFmtId="11" fontId="0" fillId="0" borderId="0" xfId="0" applyNumberFormat="1"/>
    <xf numFmtId="165" fontId="24" fillId="16" borderId="1" xfId="1" applyNumberFormat="1" applyFont="1" applyFill="1" applyBorder="1"/>
    <xf numFmtId="165" fontId="25" fillId="2" borderId="1" xfId="1" applyNumberFormat="1" applyFont="1" applyFill="1" applyBorder="1"/>
    <xf numFmtId="2" fontId="22" fillId="9" borderId="1" xfId="1" applyNumberFormat="1" applyFont="1" applyFill="1" applyBorder="1"/>
    <xf numFmtId="2" fontId="22" fillId="4" borderId="1" xfId="1" applyNumberFormat="1" applyFont="1" applyFill="1" applyBorder="1"/>
    <xf numFmtId="2" fontId="22" fillId="2" borderId="1" xfId="1" applyNumberFormat="1" applyFont="1" applyFill="1" applyBorder="1"/>
    <xf numFmtId="2" fontId="22" fillId="16" borderId="1" xfId="1" applyNumberFormat="1" applyFont="1" applyFill="1" applyBorder="1"/>
    <xf numFmtId="2" fontId="26" fillId="6" borderId="1" xfId="1" applyNumberFormat="1" applyFont="1" applyFill="1" applyBorder="1"/>
    <xf numFmtId="2" fontId="27" fillId="6" borderId="1" xfId="1" applyNumberFormat="1" applyFont="1" applyFill="1" applyBorder="1"/>
    <xf numFmtId="43" fontId="28" fillId="5" borderId="1" xfId="0" applyNumberFormat="1" applyFont="1" applyFill="1" applyBorder="1"/>
    <xf numFmtId="2" fontId="29" fillId="6" borderId="1" xfId="1" applyNumberFormat="1" applyFont="1" applyFill="1" applyBorder="1"/>
    <xf numFmtId="0" fontId="6" fillId="5" borderId="0" xfId="0" applyFont="1" applyFill="1"/>
    <xf numFmtId="169" fontId="6" fillId="5" borderId="1" xfId="0" applyNumberFormat="1" applyFont="1" applyFill="1" applyBorder="1"/>
    <xf numFmtId="168" fontId="7" fillId="16" borderId="1" xfId="0" applyNumberFormat="1" applyFont="1" applyFill="1" applyBorder="1"/>
    <xf numFmtId="11" fontId="7" fillId="16" borderId="1" xfId="1" applyNumberFormat="1" applyFont="1" applyFill="1" applyBorder="1"/>
    <xf numFmtId="0" fontId="7" fillId="16" borderId="1" xfId="0" applyFont="1" applyFill="1" applyBorder="1"/>
    <xf numFmtId="164" fontId="8" fillId="20" borderId="1" xfId="1" applyNumberFormat="1" applyFont="1" applyFill="1" applyBorder="1"/>
    <xf numFmtId="165" fontId="0" fillId="0" borderId="0" xfId="0" applyNumberFormat="1"/>
    <xf numFmtId="165" fontId="8" fillId="20" borderId="1" xfId="1" applyNumberFormat="1" applyFont="1" applyFill="1" applyBorder="1"/>
    <xf numFmtId="165" fontId="17" fillId="0" borderId="0" xfId="0" applyNumberFormat="1" applyFont="1"/>
    <xf numFmtId="0" fontId="6" fillId="8" borderId="1" xfId="0" applyFont="1" applyFill="1" applyBorder="1"/>
    <xf numFmtId="0" fontId="6" fillId="8" borderId="1" xfId="0" applyFont="1" applyFill="1" applyBorder="1" applyAlignment="1">
      <alignment horizontal="center" vertical="center"/>
    </xf>
    <xf numFmtId="165" fontId="31" fillId="2" borderId="1" xfId="1" applyNumberFormat="1" applyFont="1" applyFill="1" applyBorder="1"/>
    <xf numFmtId="169" fontId="17" fillId="0" borderId="0" xfId="0" applyNumberFormat="1" applyFont="1"/>
    <xf numFmtId="169" fontId="6" fillId="5" borderId="0" xfId="0" applyNumberFormat="1" applyFont="1" applyFill="1"/>
    <xf numFmtId="169" fontId="0" fillId="0" borderId="1" xfId="0" applyNumberFormat="1" applyBorder="1"/>
    <xf numFmtId="169" fontId="6" fillId="0" borderId="1" xfId="0" applyNumberFormat="1" applyFont="1" applyBorder="1"/>
    <xf numFmtId="0" fontId="10" fillId="18" borderId="1" xfId="0" applyFont="1" applyFill="1" applyBorder="1" applyAlignment="1">
      <alignment vertical="center"/>
    </xf>
    <xf numFmtId="0" fontId="0" fillId="18" borderId="1" xfId="0" applyFill="1" applyBorder="1"/>
    <xf numFmtId="0" fontId="6" fillId="18" borderId="1" xfId="0" applyFont="1" applyFill="1" applyBorder="1"/>
    <xf numFmtId="0" fontId="10" fillId="28" borderId="1" xfId="0" applyFont="1" applyFill="1" applyBorder="1" applyAlignment="1">
      <alignment vertical="center"/>
    </xf>
    <xf numFmtId="0" fontId="32" fillId="28" borderId="1" xfId="0" applyFont="1" applyFill="1" applyBorder="1"/>
    <xf numFmtId="43" fontId="32" fillId="28" borderId="1" xfId="1" applyFont="1" applyFill="1" applyBorder="1"/>
    <xf numFmtId="0" fontId="33" fillId="28" borderId="1" xfId="0" applyFont="1" applyFill="1" applyBorder="1"/>
    <xf numFmtId="2" fontId="30" fillId="18" borderId="1" xfId="1" applyNumberFormat="1" applyFont="1" applyFill="1" applyBorder="1" applyAlignment="1">
      <alignment vertical="center"/>
    </xf>
    <xf numFmtId="2" fontId="0" fillId="2" borderId="1" xfId="1" applyNumberFormat="1" applyFont="1" applyFill="1" applyBorder="1"/>
    <xf numFmtId="2" fontId="0" fillId="14" borderId="1" xfId="1" applyNumberFormat="1" applyFont="1" applyFill="1" applyBorder="1"/>
    <xf numFmtId="2" fontId="18" fillId="19" borderId="1" xfId="1" applyNumberFormat="1" applyFont="1" applyFill="1" applyBorder="1"/>
    <xf numFmtId="165" fontId="34" fillId="17" borderId="1" xfId="1" applyNumberFormat="1" applyFont="1" applyFill="1" applyBorder="1"/>
    <xf numFmtId="171" fontId="9" fillId="12" borderId="1" xfId="1" applyNumberFormat="1" applyFont="1" applyFill="1" applyBorder="1"/>
    <xf numFmtId="164" fontId="35" fillId="12" borderId="1" xfId="1" applyNumberFormat="1" applyFont="1" applyFill="1" applyBorder="1" applyAlignment="1">
      <alignment horizontal="left" vertical="center"/>
    </xf>
    <xf numFmtId="165" fontId="13" fillId="29" borderId="1" xfId="1" applyNumberFormat="1" applyFont="1" applyFill="1" applyBorder="1"/>
    <xf numFmtId="2" fontId="9" fillId="13" borderId="1" xfId="1" applyNumberFormat="1" applyFont="1" applyFill="1" applyBorder="1"/>
    <xf numFmtId="2" fontId="11" fillId="4" borderId="1" xfId="1" applyNumberFormat="1" applyFont="1" applyFill="1" applyBorder="1"/>
    <xf numFmtId="2" fontId="9" fillId="4" borderId="1" xfId="1" applyNumberFormat="1" applyFont="1" applyFill="1" applyBorder="1"/>
    <xf numFmtId="165" fontId="34" fillId="0" borderId="0" xfId="0" applyNumberFormat="1" applyFont="1"/>
    <xf numFmtId="165" fontId="34" fillId="0" borderId="0" xfId="1" applyNumberFormat="1" applyFont="1"/>
    <xf numFmtId="0" fontId="34" fillId="0" borderId="0" xfId="0" applyFont="1"/>
    <xf numFmtId="165" fontId="36" fillId="23" borderId="0" xfId="0" applyNumberFormat="1" applyFont="1" applyFill="1"/>
    <xf numFmtId="165" fontId="37" fillId="7" borderId="1" xfId="0" applyNumberFormat="1" applyFont="1" applyFill="1" applyBorder="1"/>
    <xf numFmtId="165" fontId="38" fillId="0" borderId="0" xfId="1" applyNumberFormat="1" applyFont="1" applyAlignment="1">
      <alignment horizontal="center" vertical="center"/>
    </xf>
    <xf numFmtId="165" fontId="39" fillId="0" borderId="0" xfId="1" applyNumberFormat="1" applyFont="1" applyAlignment="1">
      <alignment horizontal="center" vertical="center"/>
    </xf>
    <xf numFmtId="1" fontId="34" fillId="0" borderId="0" xfId="0" applyNumberFormat="1" applyFont="1"/>
    <xf numFmtId="165" fontId="34" fillId="10" borderId="1" xfId="1" applyNumberFormat="1" applyFont="1" applyFill="1" applyBorder="1"/>
    <xf numFmtId="2" fontId="40" fillId="7" borderId="1" xfId="1" applyNumberFormat="1" applyFont="1" applyFill="1" applyBorder="1"/>
    <xf numFmtId="165" fontId="34" fillId="8" borderId="1" xfId="1" applyNumberFormat="1" applyFont="1" applyFill="1" applyBorder="1"/>
    <xf numFmtId="1" fontId="41" fillId="0" borderId="0" xfId="0" applyNumberFormat="1" applyFont="1"/>
    <xf numFmtId="165" fontId="41" fillId="0" borderId="0" xfId="0" applyNumberFormat="1" applyFont="1"/>
    <xf numFmtId="2" fontId="42" fillId="7" borderId="1" xfId="1" applyNumberFormat="1" applyFont="1" applyFill="1" applyBorder="1"/>
    <xf numFmtId="165" fontId="36" fillId="7" borderId="1" xfId="1" applyNumberFormat="1" applyFont="1" applyFill="1" applyBorder="1"/>
    <xf numFmtId="165" fontId="43" fillId="7" borderId="1" xfId="1" applyNumberFormat="1" applyFont="1" applyFill="1" applyBorder="1"/>
    <xf numFmtId="165" fontId="44" fillId="6" borderId="0" xfId="0" applyNumberFormat="1" applyFont="1" applyFill="1"/>
    <xf numFmtId="165" fontId="45" fillId="0" borderId="0" xfId="1" applyNumberFormat="1" applyFont="1"/>
    <xf numFmtId="165" fontId="43" fillId="23" borderId="0" xfId="1" applyNumberFormat="1" applyFont="1" applyFill="1"/>
    <xf numFmtId="165" fontId="36" fillId="23" borderId="1" xfId="0" applyNumberFormat="1" applyFont="1" applyFill="1" applyBorder="1"/>
    <xf numFmtId="165" fontId="46" fillId="22" borderId="0" xfId="0" applyNumberFormat="1" applyFont="1" applyFill="1"/>
    <xf numFmtId="165" fontId="41" fillId="2" borderId="1" xfId="0" applyNumberFormat="1" applyFont="1" applyFill="1" applyBorder="1"/>
    <xf numFmtId="165" fontId="34" fillId="13" borderId="1" xfId="1" applyNumberFormat="1" applyFont="1" applyFill="1" applyBorder="1"/>
    <xf numFmtId="2" fontId="34" fillId="10" borderId="1" xfId="1" applyNumberFormat="1" applyFont="1" applyFill="1" applyBorder="1"/>
    <xf numFmtId="2" fontId="41" fillId="20" borderId="1" xfId="1" applyNumberFormat="1" applyFont="1" applyFill="1" applyBorder="1"/>
    <xf numFmtId="165" fontId="47" fillId="8" borderId="1" xfId="1" applyNumberFormat="1" applyFont="1" applyFill="1" applyBorder="1"/>
    <xf numFmtId="165" fontId="47" fillId="15" borderId="1" xfId="1" applyNumberFormat="1" applyFont="1" applyFill="1" applyBorder="1"/>
    <xf numFmtId="165" fontId="34" fillId="15" borderId="1" xfId="1" applyNumberFormat="1" applyFont="1" applyFill="1" applyBorder="1"/>
    <xf numFmtId="165" fontId="34" fillId="9" borderId="1" xfId="1" applyNumberFormat="1" applyFont="1" applyFill="1" applyBorder="1"/>
    <xf numFmtId="165" fontId="34" fillId="16" borderId="1" xfId="1" applyNumberFormat="1" applyFont="1" applyFill="1" applyBorder="1"/>
    <xf numFmtId="1" fontId="34" fillId="9" borderId="1" xfId="1" applyNumberFormat="1" applyFont="1" applyFill="1" applyBorder="1"/>
    <xf numFmtId="1" fontId="41" fillId="9" borderId="1" xfId="1" applyNumberFormat="1" applyFont="1" applyFill="1" applyBorder="1"/>
    <xf numFmtId="165" fontId="41" fillId="9" borderId="1" xfId="1" applyNumberFormat="1" applyFont="1" applyFill="1" applyBorder="1"/>
    <xf numFmtId="165" fontId="34" fillId="2" borderId="1" xfId="1" applyNumberFormat="1" applyFont="1" applyFill="1" applyBorder="1"/>
    <xf numFmtId="165" fontId="41" fillId="4" borderId="1" xfId="1" applyNumberFormat="1" applyFont="1" applyFill="1" applyBorder="1"/>
    <xf numFmtId="165" fontId="34" fillId="4" borderId="1" xfId="1" applyNumberFormat="1" applyFont="1" applyFill="1" applyBorder="1"/>
    <xf numFmtId="165" fontId="48" fillId="0" borderId="1" xfId="1" applyNumberFormat="1" applyFont="1" applyFill="1" applyBorder="1"/>
    <xf numFmtId="165" fontId="49" fillId="0" borderId="1" xfId="1" applyNumberFormat="1" applyFont="1" applyFill="1" applyBorder="1"/>
    <xf numFmtId="165" fontId="50" fillId="24" borderId="1" xfId="0" applyNumberFormat="1" applyFont="1" applyFill="1" applyBorder="1"/>
    <xf numFmtId="165" fontId="36" fillId="25" borderId="1" xfId="0" applyNumberFormat="1" applyFont="1" applyFill="1" applyBorder="1"/>
    <xf numFmtId="165" fontId="43" fillId="25" borderId="0" xfId="1" applyNumberFormat="1" applyFont="1" applyFill="1"/>
    <xf numFmtId="165" fontId="34" fillId="21" borderId="1" xfId="1" applyNumberFormat="1" applyFont="1" applyFill="1" applyBorder="1"/>
    <xf numFmtId="2" fontId="40" fillId="21" borderId="1" xfId="1" applyNumberFormat="1" applyFont="1" applyFill="1" applyBorder="1"/>
    <xf numFmtId="2" fontId="40" fillId="22" borderId="1" xfId="1" applyNumberFormat="1" applyFont="1" applyFill="1" applyBorder="1"/>
    <xf numFmtId="1" fontId="34" fillId="10" borderId="1" xfId="1" applyNumberFormat="1" applyFont="1" applyFill="1" applyBorder="1"/>
    <xf numFmtId="1" fontId="41" fillId="20" borderId="1" xfId="1" applyNumberFormat="1" applyFont="1" applyFill="1" applyBorder="1"/>
    <xf numFmtId="0" fontId="41" fillId="0" borderId="0" xfId="0" applyFont="1"/>
    <xf numFmtId="165" fontId="41" fillId="2" borderId="1" xfId="1" applyNumberFormat="1" applyFont="1" applyFill="1" applyBorder="1"/>
    <xf numFmtId="170" fontId="34" fillId="0" borderId="0" xfId="0" applyNumberFormat="1" applyFont="1"/>
    <xf numFmtId="165" fontId="34" fillId="10" borderId="0" xfId="1" applyNumberFormat="1" applyFont="1" applyFill="1" applyBorder="1"/>
    <xf numFmtId="1" fontId="34" fillId="16" borderId="1" xfId="1" applyNumberFormat="1" applyFont="1" applyFill="1" applyBorder="1"/>
    <xf numFmtId="165" fontId="41" fillId="14" borderId="1" xfId="0" applyNumberFormat="1" applyFont="1" applyFill="1" applyBorder="1"/>
    <xf numFmtId="165" fontId="39" fillId="0" borderId="1" xfId="1" applyNumberFormat="1" applyFont="1" applyBorder="1" applyAlignment="1">
      <alignment horizontal="center" vertical="center"/>
    </xf>
    <xf numFmtId="43" fontId="34" fillId="10" borderId="1" xfId="1" applyFont="1" applyFill="1" applyBorder="1"/>
    <xf numFmtId="165" fontId="41" fillId="20" borderId="1" xfId="1" applyNumberFormat="1" applyFont="1" applyFill="1" applyBorder="1"/>
    <xf numFmtId="1" fontId="41" fillId="2" borderId="1" xfId="1" applyNumberFormat="1" applyFont="1" applyFill="1" applyBorder="1"/>
    <xf numFmtId="1" fontId="34" fillId="2" borderId="1" xfId="1" applyNumberFormat="1" applyFont="1" applyFill="1" applyBorder="1"/>
    <xf numFmtId="43" fontId="41" fillId="20" borderId="1" xfId="1" applyFont="1" applyFill="1" applyBorder="1"/>
    <xf numFmtId="166" fontId="50" fillId="10" borderId="1" xfId="1" applyNumberFormat="1" applyFont="1" applyFill="1" applyBorder="1"/>
    <xf numFmtId="43" fontId="34" fillId="0" borderId="0" xfId="1" applyFont="1"/>
    <xf numFmtId="0" fontId="41" fillId="8" borderId="0" xfId="0" applyFont="1" applyFill="1"/>
    <xf numFmtId="164" fontId="34" fillId="0" borderId="0" xfId="1" applyNumberFormat="1" applyFont="1"/>
    <xf numFmtId="164" fontId="34" fillId="16" borderId="1" xfId="1" applyNumberFormat="1" applyFont="1" applyFill="1" applyBorder="1"/>
    <xf numFmtId="0" fontId="41" fillId="5" borderId="0" xfId="0" applyFont="1" applyFill="1"/>
    <xf numFmtId="1" fontId="41" fillId="5" borderId="0" xfId="0" applyNumberFormat="1" applyFont="1" applyFill="1"/>
    <xf numFmtId="0" fontId="34" fillId="5" borderId="0" xfId="0" applyFont="1" applyFill="1"/>
    <xf numFmtId="165" fontId="34" fillId="5" borderId="0" xfId="0" applyNumberFormat="1" applyFont="1" applyFill="1"/>
    <xf numFmtId="164" fontId="41" fillId="2" borderId="1" xfId="1" applyNumberFormat="1" applyFont="1" applyFill="1" applyBorder="1"/>
    <xf numFmtId="164" fontId="34" fillId="2" borderId="1" xfId="1" applyNumberFormat="1" applyFont="1" applyFill="1" applyBorder="1"/>
    <xf numFmtId="165" fontId="34" fillId="5" borderId="1" xfId="1" applyNumberFormat="1" applyFont="1" applyFill="1" applyBorder="1"/>
    <xf numFmtId="165" fontId="41" fillId="0" borderId="1" xfId="0" applyNumberFormat="1" applyFont="1" applyBorder="1"/>
    <xf numFmtId="2" fontId="34" fillId="5" borderId="0" xfId="0" applyNumberFormat="1" applyFont="1" applyFill="1"/>
    <xf numFmtId="2" fontId="34" fillId="0" borderId="0" xfId="0" applyNumberFormat="1" applyFont="1"/>
    <xf numFmtId="164" fontId="51" fillId="17" borderId="3" xfId="1" applyNumberFormat="1" applyFont="1" applyFill="1" applyBorder="1" applyAlignment="1">
      <alignment horizontal="left" vertical="center"/>
    </xf>
    <xf numFmtId="164" fontId="50" fillId="2" borderId="1" xfId="1" applyNumberFormat="1" applyFont="1" applyFill="1" applyBorder="1"/>
    <xf numFmtId="164" fontId="44" fillId="2" borderId="1" xfId="1" applyNumberFormat="1" applyFont="1" applyFill="1" applyBorder="1"/>
    <xf numFmtId="165" fontId="34" fillId="19" borderId="1" xfId="1" applyNumberFormat="1" applyFont="1" applyFill="1" applyBorder="1"/>
    <xf numFmtId="165" fontId="42" fillId="6" borderId="1" xfId="0" applyNumberFormat="1" applyFont="1" applyFill="1" applyBorder="1"/>
    <xf numFmtId="164" fontId="44" fillId="16" borderId="1" xfId="1" applyNumberFormat="1" applyFont="1" applyFill="1" applyBorder="1"/>
    <xf numFmtId="165" fontId="34" fillId="3" borderId="1" xfId="1" applyNumberFormat="1" applyFont="1" applyFill="1" applyBorder="1"/>
    <xf numFmtId="165" fontId="40" fillId="21" borderId="1" xfId="1" applyNumberFormat="1" applyFont="1" applyFill="1" applyBorder="1"/>
    <xf numFmtId="165" fontId="40" fillId="22" borderId="1" xfId="1" applyNumberFormat="1" applyFont="1" applyFill="1" applyBorder="1"/>
    <xf numFmtId="164" fontId="52" fillId="11" borderId="3" xfId="1" applyNumberFormat="1" applyFont="1" applyFill="1" applyBorder="1" applyAlignment="1">
      <alignment horizontal="left" vertical="center"/>
    </xf>
    <xf numFmtId="165" fontId="41" fillId="8" borderId="1" xfId="0" applyNumberFormat="1" applyFont="1" applyFill="1" applyBorder="1"/>
    <xf numFmtId="164" fontId="52" fillId="30" borderId="3" xfId="1" applyNumberFormat="1" applyFont="1" applyFill="1" applyBorder="1" applyAlignment="1">
      <alignment horizontal="left" vertical="center"/>
    </xf>
    <xf numFmtId="165" fontId="34" fillId="30" borderId="1" xfId="1" applyNumberFormat="1" applyFont="1" applyFill="1" applyBorder="1"/>
    <xf numFmtId="165" fontId="41" fillId="4" borderId="1" xfId="0" applyNumberFormat="1" applyFont="1" applyFill="1" applyBorder="1"/>
    <xf numFmtId="164" fontId="52" fillId="31" borderId="3" xfId="1" applyNumberFormat="1" applyFont="1" applyFill="1" applyBorder="1" applyAlignment="1">
      <alignment horizontal="left" vertical="center"/>
    </xf>
    <xf numFmtId="165" fontId="43" fillId="6" borderId="1" xfId="1" applyNumberFormat="1" applyFont="1" applyFill="1" applyBorder="1" applyAlignment="1">
      <alignment horizontal="center" vertical="center" wrapText="1"/>
    </xf>
    <xf numFmtId="165" fontId="38" fillId="0" borderId="0" xfId="1" applyNumberFormat="1" applyFont="1" applyAlignment="1">
      <alignment horizontal="center" vertical="center" wrapText="1"/>
    </xf>
    <xf numFmtId="0" fontId="34" fillId="0" borderId="0" xfId="0" applyFont="1" applyAlignment="1">
      <alignment horizontal="center" vertical="center" wrapText="1"/>
    </xf>
    <xf numFmtId="165" fontId="43" fillId="6" borderId="1" xfId="1" applyNumberFormat="1" applyFont="1" applyFill="1" applyBorder="1"/>
    <xf numFmtId="9" fontId="34" fillId="8" borderId="1" xfId="5" applyFont="1" applyFill="1" applyBorder="1" applyAlignment="1">
      <alignment horizontal="center" vertical="center"/>
    </xf>
    <xf numFmtId="43" fontId="34" fillId="8" borderId="1" xfId="1" applyFont="1" applyFill="1" applyBorder="1" applyAlignment="1">
      <alignment horizontal="center" vertical="center"/>
    </xf>
    <xf numFmtId="165" fontId="36" fillId="6" borderId="0" xfId="1" applyNumberFormat="1" applyFont="1" applyFill="1" applyAlignment="1">
      <alignment horizontal="center" vertical="center"/>
    </xf>
    <xf numFmtId="165" fontId="36" fillId="6" borderId="0" xfId="0" applyNumberFormat="1" applyFont="1" applyFill="1"/>
    <xf numFmtId="11" fontId="7" fillId="24" borderId="1" xfId="1" applyNumberFormat="1" applyFont="1" applyFill="1" applyBorder="1"/>
    <xf numFmtId="2" fontId="15" fillId="23" borderId="1" xfId="1" applyNumberFormat="1" applyFont="1" applyFill="1" applyBorder="1"/>
    <xf numFmtId="2" fontId="15" fillId="4" borderId="1" xfId="1" applyNumberFormat="1" applyFont="1" applyFill="1" applyBorder="1"/>
    <xf numFmtId="165" fontId="13" fillId="32" borderId="1" xfId="1" applyNumberFormat="1" applyFont="1" applyFill="1" applyBorder="1"/>
    <xf numFmtId="165" fontId="13" fillId="18" borderId="1" xfId="1" applyNumberFormat="1" applyFont="1" applyFill="1" applyBorder="1"/>
    <xf numFmtId="165" fontId="44" fillId="17" borderId="1" xfId="1" applyNumberFormat="1" applyFont="1" applyFill="1" applyBorder="1"/>
    <xf numFmtId="2" fontId="9" fillId="23" borderId="1" xfId="1" applyNumberFormat="1" applyFont="1" applyFill="1" applyBorder="1"/>
    <xf numFmtId="165" fontId="13" fillId="23" borderId="1" xfId="1" applyNumberFormat="1" applyFont="1" applyFill="1" applyBorder="1"/>
    <xf numFmtId="0" fontId="0" fillId="23" borderId="0" xfId="0" applyFill="1"/>
    <xf numFmtId="0" fontId="6" fillId="23" borderId="0" xfId="0" applyFont="1" applyFill="1"/>
    <xf numFmtId="2" fontId="54" fillId="10" borderId="1" xfId="1" applyNumberFormat="1" applyFont="1" applyFill="1" applyBorder="1" applyAlignment="1">
      <alignment horizontal="right" vertical="center"/>
    </xf>
    <xf numFmtId="2" fontId="54" fillId="8" borderId="1" xfId="1" applyNumberFormat="1" applyFont="1" applyFill="1" applyBorder="1" applyAlignment="1">
      <alignment horizontal="right" vertical="center"/>
    </xf>
    <xf numFmtId="43" fontId="55" fillId="8" borderId="1" xfId="1" applyFont="1" applyFill="1" applyBorder="1" applyAlignment="1">
      <alignment horizontal="left" vertical="center"/>
    </xf>
    <xf numFmtId="43" fontId="55" fillId="10" borderId="1" xfId="1" applyFont="1" applyFill="1" applyBorder="1" applyAlignment="1">
      <alignment horizontal="left" vertical="center"/>
    </xf>
    <xf numFmtId="0" fontId="53" fillId="0" borderId="0" xfId="0" applyFont="1"/>
    <xf numFmtId="0" fontId="56" fillId="33" borderId="1" xfId="0" applyFont="1" applyFill="1" applyBorder="1" applyAlignment="1">
      <alignment horizontal="center" vertical="center" wrapText="1"/>
    </xf>
    <xf numFmtId="1" fontId="56" fillId="33" borderId="1" xfId="1" applyNumberFormat="1" applyFont="1" applyFill="1" applyBorder="1" applyAlignment="1">
      <alignment horizontal="center" vertical="center" wrapText="1"/>
    </xf>
    <xf numFmtId="2" fontId="56" fillId="33" borderId="1" xfId="1" applyNumberFormat="1" applyFont="1" applyFill="1" applyBorder="1" applyAlignment="1">
      <alignment horizontal="center" vertical="center" wrapText="1"/>
    </xf>
    <xf numFmtId="164" fontId="57" fillId="33" borderId="1" xfId="1" applyNumberFormat="1" applyFont="1" applyFill="1" applyBorder="1" applyAlignment="1">
      <alignment horizontal="center" vertical="center" wrapText="1"/>
    </xf>
    <xf numFmtId="43" fontId="56" fillId="33" borderId="1" xfId="1" applyFont="1" applyFill="1" applyBorder="1" applyAlignment="1">
      <alignment horizontal="center" vertical="center" wrapText="1"/>
    </xf>
    <xf numFmtId="0" fontId="56" fillId="34" borderId="0" xfId="0" applyFont="1" applyFill="1" applyAlignment="1">
      <alignment horizontal="center" vertical="center" wrapText="1"/>
    </xf>
    <xf numFmtId="0" fontId="58" fillId="20" borderId="1" xfId="0" applyFont="1" applyFill="1" applyBorder="1" applyAlignment="1">
      <alignment horizontal="center" vertical="center"/>
    </xf>
    <xf numFmtId="49" fontId="58" fillId="20" borderId="1" xfId="1" applyNumberFormat="1" applyFont="1" applyFill="1" applyBorder="1" applyAlignment="1">
      <alignment horizontal="center" vertical="center"/>
    </xf>
    <xf numFmtId="164" fontId="58" fillId="20" borderId="1" xfId="1" applyNumberFormat="1" applyFont="1" applyFill="1" applyBorder="1" applyAlignment="1">
      <alignment vertical="center"/>
    </xf>
    <xf numFmtId="2" fontId="56" fillId="35" borderId="1" xfId="1" applyNumberFormat="1" applyFont="1" applyFill="1" applyBorder="1" applyAlignment="1">
      <alignment horizontal="left" vertical="center"/>
    </xf>
    <xf numFmtId="164" fontId="57" fillId="35" borderId="1" xfId="1" applyNumberFormat="1" applyFont="1" applyFill="1" applyBorder="1" applyAlignment="1">
      <alignment horizontal="left" vertical="center"/>
    </xf>
    <xf numFmtId="2" fontId="56" fillId="35" borderId="1" xfId="1" applyNumberFormat="1" applyFont="1" applyFill="1" applyBorder="1" applyAlignment="1">
      <alignment horizontal="right" vertical="center"/>
    </xf>
    <xf numFmtId="2" fontId="57" fillId="35" borderId="1" xfId="1" applyNumberFormat="1" applyFont="1" applyFill="1" applyBorder="1" applyAlignment="1">
      <alignment horizontal="right" vertical="center"/>
    </xf>
    <xf numFmtId="2" fontId="59" fillId="35" borderId="1" xfId="1" applyNumberFormat="1" applyFont="1" applyFill="1" applyBorder="1" applyAlignment="1">
      <alignment horizontal="right" vertical="center"/>
    </xf>
    <xf numFmtId="0" fontId="58" fillId="0" borderId="1" xfId="0" applyFont="1" applyBorder="1" applyAlignment="1">
      <alignment horizontal="center" vertical="center"/>
    </xf>
    <xf numFmtId="0" fontId="58" fillId="0" borderId="0" xfId="0" applyFont="1" applyAlignment="1">
      <alignment vertical="center"/>
    </xf>
    <xf numFmtId="2" fontId="55" fillId="36" borderId="1" xfId="0" applyNumberFormat="1" applyFont="1" applyFill="1" applyBorder="1" applyAlignment="1">
      <alignment horizontal="left" vertical="center"/>
    </xf>
    <xf numFmtId="164" fontId="54" fillId="36" borderId="1" xfId="1" applyNumberFormat="1" applyFont="1" applyFill="1" applyBorder="1" applyAlignment="1">
      <alignment horizontal="left" vertical="center"/>
    </xf>
    <xf numFmtId="2" fontId="55" fillId="36" borderId="1" xfId="1" applyNumberFormat="1" applyFont="1" applyFill="1" applyBorder="1" applyAlignment="1">
      <alignment horizontal="right" vertical="center"/>
    </xf>
    <xf numFmtId="2" fontId="54" fillId="36" borderId="1" xfId="1" applyNumberFormat="1" applyFont="1" applyFill="1" applyBorder="1" applyAlignment="1">
      <alignment horizontal="right" vertical="center"/>
    </xf>
    <xf numFmtId="2" fontId="59" fillId="36" borderId="1" xfId="1" applyNumberFormat="1" applyFont="1" applyFill="1" applyBorder="1" applyAlignment="1">
      <alignment horizontal="right" vertical="center"/>
    </xf>
    <xf numFmtId="0" fontId="54" fillId="35" borderId="1" xfId="0" applyFont="1" applyFill="1" applyBorder="1" applyAlignment="1">
      <alignment horizontal="center" vertical="center"/>
    </xf>
    <xf numFmtId="0" fontId="55" fillId="36" borderId="1" xfId="0" applyFont="1" applyFill="1" applyBorder="1" applyAlignment="1">
      <alignment horizontal="left" vertical="center"/>
    </xf>
    <xf numFmtId="164" fontId="58" fillId="36" borderId="1" xfId="1" applyNumberFormat="1" applyFont="1" applyFill="1" applyBorder="1" applyAlignment="1">
      <alignment horizontal="left" vertical="center"/>
    </xf>
    <xf numFmtId="2" fontId="60" fillId="13" borderId="1" xfId="1" applyNumberFormat="1" applyFont="1" applyFill="1" applyBorder="1" applyAlignment="1">
      <alignment horizontal="left" vertical="center"/>
    </xf>
    <xf numFmtId="164" fontId="58" fillId="13" borderId="1" xfId="1" applyNumberFormat="1" applyFont="1" applyFill="1" applyBorder="1" applyAlignment="1">
      <alignment horizontal="left" vertical="center"/>
    </xf>
    <xf numFmtId="2" fontId="55" fillId="37" borderId="1" xfId="0" applyNumberFormat="1" applyFont="1" applyFill="1" applyBorder="1" applyAlignment="1">
      <alignment horizontal="left" vertical="center"/>
    </xf>
    <xf numFmtId="164" fontId="58" fillId="37" borderId="1" xfId="1" applyNumberFormat="1" applyFont="1" applyFill="1" applyBorder="1" applyAlignment="1">
      <alignment horizontal="left" vertical="center"/>
    </xf>
    <xf numFmtId="2" fontId="60" fillId="37" borderId="1" xfId="1" applyNumberFormat="1" applyFont="1" applyFill="1" applyBorder="1" applyAlignment="1">
      <alignment horizontal="right" vertical="center"/>
    </xf>
    <xf numFmtId="2" fontId="58" fillId="37" borderId="1" xfId="1" applyNumberFormat="1" applyFont="1" applyFill="1" applyBorder="1" applyAlignment="1">
      <alignment horizontal="right" vertical="center"/>
    </xf>
    <xf numFmtId="43" fontId="59" fillId="37" borderId="1" xfId="1" applyFont="1" applyFill="1" applyBorder="1" applyAlignment="1">
      <alignment horizontal="right" vertical="center"/>
    </xf>
    <xf numFmtId="0" fontId="60" fillId="0" borderId="0" xfId="0" applyFont="1" applyAlignment="1">
      <alignment vertical="center"/>
    </xf>
    <xf numFmtId="0" fontId="55" fillId="15" borderId="1" xfId="0" applyFont="1" applyFill="1" applyBorder="1" applyAlignment="1">
      <alignment horizontal="left" vertical="center"/>
    </xf>
    <xf numFmtId="164" fontId="58" fillId="15" borderId="1" xfId="1" applyNumberFormat="1" applyFont="1" applyFill="1" applyBorder="1" applyAlignment="1">
      <alignment horizontal="left" vertical="center"/>
    </xf>
    <xf numFmtId="2" fontId="60" fillId="15" borderId="1" xfId="1" applyNumberFormat="1" applyFont="1" applyFill="1" applyBorder="1" applyAlignment="1">
      <alignment horizontal="right" vertical="center"/>
    </xf>
    <xf numFmtId="2" fontId="58" fillId="15" borderId="1" xfId="1" applyNumberFormat="1" applyFont="1" applyFill="1" applyBorder="1" applyAlignment="1">
      <alignment horizontal="right" vertical="center"/>
    </xf>
    <xf numFmtId="43" fontId="59" fillId="15" borderId="1" xfId="1" applyFont="1" applyFill="1" applyBorder="1" applyAlignment="1">
      <alignment horizontal="right" vertical="center"/>
    </xf>
    <xf numFmtId="0" fontId="55" fillId="38" borderId="1" xfId="0" applyFont="1" applyFill="1" applyBorder="1" applyAlignment="1">
      <alignment horizontal="left" vertical="center"/>
    </xf>
    <xf numFmtId="2" fontId="62" fillId="38" borderId="1" xfId="1" applyNumberFormat="1" applyFont="1" applyFill="1" applyBorder="1" applyAlignment="1">
      <alignment horizontal="right" vertical="center"/>
    </xf>
    <xf numFmtId="43" fontId="59" fillId="38" borderId="1" xfId="1" applyFont="1" applyFill="1" applyBorder="1" applyAlignment="1">
      <alignment horizontal="right" vertical="center"/>
    </xf>
    <xf numFmtId="164" fontId="58" fillId="38" borderId="1" xfId="1" applyNumberFormat="1" applyFont="1" applyFill="1" applyBorder="1" applyAlignment="1">
      <alignment horizontal="left" vertical="center"/>
    </xf>
    <xf numFmtId="2" fontId="58" fillId="38" borderId="1" xfId="1" applyNumberFormat="1" applyFont="1" applyFill="1" applyBorder="1" applyAlignment="1">
      <alignment horizontal="right" vertical="center"/>
    </xf>
    <xf numFmtId="2" fontId="60" fillId="38" borderId="1" xfId="1" applyNumberFormat="1" applyFont="1" applyFill="1" applyBorder="1" applyAlignment="1">
      <alignment horizontal="right" vertical="center"/>
    </xf>
    <xf numFmtId="0" fontId="55" fillId="9" borderId="1" xfId="0" applyFont="1" applyFill="1" applyBorder="1" applyAlignment="1">
      <alignment horizontal="left" vertical="center"/>
    </xf>
    <xf numFmtId="2" fontId="58" fillId="9" borderId="1" xfId="1" applyNumberFormat="1" applyFont="1" applyFill="1" applyBorder="1" applyAlignment="1">
      <alignment horizontal="right" vertical="center"/>
    </xf>
    <xf numFmtId="43" fontId="59" fillId="9" borderId="1" xfId="1" applyFont="1" applyFill="1" applyBorder="1" applyAlignment="1">
      <alignment horizontal="right" vertical="center"/>
    </xf>
    <xf numFmtId="164" fontId="58" fillId="9" borderId="1" xfId="1" applyNumberFormat="1" applyFont="1" applyFill="1" applyBorder="1" applyAlignment="1">
      <alignment horizontal="left" vertical="center"/>
    </xf>
    <xf numFmtId="0" fontId="55" fillId="24" borderId="1" xfId="0" applyFont="1" applyFill="1" applyBorder="1" applyAlignment="1">
      <alignment horizontal="left" vertical="center"/>
    </xf>
    <xf numFmtId="2" fontId="58" fillId="24" borderId="1" xfId="1" applyNumberFormat="1" applyFont="1" applyFill="1" applyBorder="1" applyAlignment="1">
      <alignment horizontal="right" vertical="center"/>
    </xf>
    <xf numFmtId="43" fontId="59" fillId="24" borderId="1" xfId="1" applyFont="1" applyFill="1" applyBorder="1" applyAlignment="1">
      <alignment horizontal="right" vertical="center"/>
    </xf>
    <xf numFmtId="164" fontId="58" fillId="24" borderId="1" xfId="1" applyNumberFormat="1" applyFont="1" applyFill="1" applyBorder="1" applyAlignment="1">
      <alignment horizontal="left" vertical="center"/>
    </xf>
    <xf numFmtId="2" fontId="60" fillId="24" borderId="1" xfId="1" applyNumberFormat="1" applyFont="1" applyFill="1" applyBorder="1" applyAlignment="1">
      <alignment horizontal="right" vertical="center"/>
    </xf>
    <xf numFmtId="0" fontId="55" fillId="21" borderId="1" xfId="0" applyFont="1" applyFill="1" applyBorder="1" applyAlignment="1">
      <alignment horizontal="left" vertical="center"/>
    </xf>
    <xf numFmtId="164" fontId="58" fillId="21" borderId="1" xfId="1" applyNumberFormat="1" applyFont="1" applyFill="1" applyBorder="1" applyAlignment="1">
      <alignment horizontal="left" vertical="center"/>
    </xf>
    <xf numFmtId="2" fontId="60" fillId="21" borderId="1" xfId="1" applyNumberFormat="1" applyFont="1" applyFill="1" applyBorder="1" applyAlignment="1">
      <alignment horizontal="right" vertical="center"/>
    </xf>
    <xf numFmtId="2" fontId="58" fillId="21" borderId="1" xfId="1" applyNumberFormat="1" applyFont="1" applyFill="1" applyBorder="1" applyAlignment="1">
      <alignment horizontal="right" vertical="center"/>
    </xf>
    <xf numFmtId="43" fontId="59" fillId="21" borderId="1" xfId="1" applyFont="1" applyFill="1" applyBorder="1" applyAlignment="1">
      <alignment horizontal="right" vertical="center"/>
    </xf>
    <xf numFmtId="0" fontId="55" fillId="22" borderId="1" xfId="0" applyFont="1" applyFill="1" applyBorder="1" applyAlignment="1">
      <alignment horizontal="left" vertical="center"/>
    </xf>
    <xf numFmtId="2" fontId="62" fillId="22" borderId="1" xfId="1" applyNumberFormat="1" applyFont="1" applyFill="1" applyBorder="1" applyAlignment="1">
      <alignment horizontal="right" vertical="center"/>
    </xf>
    <xf numFmtId="43" fontId="59" fillId="22" borderId="1" xfId="1" applyFont="1" applyFill="1" applyBorder="1" applyAlignment="1">
      <alignment horizontal="right" vertical="center"/>
    </xf>
    <xf numFmtId="164" fontId="58" fillId="22" borderId="1" xfId="1" applyNumberFormat="1" applyFont="1" applyFill="1" applyBorder="1" applyAlignment="1">
      <alignment horizontal="left" vertical="center"/>
    </xf>
    <xf numFmtId="2" fontId="58" fillId="22" borderId="1" xfId="1" applyNumberFormat="1" applyFont="1" applyFill="1" applyBorder="1" applyAlignment="1">
      <alignment horizontal="right" vertical="center"/>
    </xf>
    <xf numFmtId="0" fontId="55" fillId="39" borderId="1" xfId="0" applyFont="1" applyFill="1" applyBorder="1" applyAlignment="1">
      <alignment horizontal="left" vertical="center"/>
    </xf>
    <xf numFmtId="164" fontId="58" fillId="39" borderId="1" xfId="1" applyNumberFormat="1" applyFont="1" applyFill="1" applyBorder="1" applyAlignment="1">
      <alignment horizontal="left" vertical="center"/>
    </xf>
    <xf numFmtId="2" fontId="58" fillId="39" borderId="1" xfId="1" applyNumberFormat="1" applyFont="1" applyFill="1" applyBorder="1" applyAlignment="1">
      <alignment horizontal="right" vertical="center"/>
    </xf>
    <xf numFmtId="43" fontId="59" fillId="39" borderId="1" xfId="1" applyFont="1" applyFill="1" applyBorder="1" applyAlignment="1">
      <alignment horizontal="right" vertical="center"/>
    </xf>
    <xf numFmtId="0" fontId="55" fillId="34" borderId="1" xfId="0" applyFont="1" applyFill="1" applyBorder="1" applyAlignment="1">
      <alignment horizontal="left" vertical="center"/>
    </xf>
    <xf numFmtId="2" fontId="58" fillId="34" borderId="1" xfId="1" applyNumberFormat="1" applyFont="1" applyFill="1" applyBorder="1" applyAlignment="1">
      <alignment horizontal="right" vertical="center"/>
    </xf>
    <xf numFmtId="43" fontId="59" fillId="34" borderId="1" xfId="1" applyFont="1" applyFill="1" applyBorder="1" applyAlignment="1">
      <alignment horizontal="right" vertical="center"/>
    </xf>
    <xf numFmtId="0" fontId="55" fillId="40" borderId="1" xfId="0" applyFont="1" applyFill="1" applyBorder="1" applyAlignment="1">
      <alignment horizontal="left" vertical="center"/>
    </xf>
    <xf numFmtId="164" fontId="58" fillId="40" borderId="1" xfId="1" applyNumberFormat="1" applyFont="1" applyFill="1" applyBorder="1" applyAlignment="1">
      <alignment horizontal="left" vertical="center"/>
    </xf>
    <xf numFmtId="2" fontId="58" fillId="40" borderId="1" xfId="1" applyNumberFormat="1" applyFont="1" applyFill="1" applyBorder="1" applyAlignment="1">
      <alignment horizontal="right" vertical="center"/>
    </xf>
    <xf numFmtId="43" fontId="59" fillId="40" borderId="1" xfId="1" applyFont="1" applyFill="1" applyBorder="1" applyAlignment="1">
      <alignment horizontal="right" vertical="center"/>
    </xf>
    <xf numFmtId="2" fontId="60" fillId="40" borderId="1" xfId="1" applyNumberFormat="1" applyFont="1" applyFill="1" applyBorder="1" applyAlignment="1">
      <alignment horizontal="right" vertical="center"/>
    </xf>
    <xf numFmtId="0" fontId="55" fillId="41" borderId="1" xfId="0" applyFont="1" applyFill="1" applyBorder="1" applyAlignment="1">
      <alignment horizontal="left" vertical="center"/>
    </xf>
    <xf numFmtId="164" fontId="58" fillId="41" borderId="1" xfId="1" applyNumberFormat="1" applyFont="1" applyFill="1" applyBorder="1" applyAlignment="1">
      <alignment horizontal="left" vertical="center"/>
    </xf>
    <xf numFmtId="2" fontId="60" fillId="41" borderId="1" xfId="1" applyNumberFormat="1" applyFont="1" applyFill="1" applyBorder="1" applyAlignment="1">
      <alignment horizontal="right" vertical="center"/>
    </xf>
    <xf numFmtId="2" fontId="58" fillId="41" borderId="1" xfId="1" applyNumberFormat="1" applyFont="1" applyFill="1" applyBorder="1" applyAlignment="1">
      <alignment horizontal="right" vertical="center"/>
    </xf>
    <xf numFmtId="43" fontId="59" fillId="41" borderId="1" xfId="1" applyFont="1" applyFill="1" applyBorder="1" applyAlignment="1">
      <alignment horizontal="right" vertical="center"/>
    </xf>
    <xf numFmtId="0" fontId="55" fillId="35" borderId="1" xfId="0" applyFont="1" applyFill="1" applyBorder="1" applyAlignment="1">
      <alignment horizontal="left" vertical="center"/>
    </xf>
    <xf numFmtId="164" fontId="58" fillId="35" borderId="1" xfId="1" applyNumberFormat="1" applyFont="1" applyFill="1" applyBorder="1" applyAlignment="1">
      <alignment horizontal="left" vertical="center"/>
    </xf>
    <xf numFmtId="2" fontId="60" fillId="35" borderId="1" xfId="1" applyNumberFormat="1" applyFont="1" applyFill="1" applyBorder="1" applyAlignment="1">
      <alignment horizontal="right" vertical="center"/>
    </xf>
    <xf numFmtId="2" fontId="58" fillId="35" borderId="1" xfId="1" applyNumberFormat="1" applyFont="1" applyFill="1" applyBorder="1" applyAlignment="1">
      <alignment horizontal="right" vertical="center"/>
    </xf>
    <xf numFmtId="43" fontId="59" fillId="35" borderId="1" xfId="1" applyFont="1" applyFill="1" applyBorder="1" applyAlignment="1">
      <alignment horizontal="right" vertical="center"/>
    </xf>
    <xf numFmtId="0" fontId="55" fillId="28" borderId="1" xfId="0" applyFont="1" applyFill="1" applyBorder="1" applyAlignment="1">
      <alignment horizontal="left" vertical="center"/>
    </xf>
    <xf numFmtId="164" fontId="58" fillId="28" borderId="1" xfId="1" applyNumberFormat="1" applyFont="1" applyFill="1" applyBorder="1" applyAlignment="1">
      <alignment horizontal="left" vertical="center"/>
    </xf>
    <xf numFmtId="2" fontId="60" fillId="28" borderId="1" xfId="1" applyNumberFormat="1" applyFont="1" applyFill="1" applyBorder="1" applyAlignment="1">
      <alignment horizontal="right" vertical="center"/>
    </xf>
    <xf numFmtId="2" fontId="58" fillId="28" borderId="1" xfId="1" applyNumberFormat="1" applyFont="1" applyFill="1" applyBorder="1" applyAlignment="1">
      <alignment horizontal="right" vertical="center"/>
    </xf>
    <xf numFmtId="43" fontId="59" fillId="28" borderId="1" xfId="1" applyFont="1" applyFill="1" applyBorder="1" applyAlignment="1">
      <alignment horizontal="right" vertical="center"/>
    </xf>
    <xf numFmtId="0" fontId="55" fillId="11" borderId="1" xfId="0" applyFont="1" applyFill="1" applyBorder="1" applyAlignment="1">
      <alignment horizontal="left" vertical="center"/>
    </xf>
    <xf numFmtId="164" fontId="54" fillId="11" borderId="1" xfId="1" applyNumberFormat="1" applyFont="1" applyFill="1" applyBorder="1" applyAlignment="1">
      <alignment horizontal="left" vertical="center"/>
    </xf>
    <xf numFmtId="2" fontId="54" fillId="11" borderId="1" xfId="1" applyNumberFormat="1" applyFont="1" applyFill="1" applyBorder="1" applyAlignment="1">
      <alignment horizontal="right" vertical="center"/>
    </xf>
    <xf numFmtId="43" fontId="65" fillId="11" borderId="1" xfId="1" applyFont="1" applyFill="1" applyBorder="1" applyAlignment="1">
      <alignment horizontal="right" vertical="center"/>
    </xf>
    <xf numFmtId="2" fontId="61" fillId="37" borderId="1" xfId="1" applyNumberFormat="1" applyFont="1" applyFill="1" applyBorder="1" applyAlignment="1">
      <alignment horizontal="right" vertical="center"/>
    </xf>
    <xf numFmtId="2" fontId="62" fillId="37" borderId="1" xfId="1" applyNumberFormat="1" applyFont="1" applyFill="1" applyBorder="1" applyAlignment="1">
      <alignment horizontal="right" vertical="center"/>
    </xf>
    <xf numFmtId="2" fontId="60" fillId="9" borderId="1" xfId="1" applyNumberFormat="1" applyFont="1" applyFill="1" applyBorder="1" applyAlignment="1">
      <alignment horizontal="right" vertical="center"/>
    </xf>
    <xf numFmtId="0" fontId="55" fillId="42" borderId="1" xfId="0" applyFont="1" applyFill="1" applyBorder="1" applyAlignment="1">
      <alignment horizontal="left" vertical="center"/>
    </xf>
    <xf numFmtId="164" fontId="58" fillId="42" borderId="1" xfId="1" applyNumberFormat="1" applyFont="1" applyFill="1" applyBorder="1" applyAlignment="1">
      <alignment horizontal="left" vertical="center"/>
    </xf>
    <xf numFmtId="2" fontId="60" fillId="42" borderId="1" xfId="1" applyNumberFormat="1" applyFont="1" applyFill="1" applyBorder="1" applyAlignment="1">
      <alignment horizontal="right" vertical="center"/>
    </xf>
    <xf numFmtId="2" fontId="58" fillId="42" borderId="1" xfId="1" applyNumberFormat="1" applyFont="1" applyFill="1" applyBorder="1" applyAlignment="1">
      <alignment horizontal="right" vertical="center"/>
    </xf>
    <xf numFmtId="43" fontId="59" fillId="42" borderId="1" xfId="1" applyFont="1" applyFill="1" applyBorder="1" applyAlignment="1">
      <alignment horizontal="right" vertical="center"/>
    </xf>
    <xf numFmtId="2" fontId="60" fillId="36" borderId="1" xfId="1" applyNumberFormat="1" applyFont="1" applyFill="1" applyBorder="1" applyAlignment="1">
      <alignment horizontal="right" vertical="center"/>
    </xf>
    <xf numFmtId="2" fontId="58" fillId="36" borderId="1" xfId="1" applyNumberFormat="1" applyFont="1" applyFill="1" applyBorder="1" applyAlignment="1">
      <alignment horizontal="right" vertical="center"/>
    </xf>
    <xf numFmtId="43" fontId="59" fillId="36" borderId="1" xfId="1" applyFont="1" applyFill="1" applyBorder="1" applyAlignment="1">
      <alignment horizontal="right" vertical="center"/>
    </xf>
    <xf numFmtId="0" fontId="55" fillId="43" borderId="1" xfId="0" applyFont="1" applyFill="1" applyBorder="1" applyAlignment="1">
      <alignment horizontal="left" vertical="center"/>
    </xf>
    <xf numFmtId="164" fontId="58" fillId="43" borderId="1" xfId="1" applyNumberFormat="1" applyFont="1" applyFill="1" applyBorder="1" applyAlignment="1">
      <alignment horizontal="left" vertical="center"/>
    </xf>
    <xf numFmtId="2" fontId="60" fillId="43" borderId="1" xfId="1" applyNumberFormat="1" applyFont="1" applyFill="1" applyBorder="1" applyAlignment="1">
      <alignment horizontal="right" vertical="center"/>
    </xf>
    <xf numFmtId="2" fontId="58" fillId="43" borderId="1" xfId="1" applyNumberFormat="1" applyFont="1" applyFill="1" applyBorder="1" applyAlignment="1">
      <alignment horizontal="right" vertical="center"/>
    </xf>
    <xf numFmtId="43" fontId="59" fillId="43" borderId="1" xfId="1" applyFont="1" applyFill="1" applyBorder="1" applyAlignment="1">
      <alignment horizontal="right" vertical="center"/>
    </xf>
    <xf numFmtId="2" fontId="62" fillId="21" borderId="1" xfId="1" applyNumberFormat="1" applyFont="1" applyFill="1" applyBorder="1" applyAlignment="1">
      <alignment horizontal="right" vertical="center"/>
    </xf>
    <xf numFmtId="2" fontId="65" fillId="36" borderId="1" xfId="1" applyNumberFormat="1" applyFont="1" applyFill="1" applyBorder="1" applyAlignment="1">
      <alignment horizontal="right" vertical="center"/>
    </xf>
    <xf numFmtId="2" fontId="68" fillId="35" borderId="1" xfId="1" applyNumberFormat="1" applyFont="1" applyFill="1" applyBorder="1" applyAlignment="1">
      <alignment horizontal="right" vertical="center"/>
    </xf>
    <xf numFmtId="2" fontId="69" fillId="35" borderId="1" xfId="1" applyNumberFormat="1" applyFont="1" applyFill="1" applyBorder="1" applyAlignment="1">
      <alignment horizontal="right" vertical="center"/>
    </xf>
    <xf numFmtId="43" fontId="70" fillId="35" borderId="1" xfId="1" applyFont="1" applyFill="1" applyBorder="1" applyAlignment="1">
      <alignment horizontal="right" vertical="center"/>
    </xf>
    <xf numFmtId="0" fontId="55" fillId="27" borderId="1" xfId="0" applyFont="1" applyFill="1" applyBorder="1" applyAlignment="1">
      <alignment horizontal="left" vertical="center"/>
    </xf>
    <xf numFmtId="164" fontId="54" fillId="27" borderId="1" xfId="1" applyNumberFormat="1" applyFont="1" applyFill="1" applyBorder="1" applyAlignment="1">
      <alignment horizontal="left" vertical="center"/>
    </xf>
    <xf numFmtId="2" fontId="54" fillId="27" borderId="1" xfId="1" applyNumberFormat="1" applyFont="1" applyFill="1" applyBorder="1" applyAlignment="1">
      <alignment horizontal="right" vertical="center"/>
    </xf>
    <xf numFmtId="43" fontId="65" fillId="27" borderId="1" xfId="1" applyFont="1" applyFill="1" applyBorder="1" applyAlignment="1">
      <alignment horizontal="right" vertical="center"/>
    </xf>
    <xf numFmtId="2" fontId="55" fillId="26" borderId="1" xfId="1" applyNumberFormat="1" applyFont="1" applyFill="1" applyBorder="1" applyAlignment="1">
      <alignment horizontal="left" vertical="center"/>
    </xf>
    <xf numFmtId="164" fontId="54" fillId="26" borderId="1" xfId="1" applyNumberFormat="1" applyFont="1" applyFill="1" applyBorder="1" applyAlignment="1">
      <alignment horizontal="left" vertical="center"/>
    </xf>
    <xf numFmtId="2" fontId="54" fillId="26" borderId="1" xfId="1" applyNumberFormat="1" applyFont="1" applyFill="1" applyBorder="1" applyAlignment="1">
      <alignment horizontal="right" vertical="center"/>
    </xf>
    <xf numFmtId="43" fontId="65" fillId="26" borderId="1" xfId="1" applyFont="1" applyFill="1" applyBorder="1" applyAlignment="1">
      <alignment horizontal="right" vertical="center"/>
    </xf>
    <xf numFmtId="2" fontId="54" fillId="37" borderId="1" xfId="1" applyNumberFormat="1" applyFont="1" applyFill="1" applyBorder="1" applyAlignment="1">
      <alignment horizontal="right" vertical="center"/>
    </xf>
    <xf numFmtId="2" fontId="55" fillId="9" borderId="1" xfId="1" applyNumberFormat="1" applyFont="1" applyFill="1" applyBorder="1" applyAlignment="1">
      <alignment horizontal="right" vertical="center"/>
    </xf>
    <xf numFmtId="2" fontId="54" fillId="9" borderId="1" xfId="1" applyNumberFormat="1" applyFont="1" applyFill="1" applyBorder="1" applyAlignment="1">
      <alignment horizontal="right" vertical="center"/>
    </xf>
    <xf numFmtId="0" fontId="55" fillId="44" borderId="1" xfId="0" applyFont="1" applyFill="1" applyBorder="1" applyAlignment="1">
      <alignment horizontal="left" vertical="center"/>
    </xf>
    <xf numFmtId="164" fontId="54" fillId="44" borderId="1" xfId="1" applyNumberFormat="1" applyFont="1" applyFill="1" applyBorder="1" applyAlignment="1">
      <alignment horizontal="left" vertical="center"/>
    </xf>
    <xf numFmtId="2" fontId="54" fillId="44" borderId="1" xfId="1" applyNumberFormat="1" applyFont="1" applyFill="1" applyBorder="1" applyAlignment="1">
      <alignment horizontal="right" vertical="center"/>
    </xf>
    <xf numFmtId="43" fontId="65" fillId="44" borderId="1" xfId="1" applyFont="1" applyFill="1" applyBorder="1" applyAlignment="1">
      <alignment horizontal="right" vertical="center"/>
    </xf>
    <xf numFmtId="0" fontId="55" fillId="31" borderId="1" xfId="0" applyFont="1" applyFill="1" applyBorder="1" applyAlignment="1">
      <alignment horizontal="left" vertical="center"/>
    </xf>
    <xf numFmtId="164" fontId="54" fillId="31" borderId="1" xfId="1" applyNumberFormat="1" applyFont="1" applyFill="1" applyBorder="1" applyAlignment="1">
      <alignment horizontal="left" vertical="center"/>
    </xf>
    <xf numFmtId="2" fontId="54" fillId="31" borderId="1" xfId="1" applyNumberFormat="1" applyFont="1" applyFill="1" applyBorder="1" applyAlignment="1">
      <alignment horizontal="right" vertical="center"/>
    </xf>
    <xf numFmtId="43" fontId="65" fillId="31" borderId="1" xfId="1" applyFont="1" applyFill="1" applyBorder="1" applyAlignment="1">
      <alignment horizontal="right" vertical="center"/>
    </xf>
    <xf numFmtId="2" fontId="55" fillId="35" borderId="1" xfId="1" applyNumberFormat="1" applyFont="1" applyFill="1" applyBorder="1" applyAlignment="1">
      <alignment horizontal="right" vertical="center"/>
    </xf>
    <xf numFmtId="2" fontId="54" fillId="35" borderId="1" xfId="1" applyNumberFormat="1" applyFont="1" applyFill="1" applyBorder="1" applyAlignment="1">
      <alignment horizontal="right" vertical="center"/>
    </xf>
    <xf numFmtId="2" fontId="62" fillId="9" borderId="1" xfId="1" applyNumberFormat="1" applyFont="1" applyFill="1" applyBorder="1" applyAlignment="1">
      <alignment horizontal="right" vertical="center"/>
    </xf>
    <xf numFmtId="43" fontId="71" fillId="9" borderId="1" xfId="1" applyFont="1" applyFill="1" applyBorder="1" applyAlignment="1">
      <alignment horizontal="right" vertical="center"/>
    </xf>
    <xf numFmtId="164" fontId="54" fillId="13" borderId="1" xfId="1" applyNumberFormat="1" applyFont="1" applyFill="1" applyBorder="1" applyAlignment="1">
      <alignment horizontal="left" vertical="center"/>
    </xf>
    <xf numFmtId="164" fontId="54" fillId="37" borderId="1" xfId="1" applyNumberFormat="1" applyFont="1" applyFill="1" applyBorder="1" applyAlignment="1">
      <alignment horizontal="left" vertical="center"/>
    </xf>
    <xf numFmtId="2" fontId="55" fillId="37" borderId="1" xfId="1" applyNumberFormat="1" applyFont="1" applyFill="1" applyBorder="1" applyAlignment="1">
      <alignment horizontal="right" vertical="center"/>
    </xf>
    <xf numFmtId="43" fontId="65" fillId="37" borderId="1" xfId="1" applyFont="1" applyFill="1" applyBorder="1" applyAlignment="1">
      <alignment horizontal="right" vertical="center"/>
    </xf>
    <xf numFmtId="164" fontId="54" fillId="15" borderId="1" xfId="1" applyNumberFormat="1" applyFont="1" applyFill="1" applyBorder="1" applyAlignment="1">
      <alignment horizontal="left" vertical="center"/>
    </xf>
    <xf numFmtId="2" fontId="55" fillId="15" borderId="1" xfId="1" applyNumberFormat="1" applyFont="1" applyFill="1" applyBorder="1" applyAlignment="1">
      <alignment horizontal="right" vertical="center"/>
    </xf>
    <xf numFmtId="2" fontId="54" fillId="15" borderId="1" xfId="1" applyNumberFormat="1" applyFont="1" applyFill="1" applyBorder="1" applyAlignment="1">
      <alignment horizontal="right" vertical="center"/>
    </xf>
    <xf numFmtId="43" fontId="65" fillId="15" borderId="1" xfId="1" applyFont="1" applyFill="1" applyBorder="1" applyAlignment="1">
      <alignment horizontal="right" vertical="center"/>
    </xf>
    <xf numFmtId="2" fontId="54" fillId="38" borderId="1" xfId="1" applyNumberFormat="1" applyFont="1" applyFill="1" applyBorder="1" applyAlignment="1">
      <alignment horizontal="right" vertical="center"/>
    </xf>
    <xf numFmtId="43" fontId="65" fillId="38" borderId="1" xfId="1" applyFont="1" applyFill="1" applyBorder="1" applyAlignment="1">
      <alignment horizontal="right" vertical="center"/>
    </xf>
    <xf numFmtId="164" fontId="54" fillId="38" borderId="1" xfId="1" applyNumberFormat="1" applyFont="1" applyFill="1" applyBorder="1" applyAlignment="1">
      <alignment horizontal="left" vertical="center"/>
    </xf>
    <xf numFmtId="2" fontId="55" fillId="38" borderId="1" xfId="1" applyNumberFormat="1" applyFont="1" applyFill="1" applyBorder="1" applyAlignment="1">
      <alignment horizontal="right" vertical="center"/>
    </xf>
    <xf numFmtId="43" fontId="65" fillId="9" borderId="1" xfId="1" applyFont="1" applyFill="1" applyBorder="1" applyAlignment="1">
      <alignment horizontal="right" vertical="center"/>
    </xf>
    <xf numFmtId="164" fontId="54" fillId="9" borderId="1" xfId="1" applyNumberFormat="1" applyFont="1" applyFill="1" applyBorder="1" applyAlignment="1">
      <alignment horizontal="left" vertical="center"/>
    </xf>
    <xf numFmtId="2" fontId="54" fillId="24" borderId="1" xfId="1" applyNumberFormat="1" applyFont="1" applyFill="1" applyBorder="1" applyAlignment="1">
      <alignment horizontal="right" vertical="center"/>
    </xf>
    <xf numFmtId="43" fontId="65" fillId="24" borderId="1" xfId="1" applyFont="1" applyFill="1" applyBorder="1" applyAlignment="1">
      <alignment horizontal="right" vertical="center"/>
    </xf>
    <xf numFmtId="164" fontId="54" fillId="24" borderId="1" xfId="1" applyNumberFormat="1" applyFont="1" applyFill="1" applyBorder="1" applyAlignment="1">
      <alignment horizontal="left" vertical="center"/>
    </xf>
    <xf numFmtId="2" fontId="55" fillId="24" borderId="1" xfId="1" applyNumberFormat="1" applyFont="1" applyFill="1" applyBorder="1" applyAlignment="1">
      <alignment horizontal="right" vertical="center"/>
    </xf>
    <xf numFmtId="164" fontId="54" fillId="21" borderId="1" xfId="1" applyNumberFormat="1" applyFont="1" applyFill="1" applyBorder="1" applyAlignment="1">
      <alignment horizontal="left" vertical="center"/>
    </xf>
    <xf numFmtId="2" fontId="55" fillId="21" borderId="1" xfId="1" applyNumberFormat="1" applyFont="1" applyFill="1" applyBorder="1" applyAlignment="1">
      <alignment horizontal="right" vertical="center"/>
    </xf>
    <xf numFmtId="2" fontId="54" fillId="21" borderId="1" xfId="1" applyNumberFormat="1" applyFont="1" applyFill="1" applyBorder="1" applyAlignment="1">
      <alignment horizontal="right" vertical="center"/>
    </xf>
    <xf numFmtId="43" fontId="65" fillId="21" borderId="1" xfId="1" applyFont="1" applyFill="1" applyBorder="1" applyAlignment="1">
      <alignment horizontal="right" vertical="center"/>
    </xf>
    <xf numFmtId="2" fontId="54" fillId="22" borderId="1" xfId="1" applyNumberFormat="1" applyFont="1" applyFill="1" applyBorder="1" applyAlignment="1">
      <alignment horizontal="right" vertical="center"/>
    </xf>
    <xf numFmtId="43" fontId="65" fillId="22" borderId="1" xfId="1" applyFont="1" applyFill="1" applyBorder="1" applyAlignment="1">
      <alignment horizontal="right" vertical="center"/>
    </xf>
    <xf numFmtId="164" fontId="54" fillId="22" borderId="1" xfId="1" applyNumberFormat="1" applyFont="1" applyFill="1" applyBorder="1" applyAlignment="1">
      <alignment horizontal="left" vertical="center"/>
    </xf>
    <xf numFmtId="164" fontId="54" fillId="39" borderId="1" xfId="1" applyNumberFormat="1" applyFont="1" applyFill="1" applyBorder="1" applyAlignment="1">
      <alignment horizontal="left" vertical="center"/>
    </xf>
    <xf numFmtId="2" fontId="54" fillId="39" borderId="1" xfId="1" applyNumberFormat="1" applyFont="1" applyFill="1" applyBorder="1" applyAlignment="1">
      <alignment horizontal="right" vertical="center"/>
    </xf>
    <xf numFmtId="43" fontId="65" fillId="39" borderId="1" xfId="1" applyFont="1" applyFill="1" applyBorder="1" applyAlignment="1">
      <alignment horizontal="right" vertical="center"/>
    </xf>
    <xf numFmtId="2" fontId="54" fillId="34" borderId="1" xfId="1" applyNumberFormat="1" applyFont="1" applyFill="1" applyBorder="1" applyAlignment="1">
      <alignment horizontal="right" vertical="center"/>
    </xf>
    <xf numFmtId="43" fontId="65" fillId="34" borderId="1" xfId="1" applyFont="1" applyFill="1" applyBorder="1" applyAlignment="1">
      <alignment horizontal="right" vertical="center"/>
    </xf>
    <xf numFmtId="164" fontId="54" fillId="40" borderId="1" xfId="1" applyNumberFormat="1" applyFont="1" applyFill="1" applyBorder="1" applyAlignment="1">
      <alignment horizontal="left" vertical="center"/>
    </xf>
    <xf numFmtId="2" fontId="54" fillId="40" borderId="1" xfId="1" applyNumberFormat="1" applyFont="1" applyFill="1" applyBorder="1" applyAlignment="1">
      <alignment horizontal="right" vertical="center"/>
    </xf>
    <xf numFmtId="43" fontId="65" fillId="40" borderId="1" xfId="1" applyFont="1" applyFill="1" applyBorder="1" applyAlignment="1">
      <alignment horizontal="right" vertical="center"/>
    </xf>
    <xf numFmtId="2" fontId="55" fillId="40" borderId="1" xfId="1" applyNumberFormat="1" applyFont="1" applyFill="1" applyBorder="1" applyAlignment="1">
      <alignment horizontal="right" vertical="center"/>
    </xf>
    <xf numFmtId="164" fontId="54" fillId="41" borderId="1" xfId="1" applyNumberFormat="1" applyFont="1" applyFill="1" applyBorder="1" applyAlignment="1">
      <alignment horizontal="left" vertical="center"/>
    </xf>
    <xf numFmtId="2" fontId="55" fillId="41" borderId="1" xfId="1" applyNumberFormat="1" applyFont="1" applyFill="1" applyBorder="1" applyAlignment="1">
      <alignment horizontal="right" vertical="center"/>
    </xf>
    <xf numFmtId="2" fontId="54" fillId="41" borderId="1" xfId="1" applyNumberFormat="1" applyFont="1" applyFill="1" applyBorder="1" applyAlignment="1">
      <alignment horizontal="right" vertical="center"/>
    </xf>
    <xf numFmtId="43" fontId="65" fillId="41" borderId="1" xfId="1" applyFont="1" applyFill="1" applyBorder="1" applyAlignment="1">
      <alignment horizontal="right" vertical="center"/>
    </xf>
    <xf numFmtId="164" fontId="54" fillId="35" borderId="1" xfId="1" applyNumberFormat="1" applyFont="1" applyFill="1" applyBorder="1" applyAlignment="1">
      <alignment horizontal="left" vertical="center"/>
    </xf>
    <xf numFmtId="43" fontId="65" fillId="35" borderId="1" xfId="1" applyFont="1" applyFill="1" applyBorder="1" applyAlignment="1">
      <alignment horizontal="right" vertical="center"/>
    </xf>
    <xf numFmtId="164" fontId="54" fillId="28" borderId="1" xfId="1" applyNumberFormat="1" applyFont="1" applyFill="1" applyBorder="1" applyAlignment="1">
      <alignment horizontal="left" vertical="center"/>
    </xf>
    <xf numFmtId="2" fontId="55" fillId="28" borderId="1" xfId="1" applyNumberFormat="1" applyFont="1" applyFill="1" applyBorder="1" applyAlignment="1">
      <alignment horizontal="right" vertical="center"/>
    </xf>
    <xf numFmtId="2" fontId="54" fillId="28" borderId="1" xfId="1" applyNumberFormat="1" applyFont="1" applyFill="1" applyBorder="1" applyAlignment="1">
      <alignment horizontal="right" vertical="center"/>
    </xf>
    <xf numFmtId="43" fontId="65" fillId="28" borderId="1" xfId="1" applyFont="1" applyFill="1" applyBorder="1" applyAlignment="1">
      <alignment horizontal="right" vertical="center"/>
    </xf>
    <xf numFmtId="2" fontId="73" fillId="15" borderId="1" xfId="1" applyNumberFormat="1" applyFont="1" applyFill="1" applyBorder="1" applyAlignment="1">
      <alignment horizontal="right" vertical="center"/>
    </xf>
    <xf numFmtId="2" fontId="62" fillId="24" borderId="1" xfId="1" applyNumberFormat="1" applyFont="1" applyFill="1" applyBorder="1" applyAlignment="1">
      <alignment horizontal="right" vertical="center"/>
    </xf>
    <xf numFmtId="2" fontId="73" fillId="35" borderId="1" xfId="1" applyNumberFormat="1" applyFont="1" applyFill="1" applyBorder="1" applyAlignment="1">
      <alignment horizontal="right" vertical="center"/>
    </xf>
    <xf numFmtId="2" fontId="72" fillId="35" borderId="1" xfId="1" applyNumberFormat="1" applyFont="1" applyFill="1" applyBorder="1" applyAlignment="1">
      <alignment horizontal="right" vertical="center"/>
    </xf>
    <xf numFmtId="0" fontId="58" fillId="0" borderId="1" xfId="0" applyFont="1" applyBorder="1" applyAlignment="1">
      <alignment vertical="center"/>
    </xf>
    <xf numFmtId="164" fontId="58" fillId="0" borderId="1" xfId="1" applyNumberFormat="1" applyFont="1" applyFill="1" applyBorder="1" applyAlignment="1">
      <alignment vertical="center"/>
    </xf>
    <xf numFmtId="2" fontId="60" fillId="0" borderId="1" xfId="1" applyNumberFormat="1" applyFont="1" applyFill="1" applyBorder="1" applyAlignment="1">
      <alignment horizontal="left" vertical="center"/>
    </xf>
    <xf numFmtId="164" fontId="58" fillId="0" borderId="1" xfId="1" applyNumberFormat="1" applyFont="1" applyBorder="1" applyAlignment="1">
      <alignment horizontal="left" vertical="center"/>
    </xf>
    <xf numFmtId="2" fontId="60" fillId="0" borderId="1" xfId="1" applyNumberFormat="1" applyFont="1" applyBorder="1" applyAlignment="1">
      <alignment horizontal="right" vertical="center"/>
    </xf>
    <xf numFmtId="43" fontId="59" fillId="0" borderId="1" xfId="1" applyFont="1" applyBorder="1" applyAlignment="1">
      <alignment horizontal="right" vertical="center"/>
    </xf>
    <xf numFmtId="2" fontId="70" fillId="35" borderId="1" xfId="1" applyNumberFormat="1" applyFont="1" applyFill="1" applyBorder="1" applyAlignment="1">
      <alignment horizontal="right" vertical="center"/>
    </xf>
    <xf numFmtId="2" fontId="55" fillId="13" borderId="1" xfId="1" applyNumberFormat="1" applyFont="1" applyFill="1" applyBorder="1" applyAlignment="1">
      <alignment horizontal="left" vertical="center"/>
    </xf>
    <xf numFmtId="43" fontId="60" fillId="43" borderId="1" xfId="1" applyFont="1" applyFill="1" applyBorder="1" applyAlignment="1">
      <alignment horizontal="left" vertical="center"/>
    </xf>
    <xf numFmtId="43" fontId="58" fillId="43" borderId="1" xfId="1" applyFont="1" applyFill="1" applyBorder="1" applyAlignment="1">
      <alignment horizontal="right" vertical="center"/>
    </xf>
    <xf numFmtId="43" fontId="58" fillId="43" borderId="1" xfId="1" applyFont="1" applyFill="1" applyBorder="1" applyAlignment="1">
      <alignment horizontal="left" vertical="center"/>
    </xf>
    <xf numFmtId="43" fontId="60" fillId="43" borderId="1" xfId="1" applyFont="1" applyFill="1" applyBorder="1" applyAlignment="1">
      <alignment horizontal="right" vertical="center"/>
    </xf>
    <xf numFmtId="2" fontId="58" fillId="0" borderId="1" xfId="1" applyNumberFormat="1" applyFont="1" applyBorder="1" applyAlignment="1">
      <alignment horizontal="right" vertical="center"/>
    </xf>
    <xf numFmtId="164" fontId="54" fillId="34" borderId="1" xfId="1" applyNumberFormat="1" applyFont="1" applyFill="1" applyBorder="1" applyAlignment="1">
      <alignment horizontal="left" vertical="center"/>
    </xf>
    <xf numFmtId="164" fontId="58" fillId="34" borderId="1" xfId="1" applyNumberFormat="1" applyFont="1" applyFill="1" applyBorder="1" applyAlignment="1">
      <alignment horizontal="left" vertical="center"/>
    </xf>
    <xf numFmtId="2" fontId="60" fillId="22" borderId="1" xfId="1" applyNumberFormat="1" applyFont="1" applyFill="1" applyBorder="1" applyAlignment="1">
      <alignment horizontal="right" vertical="center"/>
    </xf>
    <xf numFmtId="2" fontId="61" fillId="21" borderId="1" xfId="1" applyNumberFormat="1" applyFont="1" applyFill="1" applyBorder="1" applyAlignment="1">
      <alignment horizontal="right" vertical="center"/>
    </xf>
    <xf numFmtId="0" fontId="0" fillId="0" borderId="1" xfId="0" applyBorder="1" applyAlignment="1">
      <alignment horizontal="right"/>
    </xf>
    <xf numFmtId="2" fontId="60" fillId="39" borderId="1" xfId="1" applyNumberFormat="1" applyFont="1" applyFill="1" applyBorder="1" applyAlignment="1">
      <alignment horizontal="right" vertical="center"/>
    </xf>
    <xf numFmtId="2" fontId="60" fillId="34" borderId="1" xfId="1" applyNumberFormat="1" applyFont="1" applyFill="1" applyBorder="1" applyAlignment="1">
      <alignment horizontal="right" vertical="center"/>
    </xf>
    <xf numFmtId="2" fontId="60" fillId="13" borderId="1" xfId="1" applyNumberFormat="1" applyFont="1" applyFill="1" applyBorder="1" applyAlignment="1">
      <alignment horizontal="right" vertical="center"/>
    </xf>
    <xf numFmtId="2" fontId="55" fillId="34" borderId="1" xfId="1" applyNumberFormat="1" applyFont="1" applyFill="1" applyBorder="1" applyAlignment="1">
      <alignment horizontal="right" vertical="center"/>
    </xf>
    <xf numFmtId="2" fontId="55" fillId="13" borderId="1" xfId="1" applyNumberFormat="1" applyFont="1" applyFill="1" applyBorder="1" applyAlignment="1">
      <alignment horizontal="right" vertical="center"/>
    </xf>
    <xf numFmtId="2" fontId="0" fillId="0" borderId="1" xfId="0" applyNumberFormat="1" applyBorder="1" applyAlignment="1">
      <alignment horizontal="right"/>
    </xf>
    <xf numFmtId="2" fontId="55" fillId="44" borderId="1" xfId="1" applyNumberFormat="1" applyFont="1" applyFill="1" applyBorder="1" applyAlignment="1">
      <alignment horizontal="right" vertical="center"/>
    </xf>
    <xf numFmtId="2" fontId="61" fillId="13" borderId="1" xfId="1" applyNumberFormat="1" applyFont="1" applyFill="1" applyBorder="1" applyAlignment="1">
      <alignment horizontal="right" vertical="center"/>
    </xf>
    <xf numFmtId="2" fontId="72" fillId="38" borderId="1" xfId="1" applyNumberFormat="1" applyFont="1" applyFill="1" applyBorder="1" applyAlignment="1">
      <alignment horizontal="right" vertical="center"/>
    </xf>
    <xf numFmtId="2" fontId="61" fillId="9" borderId="1" xfId="1" applyNumberFormat="1" applyFont="1" applyFill="1" applyBorder="1" applyAlignment="1">
      <alignment horizontal="right" vertical="center"/>
    </xf>
    <xf numFmtId="2" fontId="63" fillId="37" borderId="1" xfId="1" applyNumberFormat="1" applyFont="1" applyFill="1" applyBorder="1" applyAlignment="1">
      <alignment horizontal="right" vertical="center"/>
    </xf>
    <xf numFmtId="2" fontId="55" fillId="22" borderId="1" xfId="1" applyNumberFormat="1" applyFont="1" applyFill="1" applyBorder="1" applyAlignment="1">
      <alignment horizontal="right" vertical="center"/>
    </xf>
    <xf numFmtId="2" fontId="61" fillId="24" borderId="1" xfId="1" applyNumberFormat="1" applyFont="1" applyFill="1" applyBorder="1" applyAlignment="1">
      <alignment horizontal="right" vertical="center"/>
    </xf>
    <xf numFmtId="2" fontId="54" fillId="13" borderId="1" xfId="1" applyNumberFormat="1" applyFont="1" applyFill="1" applyBorder="1" applyAlignment="1">
      <alignment horizontal="right" vertical="center"/>
    </xf>
    <xf numFmtId="2" fontId="58" fillId="13" borderId="1" xfId="1" applyNumberFormat="1" applyFont="1" applyFill="1" applyBorder="1" applyAlignment="1">
      <alignment horizontal="right" vertical="center"/>
    </xf>
    <xf numFmtId="2" fontId="62" fillId="13" borderId="1" xfId="1" applyNumberFormat="1" applyFont="1" applyFill="1" applyBorder="1" applyAlignment="1">
      <alignment horizontal="right" vertical="center"/>
    </xf>
    <xf numFmtId="2" fontId="64" fillId="37" borderId="1" xfId="1" applyNumberFormat="1" applyFont="1" applyFill="1" applyBorder="1" applyAlignment="1">
      <alignment horizontal="right" vertical="center"/>
    </xf>
    <xf numFmtId="43" fontId="65" fillId="36" borderId="1" xfId="1" applyFont="1" applyFill="1" applyBorder="1" applyAlignment="1">
      <alignment horizontal="right" vertical="center"/>
    </xf>
    <xf numFmtId="0" fontId="67" fillId="0" borderId="1" xfId="0" applyFont="1" applyBorder="1" applyAlignment="1">
      <alignment horizontal="right"/>
    </xf>
    <xf numFmtId="43" fontId="59" fillId="13" borderId="1" xfId="1" applyFont="1" applyFill="1" applyBorder="1" applyAlignment="1">
      <alignment horizontal="right" vertical="center"/>
    </xf>
    <xf numFmtId="43" fontId="65" fillId="13" borderId="1" xfId="1" applyFont="1" applyFill="1" applyBorder="1" applyAlignment="1">
      <alignment horizontal="right" vertical="center"/>
    </xf>
    <xf numFmtId="0" fontId="67" fillId="0" borderId="1" xfId="0" applyFont="1" applyBorder="1"/>
    <xf numFmtId="2" fontId="61" fillId="22" borderId="1" xfId="1" applyNumberFormat="1" applyFont="1" applyFill="1" applyBorder="1" applyAlignment="1">
      <alignment horizontal="right" vertical="center"/>
    </xf>
    <xf numFmtId="2" fontId="72" fillId="15" borderId="1" xfId="1" applyNumberFormat="1" applyFont="1" applyFill="1" applyBorder="1" applyAlignment="1">
      <alignment horizontal="right" vertical="center"/>
    </xf>
    <xf numFmtId="2" fontId="72" fillId="37" borderId="1" xfId="1" applyNumberFormat="1" applyFont="1" applyFill="1" applyBorder="1" applyAlignment="1">
      <alignment horizontal="right" vertical="center"/>
    </xf>
    <xf numFmtId="2" fontId="55" fillId="39" borderId="1" xfId="1" applyNumberFormat="1" applyFont="1" applyFill="1" applyBorder="1" applyAlignment="1">
      <alignment horizontal="right" vertical="center"/>
    </xf>
    <xf numFmtId="0" fontId="66" fillId="0" borderId="1" xfId="0" applyFont="1" applyBorder="1"/>
    <xf numFmtId="2" fontId="61" fillId="38" borderId="1" xfId="1" applyNumberFormat="1" applyFont="1" applyFill="1" applyBorder="1" applyAlignment="1">
      <alignment horizontal="right" vertical="center"/>
    </xf>
  </cellXfs>
  <cellStyles count="6">
    <cellStyle name="Comma" xfId="1" builtinId="3"/>
    <cellStyle name="Normal" xfId="0" builtinId="0"/>
    <cellStyle name="Normal 2" xfId="4" xr:uid="{11FAAD60-0AF5-4675-976A-B281C24428F3}"/>
    <cellStyle name="Normal 3" xfId="2" xr:uid="{89C4BAAE-D428-446D-A097-4872DF93F6DA}"/>
    <cellStyle name="Normal 34" xfId="3" xr:uid="{40437387-F942-440D-8B11-B22807F843DE}"/>
    <cellStyle name="Percent" xfId="5" builtinId="5"/>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5050"/>
      <color rgb="FF33CCFF"/>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4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externalLink" Target="externalLinks/externalLink14.xml"/><Relationship Id="rId138" Type="http://schemas.openxmlformats.org/officeDocument/2006/relationships/externalLink" Target="externalLinks/externalLink68.xml"/><Relationship Id="rId107" Type="http://schemas.openxmlformats.org/officeDocument/2006/relationships/externalLink" Target="externalLinks/externalLink3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externalLink" Target="externalLinks/externalLink4.xml"/><Relationship Id="rId128" Type="http://schemas.openxmlformats.org/officeDocument/2006/relationships/externalLink" Target="externalLinks/externalLink58.xml"/><Relationship Id="rId5" Type="http://schemas.openxmlformats.org/officeDocument/2006/relationships/worksheet" Target="worksheets/sheet5.xml"/><Relationship Id="rId90" Type="http://schemas.openxmlformats.org/officeDocument/2006/relationships/externalLink" Target="externalLinks/externalLink20.xml"/><Relationship Id="rId95" Type="http://schemas.openxmlformats.org/officeDocument/2006/relationships/externalLink" Target="externalLinks/externalLink2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externalLink" Target="externalLinks/externalLink43.xml"/><Relationship Id="rId118" Type="http://schemas.openxmlformats.org/officeDocument/2006/relationships/externalLink" Target="externalLinks/externalLink48.xml"/><Relationship Id="rId134" Type="http://schemas.openxmlformats.org/officeDocument/2006/relationships/externalLink" Target="externalLinks/externalLink64.xml"/><Relationship Id="rId139" Type="http://schemas.openxmlformats.org/officeDocument/2006/relationships/externalLink" Target="externalLinks/externalLink69.xml"/><Relationship Id="rId80" Type="http://schemas.openxmlformats.org/officeDocument/2006/relationships/externalLink" Target="externalLinks/externalLink10.xml"/><Relationship Id="rId85" Type="http://schemas.openxmlformats.org/officeDocument/2006/relationships/externalLink" Target="externalLinks/externalLink1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33.xml"/><Relationship Id="rId108" Type="http://schemas.openxmlformats.org/officeDocument/2006/relationships/externalLink" Target="externalLinks/externalLink38.xml"/><Relationship Id="rId124" Type="http://schemas.openxmlformats.org/officeDocument/2006/relationships/externalLink" Target="externalLinks/externalLink54.xml"/><Relationship Id="rId129" Type="http://schemas.openxmlformats.org/officeDocument/2006/relationships/externalLink" Target="externalLinks/externalLink5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externalLink" Target="externalLinks/externalLink5.xml"/><Relationship Id="rId91" Type="http://schemas.openxmlformats.org/officeDocument/2006/relationships/externalLink" Target="externalLinks/externalLink21.xml"/><Relationship Id="rId96" Type="http://schemas.openxmlformats.org/officeDocument/2006/relationships/externalLink" Target="externalLinks/externalLink26.xml"/><Relationship Id="rId140" Type="http://schemas.openxmlformats.org/officeDocument/2006/relationships/externalLink" Target="externalLinks/externalLink70.xml"/><Relationship Id="rId14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externalLink" Target="externalLinks/externalLink44.xml"/><Relationship Id="rId119" Type="http://schemas.openxmlformats.org/officeDocument/2006/relationships/externalLink" Target="externalLinks/externalLink4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externalLink" Target="externalLinks/externalLink11.xml"/><Relationship Id="rId86" Type="http://schemas.openxmlformats.org/officeDocument/2006/relationships/externalLink" Target="externalLinks/externalLink16.xml"/><Relationship Id="rId130" Type="http://schemas.openxmlformats.org/officeDocument/2006/relationships/externalLink" Target="externalLinks/externalLink60.xml"/><Relationship Id="rId135" Type="http://schemas.openxmlformats.org/officeDocument/2006/relationships/externalLink" Target="externalLinks/externalLink65.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6.xml"/><Relationship Id="rId97" Type="http://schemas.openxmlformats.org/officeDocument/2006/relationships/externalLink" Target="externalLinks/externalLink27.xml"/><Relationship Id="rId104" Type="http://schemas.openxmlformats.org/officeDocument/2006/relationships/externalLink" Target="externalLinks/externalLink34.xml"/><Relationship Id="rId120" Type="http://schemas.openxmlformats.org/officeDocument/2006/relationships/externalLink" Target="externalLinks/externalLink50.xml"/><Relationship Id="rId125" Type="http://schemas.openxmlformats.org/officeDocument/2006/relationships/externalLink" Target="externalLinks/externalLink55.xml"/><Relationship Id="rId141" Type="http://schemas.openxmlformats.org/officeDocument/2006/relationships/externalLink" Target="externalLinks/externalLink71.xml"/><Relationship Id="rId146"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externalLink" Target="externalLinks/externalLink1.xml"/><Relationship Id="rId92" Type="http://schemas.openxmlformats.org/officeDocument/2006/relationships/externalLink" Target="externalLinks/externalLink2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17.xml"/><Relationship Id="rId110" Type="http://schemas.openxmlformats.org/officeDocument/2006/relationships/externalLink" Target="externalLinks/externalLink40.xml"/><Relationship Id="rId115" Type="http://schemas.openxmlformats.org/officeDocument/2006/relationships/externalLink" Target="externalLinks/externalLink45.xml"/><Relationship Id="rId131" Type="http://schemas.openxmlformats.org/officeDocument/2006/relationships/externalLink" Target="externalLinks/externalLink61.xml"/><Relationship Id="rId136" Type="http://schemas.openxmlformats.org/officeDocument/2006/relationships/externalLink" Target="externalLinks/externalLink66.xml"/><Relationship Id="rId61" Type="http://schemas.openxmlformats.org/officeDocument/2006/relationships/worksheet" Target="worksheets/sheet61.xml"/><Relationship Id="rId82" Type="http://schemas.openxmlformats.org/officeDocument/2006/relationships/externalLink" Target="externalLinks/externalLink1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externalLink" Target="externalLinks/externalLink7.xml"/><Relationship Id="rId100" Type="http://schemas.openxmlformats.org/officeDocument/2006/relationships/externalLink" Target="externalLinks/externalLink30.xml"/><Relationship Id="rId105" Type="http://schemas.openxmlformats.org/officeDocument/2006/relationships/externalLink" Target="externalLinks/externalLink35.xml"/><Relationship Id="rId126" Type="http://schemas.openxmlformats.org/officeDocument/2006/relationships/externalLink" Target="externalLinks/externalLink56.xml"/><Relationship Id="rId14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2.xml"/><Relationship Id="rId93" Type="http://schemas.openxmlformats.org/officeDocument/2006/relationships/externalLink" Target="externalLinks/externalLink23.xml"/><Relationship Id="rId98" Type="http://schemas.openxmlformats.org/officeDocument/2006/relationships/externalLink" Target="externalLinks/externalLink28.xml"/><Relationship Id="rId121" Type="http://schemas.openxmlformats.org/officeDocument/2006/relationships/externalLink" Target="externalLinks/externalLink51.xml"/><Relationship Id="rId142" Type="http://schemas.openxmlformats.org/officeDocument/2006/relationships/externalLink" Target="externalLinks/externalLink7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externalLink" Target="externalLinks/externalLink46.xml"/><Relationship Id="rId137" Type="http://schemas.openxmlformats.org/officeDocument/2006/relationships/externalLink" Target="externalLinks/externalLink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externalLink" Target="externalLinks/externalLink13.xml"/><Relationship Id="rId88" Type="http://schemas.openxmlformats.org/officeDocument/2006/relationships/externalLink" Target="externalLinks/externalLink18.xml"/><Relationship Id="rId111" Type="http://schemas.openxmlformats.org/officeDocument/2006/relationships/externalLink" Target="externalLinks/externalLink41.xml"/><Relationship Id="rId132" Type="http://schemas.openxmlformats.org/officeDocument/2006/relationships/externalLink" Target="externalLinks/externalLink6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36.xml"/><Relationship Id="rId127" Type="http://schemas.openxmlformats.org/officeDocument/2006/relationships/externalLink" Target="externalLinks/externalLink5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externalLink" Target="externalLinks/externalLink3.xml"/><Relationship Id="rId78" Type="http://schemas.openxmlformats.org/officeDocument/2006/relationships/externalLink" Target="externalLinks/externalLink8.xml"/><Relationship Id="rId94" Type="http://schemas.openxmlformats.org/officeDocument/2006/relationships/externalLink" Target="externalLinks/externalLink24.xml"/><Relationship Id="rId99" Type="http://schemas.openxmlformats.org/officeDocument/2006/relationships/externalLink" Target="externalLinks/externalLink29.xml"/><Relationship Id="rId101" Type="http://schemas.openxmlformats.org/officeDocument/2006/relationships/externalLink" Target="externalLinks/externalLink31.xml"/><Relationship Id="rId122" Type="http://schemas.openxmlformats.org/officeDocument/2006/relationships/externalLink" Target="externalLinks/externalLink52.xml"/><Relationship Id="rId143"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externalLink" Target="externalLinks/externalLink19.xml"/><Relationship Id="rId112" Type="http://schemas.openxmlformats.org/officeDocument/2006/relationships/externalLink" Target="externalLinks/externalLink42.xml"/><Relationship Id="rId133" Type="http://schemas.openxmlformats.org/officeDocument/2006/relationships/externalLink" Target="externalLinks/externalLink63.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externalLink" Target="externalLinks/externalLink9.xml"/><Relationship Id="rId102" Type="http://schemas.openxmlformats.org/officeDocument/2006/relationships/externalLink" Target="externalLinks/externalLink32.xml"/><Relationship Id="rId123" Type="http://schemas.openxmlformats.org/officeDocument/2006/relationships/externalLink" Target="externalLinks/externalLink53.xml"/><Relationship Id="rId14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Denizhan(yedek)\Do&#287;an&#231;ay\S&#252;perpoz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asserver\ortak\G&#252;lerProjeler\K&#252;&#231;&#252;k%20Reg.ve%20HES\turhanhidroloji\Denizhan(yedek)\Do&#287;an&#231;ay\S&#252;perpoz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Denizhan(yedek)\Do&#287;an&#231;ay\S&#252;perpoz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hak\BEGEN.XLW"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Hdzsrv\server_d\excel%20word%20acad\BR&#304;F&#304;NG_AKTIF%20(version%201)%20(version%201)%20(version%20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Espm08\SharedDocs\Denizhan(yedek)\Do&#287;an&#231;ay\S&#252;perpoz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Z:\hasan\otoprod&#252;kt&#246;r\de&#287;irmendere\tonya\meteor-tonya\METEOROLOJ&#304;K%20VER&#304;LERk&#246;pr&#252;yan&#305;.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D:\Canakkale\Karakoy_Goleti\KARAKOY\TABLOLARve&#350;EK&#304;LLER-01.07.201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Users\tbayyurt\AppData\Local\Microsoft\Windows\Temporary%20Internet%20Files\Content.Outlook\QMVVX436\prekast_cephe_elemani_analizi.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Users\tbayyurt\AppData\Local\Microsoft\Windows\Temporary%20Internet%20Files\Content.Outlook\QMVVX436\ongerme_kirisi_analizi.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_HES_Projects\_Hidrokon\_Karakecili%20(Yesilirmak%20N)\Burgenc\_AylikAkimlar.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ldonat\d\Denizhan(yedek)\Do&#287;an&#231;ay\S&#252;perpoze.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R:\Fizibiliteler\Alkumru\Berk\AKIMLAR\Enerji-&#304;&#351;letme-narl&#305;.xls"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file:///C:\Users\mxpyn\scratches\FOURDAM\EXTRA_TEMP.xlsx" TargetMode="External"/><Relationship Id="rId1" Type="http://schemas.openxmlformats.org/officeDocument/2006/relationships/externalLinkPath" Target="/Users/mxpyn/scratches/FOURDAM/EXTRA_TEMP.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E:\Belgelerim\rapor\H.CO&#350;KUN\E&#350;EN%20KARA&#199;AY%20BURGULAR(GEBE&#350;)%20HES%20PROJES&#304;%20H&#304;DROLOJ&#304;%20PLANLAMA%20RAPORU-II\KARA&#199;AY%20GRAG&#304;K%20VE%20TABLOLAR\&#304;&#351;letme%20i&#231;in%20%20su%20ihtiya&#231;lar&#305;%20Kara&#231;ay-Burgular%20%20Gebe&#351;%20HE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F:\_HIDROKON_HES_Projeleri\Sahaban\Hidrokon\Sediment_Dicle%20(2605%20AGIden).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Hdzsrv\server_d\ANALIZ_PMB_SERTTAS.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Z:\G&#252;lerProjeler\&#304;nk&#246;yHES\21-193%20KOZLUK%20&#199;AYI-A&#350;A&#286;I%20&#350;IHLAR\21-193%202005%20YILI.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Z:\_HES_Projects\TemelSu\TemelSu-Alkumru\_verilmeyecek__Sediment.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LIMAK-XS2JT3DJJ\sezai%20payla&#351;&#305;m\Sezai%20&#199;oruhlu\G&#220;LSAN%202000\Hakedi&#351;\E5\HAKED&#304;&#350;LER\HAKED&#304;&#350;LER\E-5%20T&#220;T&#220;N&#199;&#304;FTL&#304;&#286;&#304;\20-F\KEYPLAN.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Z:\Belgelerim\rapor\MEHMET%20T&#220;ZEMEN\&#304;&#351;letme%20i&#231;in%20%20su%20ihtiya&#231;lar&#305;%20Kara&#231;ay-Burgular%20%20Gebe&#351;%20HES.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Hdzsrv\server_d\Documents%20and%20Settings\yonca\Belgelerim\B&#304;RLE&#350;T&#304;R&#304;LM&#304;&#350;%20ANAL&#304;Z%20VE%20TAR&#304;FLER%20(son)\BF_2004_Birlestirme_23%20Kasim%202004.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Hdzsrv\server_d\Belgelerim\Ihaleler%20_%202000-2001-2002\BRFNG2001.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Server\z\barajlar\Il&#305;su%20Baraj\Il&#305;su%20analiz.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D:\Documents%20and%20Settings\ekaradogan\Desktop\BO&#286;AZEVC&#304;%2017.09.2011\Copy%20of%20SON%20BO&#286;AZEVC&#304;%20SS&#304;%2012.08.2011.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Binnuruslu-\devam%20eden%20isler\Documents%20and%20Settings\nozer\Desktop\&#304;zmir_Goletler\Aslanlar\Aslanlar(zsy).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D:\SAKARYA_HAVZASI\ANKARA%20&#199;AYI%20HAVZASI_1\ANKARA%20CAYI_HIDROLOJI_ARA_RAPORU_2\ankara%20ta&#351;k&#305;n\KOD_I_INCESU_.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D:\SAKARYA_HAVZASI\ANKARA%20&#199;AYI%20HAVZASI_1\ANKARA%20CAYI_HIDROLOJI_ARA_RAPORU_2\ankara%20ta&#351;k&#305;n\ANKARA.Tablolar_Sekiller.1__.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Do&#287;ru\sayit\Denizhan(yedek)\Do&#287;an&#231;ay\S&#252;perpoze.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Isin\isin\Denizhan(yedek)\Do&#287;an&#231;ay\S&#252;perpoze.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F:\teknik-proje\kadir\kasimlar\mustafa%20verilen\Basak%20Brj-Hidroloji\tablolar\Su-temini\Sulamalar.xls" TargetMode="External"/></Relationships>
</file>

<file path=xl/externalLinks/_rels/externalLink32.xml.rels><?xml version="1.0" encoding="UTF-8" standalone="yes"?>
<Relationships xmlns="http://schemas.openxmlformats.org/package/2006/relationships"><Relationship Id="rId2" Type="http://schemas.openxmlformats.org/officeDocument/2006/relationships/externalLinkPath" Target="file:///E:\08_PHD\03_EXCEL\MATRIS_DENEMELERI.xlsx" TargetMode="External"/><Relationship Id="rId1" Type="http://schemas.openxmlformats.org/officeDocument/2006/relationships/externalLinkPath" Target="file:///E:\08_PHD\03_EXCEL\MATRIS_DENEMELERI.xlsx"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I:\DELL%20D%20YEDEKLER\FAT&#304;H\_AutoHAK_KISAN_HAK60.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R:\Fizibiliteler\Aslanc&#305;k\Berk\aslanc&#305;k%201.rapor\Enerji&#304;&#351;letme(Aslanc&#305;k_Mevcut_Teklif).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Sinan\D\Denizhan(yedek)\&#304;kisu-Dereli-&#199;&#305;rakdam&#305;\Ak&#305;mlardan%20Dolay&#305;%20Revize\&#199;&#305;rakdam&#305;%20Fizibilite%20Raporu\Tablolar%20(B&#246;l&#252;m%204).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Y:\Users\bcan.HIDRO\Desktop\basri\Pro&#287;ramlar_H_Sezgin\Corelation%20Program(12-021%20ile%2012-057).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Hdzsrv\server_d\Belgelerim\HAKED&#304;&#350;LER\2004\Belgelerim\&#199;al&#305;&#351;ma%20Program&#305;\2003%20YILI\Belgelerim\Kitap1.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Y:\Denizhan(yedek)\Do&#287;an&#231;ay\S&#252;perpoze.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Server\z\PROJELER\ANKARA%20G&#214;LETLER&#304;\YUKARI&#199;AVUNDUR\YUKARI%20&#199;AVUNDUR%20G&#214;LET&#304;%20PLANLAMA%20RAPORU\Y.&#199;AVUNDUR%20RAPOR%2030.08.2008\TABLO+&#350;EK&#304;L\KALEC&#304;K\G&#214;VDE-DOLUSAVAK%20OPT&#304;M&#304;ZASYONU\BATARDO\RAF-MADEN%20BATARDO-SON.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Z:\DOCUME~1\teftis8\LOCALS~1\Temp\Rar$DI00.468\Dosyalar&#305;m\BUGRA_he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Hdsrv\E\Nadir%20CAN\MASTER%20PLAN\MAN&#304;SA%20&#304;&#199;MESUYU%20PROJES&#304;\dolusavakkk-routing.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E:\PROJELER\ADANA\HIDROLOJI\ADANA.%20H&#304;DROLOJ&#304;\FEKE%20GEDIKLI\NIHAI%20RAPOR\SON\isletme_cag\G&#246;let%20&#304;&#351;letme%20&#199;al&#305;&#351;mas&#305;%20Alternatifli_cag_on.xlsx"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Hdzsrv\server_d\Documents%20and%20Settings\yonca\Desktop\Mehmet%20&#220;nl&#252;%20bey'in%20hakedi&#351;i\Hakedis%204734%20Belgeleri%20(%20Usak-Banaz%20Ustyapi%202004%20)_H5_kesin_hesapZZZZ_cikan.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Hdzsrv\server_d\Documents%20and%20Settings\yonca\Desktop\Mehmet%20&#220;nl&#252;%20bey'in%20hakedi&#351;i\Documents%20and%20Settings\BEYH&#304;M\Desktop\HAKED&#304;&#350;%20U&#350;AK\hakedi&#351;%20son\Beyhim%20Yes.Def.H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Hdzsrv\server_d\Documents%20and%20Settings\yonca\Desktop\Mehmet%20&#220;nl&#252;%20bey'in%20hakedi&#351;i\Belgelerim\HAKED&#304;&#350;LER\2003\GEN&#199;%20&#304;N&#350;\Belgelerim\Kitap1.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LIMAK-XS2JT3DJJ\sezai%20payla&#351;&#305;m\Sezai%20&#199;oruhlu\G&#220;LSAN%202001\TESP&#304;T%20TUTANAKLARI\2001%20F&#304;YATLARI\2001%20F&#304;YATLARI\E5hkd&#351;4.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Z:\Belgelerim\rapor\H.CO&#350;KUN\E&#350;EN%20KARA&#199;AY%20BURGULAR(GEBE&#350;)%20HES%20PROJES&#304;%20H&#304;DROLOJ&#304;%20PLANLAMA%20RAPORU-II\KARA&#199;AY%20GRAG&#304;K%20VE%20TABLOLAR\&#304;&#351;letme%20i&#231;in%20%20su%20ihtiya&#231;lar&#305;%20Kara&#231;ay-Burgular%20%20Gebe&#351;%20HES.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Denizhan\d\Denizhan(yedek)\&#304;kisu-Dereli-&#199;&#305;rakdam&#305;\Ak&#305;mlardan%20Dolay&#305;%20Revize\&#199;&#305;rakdam&#305;%20Fizibilite%20Raporu\Tablolar%20(B&#246;l&#252;m%204).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Hdzsrv\server_d\Documents%20and%20Settings\yonca\Desktop\Mehmet%20&#220;nl&#252;%20bey'in%20hakedi&#351;i\Documents%20and%20Settings\Mehmet\Desktop\AutoHAK_UCF\AutoHAK_v50_XP_09_beyhim_micir_fig.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Hdzsrv\server_d\Belgelerim\&#199;al&#305;&#351;ma%20Program&#305;\2003%20YILI\Belgelerim\Kitap1.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Hdzsrv\server_d\Belgelerim\HAKED&#304;&#350;LER\2004\Belgelerim\&#199;al&#305;&#351;ma%20Program&#305;\2003%20YILI\ihale\hak\BEGEN.XLW"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Z:\_HES_Projects\OA\OA_Alkumru\SuTemini-O\AylikAkimlar.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Ssargut\IZSU%20PROJESI\ssargut%20yedek\SACIT\Sacit2\CETIN%20BARAJI\Bolum%204%20Sekiller%20ve%20Tablolar%2017.12.2008'de%20Sacit%20Sargut'a%20verildi\Tablolar\4.1-4.48.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Hdzsrv\server_d\Belgelerim\HAKED&#304;&#350;LER\2004\Belgelerim\&#199;al&#305;&#351;ma%20Program&#305;\2003%20YILI\ihale\Belgelerim\Kitap1.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F:\_HES_Projects\OA\OA_Polat\Qpik\Bolgesel.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Z:\RAFET-10.09.2007\6-NEVRUZ\1-a-&#214;N%20RAPOR\1-aaa-TASLAK%20RAPOR\3-c-Bitki-SU-NEVRUZ-TAMAMI.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F:\RAFET-10.09.2007\1-&#350;ARKI&#350;LA-KANAK-M&#220;SVEDDE\3-a%20B&#304;TK&#304;%20SU%20+%20&#304;&#350;LETME\3.3.1-Bitki-SU-DAMLAMA-KANAK-29.08-deneme.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Z:\RAFET\HAF&#304;K%20&#214;ZEN%20SULAMASI\B&#304;TK&#304;%20SU+&#304;&#350;LETME\PLAN-&#214;ZEN-SULAMA.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Binnuruslu-\devam%20eden%20isler\_HES_Projects\OA\OA_Alkumru\Meteor\Buharlasmalar.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LIMAK-XS2JT3DJJ\sezai%20payla&#351;&#305;m\Excel\Fiyatlar\E5hkd&#351;4.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R:\Fizibiliteler\Aslanc&#305;k\Emin\Enerji&#304;&#351;letme(Aslanc&#305;k_Mevcut_Teklif).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Z:\Documents%20and%20Settings\lkaynar\Desktop\MAKESENS_1_0.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Z:\_HES_Projects\OA\OA_Alkumru\Meteor\Buharlasmalar.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Z:\Documents%20and%20Settings\sayitkoc\Desktop\KUMSU%20AYANLAR-PROJEL&#304;-YEN&#304;.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R:\Fizibiliteler\Alkumru\Berk\dolusavak\SerbestDolusavakRouting_kil.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Dogruserver\d\Denizhan(yedek)\Do&#287;an&#231;ay\S&#252;perpoze.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LEVENT\LEVENT\Belgelerim\EXCEL\E-5%20Dosyas&#305;\E5hkd&#351;4.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Hdsrv\E\Yeni\BOLAMAN\iklim\ToplamYa&#287;&#305;&#35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Nasserver\ortak\G&#252;lerProjeler\K&#252;&#231;&#252;k%20Reg.ve%20HES\turhanhidroloji\My%20Documents\Otluca\Taskin-Hidrodizayn\MaksimumYa&#287;&#305;&#351;lar.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Nasserver\ortak\G&#252;lerProjeler\K&#252;&#231;&#252;k%20Reg.ve%20HES\turhanhidroloji\Yeni\BOLAMAN\iklim\ToplamYa&#287;&#305;&#351;.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Hdsrv\E\Yeni\BOLAMAN\iklim\Ayl&#305;kOrtS&#305;cakl&#305;k.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E:\Yeni\BOLAMAN\iklim\Ayl&#305;kOrtS&#305;cakl&#305;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s>
    <sheetDataSet>
      <sheetData sheetId="0"/>
      <sheetData sheetId="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İ13-2.2"/>
    </sheet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NAT YAPILARI KRS"/>
      <sheetName val="KOPRULER KRS"/>
      <sheetName val="Sheet1"/>
      <sheetName val="KUTU MENFEZ"/>
      <sheetName val="KM KANATLI"/>
      <sheetName val="KM TASIMA MOMENTLERI"/>
      <sheetName val="TABLIYELI MENFEZ"/>
      <sheetName val="KAPAK"/>
      <sheetName val="Sheet2"/>
      <sheetName val="KOP TAS MOMENT"/>
      <sheetName val="KM ATASMAN ICM"/>
      <sheetName val="KOP ATASMAN ICM"/>
      <sheetName val="139.5100DEV"/>
      <sheetName val="KKANATLI"/>
      <sheetName val="NAKLİYELER"/>
      <sheetName val="103+390-107+250"/>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ıcır 2001 (2)"/>
      <sheetName val="PERSONEL BİLGİLERİ"/>
      <sheetName val="ANA GİRİŞ"/>
      <sheetName val="PM.ALTTEMEL(mu.keş)"/>
      <sheetName val="ŞANTİYE DEĞ(mu.keş)."/>
      <sheetName val="AYDIN-UCGEN"/>
      <sheetName val="UÇGEN-TCK"/>
      <sheetName val="ÜÇGEN PAMUKKALE"/>
      <sheetName val="drenaj kroki"/>
      <sheetName val="değişiklik itineri(mu.keş)"/>
      <sheetName val="KAPAK"/>
      <sheetName val="TİPLERİNE GÖRE"/>
      <sheetName val="MENFEZ ADETLERİ"/>
      <sheetName val="a4saanatmenfez"/>
      <sheetName val="FORE"/>
      <sheetName val="KÖPRÜLER"/>
      <sheetName val="BEYLERBEYİ KÖP"/>
      <sheetName val="DRENAJ"/>
      <sheetName val="KAVŞAK"/>
      <sheetName val="FORM 5 gidiş dönüş"/>
      <sheetName val="FORM5 2002 YATIRIM PROGRAMI gid"/>
      <sheetName val="İHALE BİLGİLERİ"/>
      <sheetName val="FORM KAPAK YAZSISI"/>
      <sheetName val="DDY FORE"/>
      <sheetName val="BEYLERBEYİ"/>
      <sheetName val="DUACILLI"/>
      <sheetName val="DDY"/>
      <sheetName val="MENDERES"/>
      <sheetName val="mıcır 2001"/>
      <sheetName val="kalınlık"/>
      <sheetName val="OCAKLAR ÖN"/>
      <sheetName val="OCAKLAR ARKA"/>
      <sheetName val="PERSONEL ŞAHSİ BİLGİ KAPAK"/>
      <sheetName val="123+900--129+800 İTİNER"/>
      <sheetName val="ALTTEMEL2001"/>
      <sheetName val="MEKANİK2001"/>
      <sheetName val="SON DURUM(GÜNCEL)"/>
      <sheetName val="İMALAT KONTROL ALT+PMX"/>
      <sheetName val="B.TEMEL İLERLEME İTİNER"/>
      <sheetName val="Sayfa4"/>
      <sheetName val="işçi alacakları"/>
      <sheetName val="işçi alacakları1"/>
      <sheetName val="yıl sonu imalatı"/>
      <sheetName val="trafik levhaları"/>
      <sheetName val="traifk proje"/>
      <sheetName val="kapı levhası"/>
      <sheetName val="B.TEMEL.BİNDER ASINMA İLERLEME"/>
      <sheetName val="İZİN DİLEKÇESİ"/>
      <sheetName val="107+250-112+200"/>
      <sheetName val="103+390-107+250"/>
      <sheetName val="112+200-113+000"/>
      <sheetName val="113+000-117+127"/>
      <sheetName val="sanat son durum"/>
      <sheetName val="söz.olmayan keşif özeti"/>
      <sheetName val="2002 yılı iş programı"/>
      <sheetName val="sanay yapı röleve"/>
      <sheetName val="yazı8"/>
      <sheetName val="Sayfa1"/>
      <sheetName val="Sayfa2"/>
      <sheetName val="yazı"/>
      <sheetName val="yazı1"/>
      <sheetName val="yazı3"/>
      <sheetName val="yazı4"/>
      <sheetName val="yazı5"/>
      <sheetName val="protokol yazısı"/>
      <sheetName val="DOLGU SEVLERİ"/>
      <sheetName val="dolgu çalışması"/>
      <sheetName val="yazı7"/>
      <sheetName val="139.5100DE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row r="28">
          <cell r="IV28" t="str">
            <v xml:space="preserve"> </v>
          </cell>
        </row>
      </sheetData>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s>
    <sheetDataSet>
      <sheetData sheetId="0"/>
      <sheetData sheetId="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AĞIŞ"/>
      <sheetName val="SICAKLIK"/>
      <sheetName val="BUHARLAŞMA"/>
      <sheetName val="RÜZGAR VE BAĞIL NEM"/>
    </sheetNames>
    <sheetDataSet>
      <sheetData sheetId="0"/>
      <sheetData sheetId="1" refreshError="1"/>
      <sheetData sheetId="2" refreshError="1"/>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1"/>
      <sheetName val="T2"/>
      <sheetName val="T3"/>
      <sheetName val="T4"/>
      <sheetName val="T5"/>
      <sheetName val="T6"/>
      <sheetName val="T7"/>
      <sheetName val="T8"/>
      <sheetName val="T9"/>
      <sheetName val="T10"/>
      <sheetName val="T11"/>
      <sheetName val="T12"/>
      <sheetName val="T13"/>
      <sheetName val="T14"/>
      <sheetName val="T15"/>
      <sheetName val="T16"/>
      <sheetName val="T17"/>
      <sheetName val="T18"/>
      <sheetName val="T19"/>
      <sheetName val="T20"/>
      <sheetName val="T20-1"/>
      <sheetName val="T21"/>
      <sheetName val="T22"/>
      <sheetName val="T23"/>
      <sheetName val="T24"/>
      <sheetName val="T25"/>
      <sheetName val="T26"/>
      <sheetName val="T26-1"/>
      <sheetName val="T27"/>
      <sheetName val="T28"/>
      <sheetName val="T29"/>
      <sheetName val="T30"/>
      <sheetName val="T31"/>
      <sheetName val="T31-1"/>
      <sheetName val="T31-2"/>
      <sheetName val="T32"/>
      <sheetName val="T33"/>
      <sheetName val="T34"/>
      <sheetName val="T35"/>
      <sheetName val="T36"/>
      <sheetName val="T37"/>
      <sheetName val="T38"/>
      <sheetName val="T39"/>
      <sheetName val="T40"/>
      <sheetName val="T41"/>
      <sheetName val="T42"/>
      <sheetName val="T43"/>
      <sheetName val="T44"/>
      <sheetName val="Ş1"/>
      <sheetName val="Ş2"/>
      <sheetName val="Ş3"/>
      <sheetName val="Ş4"/>
      <sheetName val="Ş5"/>
      <sheetName val="Ş6"/>
      <sheetName val="Ş7"/>
      <sheetName val="Ş8"/>
      <sheetName val="Ş9"/>
      <sheetName val="Ş10"/>
      <sheetName val="Ş11"/>
      <sheetName val="Ş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 sheetId="52"/>
      <sheetData sheetId="53"/>
      <sheetData sheetId="54"/>
      <sheetData sheetId="55"/>
      <sheetData sheetId="56"/>
      <sheetData sheetId="57"/>
      <sheetData sheetId="58"/>
      <sheetData sheetId="5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FEZKSF"/>
      <sheetName val="AGKSF"/>
      <sheetName val="DDYKSF"/>
      <sheetName val="TCKKSF"/>
      <sheetName val="SPOZ"/>
      <sheetName val="S101"/>
      <sheetName val="S102.1"/>
      <sheetName val="S102.2"/>
      <sheetName val="S102.3"/>
      <sheetName val="S102.4"/>
      <sheetName val="S103.1"/>
      <sheetName val="S103.2"/>
      <sheetName val="S103.3"/>
      <sheetName val="S104.1"/>
      <sheetName val="S104.2"/>
      <sheetName val="S105"/>
      <sheetName val="S106"/>
      <sheetName val="S107"/>
      <sheetName val="S108"/>
      <sheetName val="S109"/>
      <sheetName val="S110"/>
      <sheetName val="S111"/>
      <sheetName val="S112"/>
      <sheetName val="S113"/>
      <sheetName val="S114"/>
      <sheetName val="S115"/>
      <sheetName val="S116"/>
      <sheetName val="S117"/>
      <sheetName val="S118"/>
      <sheetName val="S120"/>
      <sheetName val="S119"/>
      <sheetName val="YBF-06"/>
      <sheetName val="K6"/>
      <sheetName val="MF"/>
      <sheetName val="AG"/>
      <sheetName val="KU"/>
      <sheetName val="hendekkm"/>
      <sheetName val="Sayfa1"/>
      <sheetName val="rayı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2">
          <cell r="E2">
            <v>2.39</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FEZKSF"/>
      <sheetName val="AGKSF"/>
      <sheetName val="DDYKSF"/>
      <sheetName val="TCKKSF"/>
      <sheetName val="SPOZ"/>
      <sheetName val="S101"/>
      <sheetName val="S102.1"/>
      <sheetName val="S102.2"/>
      <sheetName val="S102.3"/>
      <sheetName val="S102.4"/>
      <sheetName val="S103.1"/>
      <sheetName val="S103.2"/>
      <sheetName val="S103.3"/>
      <sheetName val="S104.1"/>
      <sheetName val="S104.2"/>
      <sheetName val="S105"/>
      <sheetName val="S106"/>
      <sheetName val="S107"/>
      <sheetName val="S108"/>
      <sheetName val="S109"/>
      <sheetName val="S110"/>
      <sheetName val="S111"/>
      <sheetName val="YBF-05"/>
      <sheetName val="S113"/>
      <sheetName val="S114"/>
      <sheetName val="S115"/>
      <sheetName val="S116"/>
      <sheetName val="S117"/>
      <sheetName val="S118"/>
      <sheetName val="S119"/>
      <sheetName val="S120"/>
      <sheetName val="S121"/>
      <sheetName val="K6"/>
      <sheetName val="MF"/>
      <sheetName val="AG"/>
      <sheetName val="KU"/>
      <sheetName val="hendekkm"/>
      <sheetName val="Sayfa1"/>
      <sheetName val="rayıc"/>
    </sheetNames>
    <sheetDataSet>
      <sheetData sheetId="0"/>
      <sheetData sheetId="1"/>
      <sheetData sheetId="2"/>
      <sheetData sheetId="3"/>
      <sheetData sheetId="4"/>
      <sheetData sheetId="5"/>
      <sheetData sheetId="6">
        <row r="9">
          <cell r="H9">
            <v>15</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harlasma(yagis dusuldu)"/>
      <sheetName val="Buharlasma"/>
      <sheetName val="26-30.orj"/>
      <sheetName val="26-30"/>
      <sheetName val="2610"/>
      <sheetName val="2633"/>
      <sheetName val="2630"/>
      <sheetName val="2620"/>
      <sheetName val="2621"/>
      <sheetName val="2622"/>
      <sheetName val="2627"/>
      <sheetName val="26-36"/>
      <sheetName val="fark"/>
      <sheetName val="Ara (2621-26-30)"/>
      <sheetName val="Başkale Brj"/>
      <sheetName val="Dilektaşı Brj.dgl"/>
      <sheetName val="Sulamalar"/>
      <sheetName val="Sulama-Yolsu"/>
      <sheetName val="Dilektaşı Brj.dvlp"/>
      <sheetName val="Hakkari Brj"/>
      <sheetName val="Ara(3 BRJ)"/>
      <sheetName val="Dagoren Reg"/>
      <sheetName val="Birim"/>
      <sheetName val="Cizelge"/>
      <sheetName val="CiftKutle"/>
      <sheetName val="_AylikAkimlar"/>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 val="139.5100DEV"/>
      <sheetName val="00"/>
    </sheetNames>
    <sheetDataSet>
      <sheetData sheetId="0"/>
      <sheetData sheetId="1"/>
      <sheetData sheetId="2" refreshError="1"/>
      <sheetData sheetId="3" refreshError="1"/>
      <sheetData sheetId="4"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llanım"/>
      <sheetName val="Input"/>
      <sheetName val="Yüzey Akım"/>
      <sheetName val="Cikti Sayfasi"/>
      <sheetName val="Cikti Sayfasi (2)"/>
      <sheetName val="Isletme Ozeti"/>
      <sheetName val="Dolusavak"/>
      <sheetName val="Enerji"/>
      <sheetName val="Mansap Eksik Kalan"/>
      <sheetName val="Rezervuardan Çekilen"/>
      <sheetName val="E. Üretimi"/>
      <sheetName val="İşletme Grafiği"/>
      <sheetName val="İşletme Grafiği (2)"/>
      <sheetName val="Sheet3"/>
      <sheetName val="OUT"/>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4">
          <cell r="A4">
            <v>540</v>
          </cell>
        </row>
        <row r="8">
          <cell r="A8">
            <v>45</v>
          </cell>
        </row>
      </sheetData>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MCAL (2)"/>
      <sheetName val="DAMCAL"/>
      <sheetName val="UPP (2)"/>
      <sheetName val="LOW (2)"/>
      <sheetName val="S_0 (2)"/>
      <sheetName val="LOWER_BOUND"/>
      <sheetName val="UPPER_BOUND"/>
      <sheetName val="TRY_STO"/>
      <sheetName val="LB_C95"/>
      <sheetName val="LB_C85"/>
      <sheetName val="UB_C85"/>
      <sheetName val="SUM_UB"/>
      <sheetName val="EXTRA_TEMP"/>
    </sheetNames>
    <definedNames>
      <definedName name="datasayı" refersTo="#REF!"/>
      <definedName name="datayıl" refersTo="#REF!"/>
      <definedName name="Xvalues" refersTo="#REF!"/>
    </definedNames>
    <sheetDataSet>
      <sheetData sheetId="0">
        <row r="10">
          <cell r="A10" t="str">
            <v>AGI</v>
          </cell>
        </row>
      </sheetData>
      <sheetData sheetId="1">
        <row r="10">
          <cell r="A10" t="str">
            <v>AGI</v>
          </cell>
        </row>
      </sheetData>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yfa1"/>
      <sheetName val="sera CIKTI"/>
      <sheetName val="tarla CIKTI"/>
      <sheetName val="Tablo -1"/>
      <sheetName val="Tablo-2-3"/>
      <sheetName val="Tablo-2-3 (2)"/>
      <sheetName val="Tablo -4 "/>
      <sheetName val="Sayfa3"/>
      <sheetName val="T-5 PAL-ÇAV-OVA SULAMA"/>
      <sheetName val="Tablo3.44"/>
      <sheetName val="Tablo3.45"/>
      <sheetName val="Tablo3.46"/>
      <sheetName val="Tablo3.37"/>
      <sheetName val="Tablo 3.36"/>
      <sheetName val="Tablo3.42"/>
      <sheetName val="Tablo3.43"/>
      <sheetName val="Tablo 3.3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iris"/>
      <sheetName val="Miktar x Eğri Duz Kts"/>
      <sheetName val="Verim x AlanOrani"/>
      <sheetName val="Verim x AlanOrani---"/>
      <sheetName val="Miktar x Alan Orani"/>
      <sheetName val="Miktar x Alan Orani--"/>
      <sheetName val="AGI olmayan Yerler icin"/>
      <sheetName val="AGI icin Debi-Sediment Anh"/>
      <sheetName val="GenelBilgi"/>
    </sheetNames>
    <sheetDataSet>
      <sheetData sheetId="0">
        <row r="6">
          <cell r="C6">
            <v>4189.1000000000004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isan_Ref_BF"/>
      <sheetName val="GFA_PMB icin"/>
      <sheetName val="GFA_Serttas icin"/>
      <sheetName val="ANALIZ_PMB_SERTTAS"/>
    </sheetNames>
    <sheetDataSet>
      <sheetData sheetId="0" refreshError="1">
        <row r="1">
          <cell r="D1">
            <v>2004</v>
          </cell>
        </row>
        <row r="2">
          <cell r="D2">
            <v>9</v>
          </cell>
          <cell r="E2" t="str">
            <v>.../..../2004</v>
          </cell>
        </row>
        <row r="3">
          <cell r="E3">
            <v>895014</v>
          </cell>
        </row>
        <row r="4">
          <cell r="B4" t="str">
            <v>Mehmet DEMİRPOLAT</v>
          </cell>
          <cell r="C4" t="str">
            <v>KONTROL ŞEFİ</v>
          </cell>
        </row>
        <row r="5">
          <cell r="B5" t="str">
            <v>Kenan KESKİN</v>
          </cell>
          <cell r="C5" t="str">
            <v>ASFALT BAŞMÜHENDİSİ</v>
          </cell>
        </row>
        <row r="9">
          <cell r="A9" t="str">
            <v>ALMANMARKI</v>
          </cell>
          <cell r="B9" t="str">
            <v>Alman markı yılbaşı kuru</v>
          </cell>
          <cell r="C9" t="str">
            <v>SA</v>
          </cell>
          <cell r="I9">
            <v>895014</v>
          </cell>
        </row>
        <row r="10">
          <cell r="A10" t="str">
            <v>01.015</v>
          </cell>
          <cell r="B10" t="str">
            <v>Beton ustası</v>
          </cell>
          <cell r="C10" t="str">
            <v>SA</v>
          </cell>
          <cell r="D10">
            <v>6016</v>
          </cell>
          <cell r="G10">
            <v>1661000</v>
          </cell>
          <cell r="H10">
            <v>2359000</v>
          </cell>
        </row>
        <row r="11">
          <cell r="A11" t="str">
            <v>01.019</v>
          </cell>
          <cell r="B11" t="str">
            <v>Soğuk demirci ustası</v>
          </cell>
          <cell r="C11" t="str">
            <v>SA</v>
          </cell>
          <cell r="D11">
            <v>6016</v>
          </cell>
          <cell r="E11">
            <v>804320</v>
          </cell>
          <cell r="F11">
            <v>1086000</v>
          </cell>
          <cell r="H11">
            <v>2359000</v>
          </cell>
        </row>
        <row r="12">
          <cell r="A12" t="str">
            <v>01.021</v>
          </cell>
          <cell r="B12" t="str">
            <v>Kaynakçı ustası</v>
          </cell>
          <cell r="C12" t="str">
            <v>SA</v>
          </cell>
          <cell r="E12">
            <v>804320</v>
          </cell>
          <cell r="F12">
            <v>1086000</v>
          </cell>
          <cell r="H12">
            <v>2359000</v>
          </cell>
        </row>
        <row r="13">
          <cell r="A13" t="str">
            <v>01.219</v>
          </cell>
          <cell r="B13" t="str">
            <v>Soğuk demirci usta yardımcısı</v>
          </cell>
          <cell r="C13" t="str">
            <v>SA</v>
          </cell>
          <cell r="D13">
            <v>4259</v>
          </cell>
          <cell r="E13">
            <v>569280</v>
          </cell>
          <cell r="F13">
            <v>769000</v>
          </cell>
          <cell r="H13">
            <v>1670000</v>
          </cell>
        </row>
        <row r="14">
          <cell r="A14" t="str">
            <v>01.401</v>
          </cell>
          <cell r="B14" t="str">
            <v>Şöför</v>
          </cell>
          <cell r="C14" t="str">
            <v>SA</v>
          </cell>
          <cell r="D14">
            <v>6016</v>
          </cell>
          <cell r="G14">
            <v>1661000</v>
          </cell>
          <cell r="H14">
            <v>2359000</v>
          </cell>
        </row>
        <row r="15">
          <cell r="A15" t="str">
            <v>01.404</v>
          </cell>
          <cell r="B15" t="str">
            <v>Operatör makinist</v>
          </cell>
          <cell r="C15" t="str">
            <v>SA</v>
          </cell>
          <cell r="D15">
            <v>6849</v>
          </cell>
          <cell r="G15">
            <v>1891000</v>
          </cell>
          <cell r="H15">
            <v>2685000</v>
          </cell>
        </row>
        <row r="16">
          <cell r="A16" t="str">
            <v>01.405</v>
          </cell>
          <cell r="B16" t="str">
            <v>Makinist yardımcısı</v>
          </cell>
          <cell r="C16" t="str">
            <v>SA</v>
          </cell>
          <cell r="D16">
            <v>4813</v>
          </cell>
          <cell r="G16">
            <v>1329000</v>
          </cell>
          <cell r="H16">
            <v>1887000</v>
          </cell>
        </row>
        <row r="17">
          <cell r="A17" t="str">
            <v>01.406</v>
          </cell>
          <cell r="B17" t="str">
            <v>Operatör yardıncısı</v>
          </cell>
          <cell r="C17" t="str">
            <v>SA</v>
          </cell>
          <cell r="D17">
            <v>5554</v>
          </cell>
          <cell r="G17">
            <v>1534000</v>
          </cell>
          <cell r="H17">
            <v>2178000</v>
          </cell>
        </row>
        <row r="18">
          <cell r="A18" t="str">
            <v>01.409</v>
          </cell>
          <cell r="B18" t="str">
            <v>Formen</v>
          </cell>
          <cell r="C18" t="str">
            <v>SA</v>
          </cell>
          <cell r="D18">
            <v>8631</v>
          </cell>
          <cell r="G18">
            <v>2383000</v>
          </cell>
          <cell r="H18">
            <v>3384000</v>
          </cell>
        </row>
        <row r="19">
          <cell r="A19" t="str">
            <v>01.501</v>
          </cell>
          <cell r="B19" t="str">
            <v>Düz işçi (inşaat işçisi)</v>
          </cell>
          <cell r="C19" t="str">
            <v>SA</v>
          </cell>
          <cell r="D19">
            <v>3936</v>
          </cell>
          <cell r="E19">
            <v>526400</v>
          </cell>
          <cell r="F19">
            <v>711000</v>
          </cell>
          <cell r="G19">
            <v>1087000</v>
          </cell>
          <cell r="H19">
            <v>1544000</v>
          </cell>
          <cell r="I19">
            <v>1853000</v>
          </cell>
        </row>
        <row r="20">
          <cell r="A20" t="str">
            <v>01.502</v>
          </cell>
          <cell r="B20" t="str">
            <v>Erbab işçi</v>
          </cell>
          <cell r="C20" t="str">
            <v>SA</v>
          </cell>
          <cell r="D20">
            <v>4259</v>
          </cell>
          <cell r="G20">
            <v>1176000</v>
          </cell>
          <cell r="H20">
            <v>1670000</v>
          </cell>
        </row>
        <row r="21">
          <cell r="A21" t="str">
            <v>01.507</v>
          </cell>
          <cell r="B21" t="str">
            <v>Birinci sınıf usta</v>
          </cell>
          <cell r="C21" t="str">
            <v>SA</v>
          </cell>
          <cell r="E21">
            <v>804320</v>
          </cell>
          <cell r="F21">
            <v>1086000</v>
          </cell>
          <cell r="H21">
            <v>2359000</v>
          </cell>
          <cell r="I21">
            <v>2831000</v>
          </cell>
        </row>
        <row r="22">
          <cell r="A22" t="str">
            <v>01.508</v>
          </cell>
          <cell r="B22" t="str">
            <v>İkinci sınıf usta</v>
          </cell>
          <cell r="C22" t="str">
            <v>SA</v>
          </cell>
          <cell r="G22">
            <v>1565000</v>
          </cell>
          <cell r="H22">
            <v>2222000</v>
          </cell>
          <cell r="I22">
            <v>2666000</v>
          </cell>
        </row>
        <row r="23">
          <cell r="A23" t="str">
            <v>02.016</v>
          </cell>
          <cell r="B23" t="str">
            <v>Her cins hayvanla çekilen arabalar için taşıma katsayısı (K katsayısı)</v>
          </cell>
          <cell r="C23" t="str">
            <v xml:space="preserve"> </v>
          </cell>
          <cell r="E23">
            <v>4000000</v>
          </cell>
          <cell r="F23">
            <v>5000000</v>
          </cell>
          <cell r="H23">
            <v>10300000</v>
          </cell>
        </row>
        <row r="24">
          <cell r="A24" t="str">
            <v>02.017</v>
          </cell>
          <cell r="B24" t="str">
            <v>Her cins ve tonajda motorlu araç taşıma katsayısı (K katsayısı)</v>
          </cell>
          <cell r="C24" t="str">
            <v xml:space="preserve"> </v>
          </cell>
          <cell r="D24">
            <v>316000</v>
          </cell>
          <cell r="E24">
            <v>28500000</v>
          </cell>
          <cell r="F24">
            <v>35000000</v>
          </cell>
          <cell r="G24">
            <v>57750000</v>
          </cell>
          <cell r="H24">
            <v>72500000</v>
          </cell>
        </row>
        <row r="25">
          <cell r="A25" t="str">
            <v>02.017/A</v>
          </cell>
          <cell r="B25" t="str">
            <v>Her cins ve tonajda motorlu araç taşıma katsayısı (K katsayısı)</v>
          </cell>
          <cell r="C25" t="str">
            <v xml:space="preserve"> </v>
          </cell>
          <cell r="E25">
            <v>28500000</v>
          </cell>
          <cell r="F25">
            <v>35000000</v>
          </cell>
          <cell r="G25">
            <v>57750000</v>
          </cell>
        </row>
        <row r="26">
          <cell r="A26" t="str">
            <v>03.027</v>
          </cell>
          <cell r="B26" t="str">
            <v xml:space="preserve">Vibratör </v>
          </cell>
          <cell r="C26" t="str">
            <v>AD</v>
          </cell>
          <cell r="D26">
            <v>2781100</v>
          </cell>
          <cell r="G26">
            <v>532000000</v>
          </cell>
          <cell r="H26">
            <v>665000000</v>
          </cell>
        </row>
        <row r="27">
          <cell r="A27" t="str">
            <v>03.027/A</v>
          </cell>
          <cell r="B27" t="str">
            <v>Vibratör ( 0.000274 A )</v>
          </cell>
          <cell r="C27" t="str">
            <v>SA</v>
          </cell>
          <cell r="D27">
            <v>762.02139999999997</v>
          </cell>
          <cell r="G27">
            <v>145768</v>
          </cell>
        </row>
        <row r="28">
          <cell r="A28" t="str">
            <v>03.070</v>
          </cell>
          <cell r="B28" t="str">
            <v>Otomatik beton santralı</v>
          </cell>
          <cell r="C28" t="str">
            <v>AD</v>
          </cell>
          <cell r="D28">
            <v>196566350</v>
          </cell>
          <cell r="G28">
            <v>37516000000</v>
          </cell>
          <cell r="H28">
            <v>46895000000</v>
          </cell>
        </row>
        <row r="29">
          <cell r="A29" t="str">
            <v>03.070/A</v>
          </cell>
          <cell r="B29" t="str">
            <v>Otomatik beton santralı (0.000171 A )</v>
          </cell>
          <cell r="C29" t="str">
            <v>SA</v>
          </cell>
          <cell r="D29">
            <v>33612.845850000005</v>
          </cell>
          <cell r="G29">
            <v>6415236</v>
          </cell>
        </row>
        <row r="30">
          <cell r="A30" t="str">
            <v>03.501</v>
          </cell>
          <cell r="B30" t="str">
            <v>Ekskavatörün 1 saatlik ücreti (1 yd3 lük ve takriben 100 HP gücünde)</v>
          </cell>
          <cell r="C30" t="str">
            <v>SA</v>
          </cell>
          <cell r="D30">
            <v>119329</v>
          </cell>
          <cell r="E30">
            <v>12654609</v>
          </cell>
          <cell r="F30">
            <v>16617976</v>
          </cell>
          <cell r="G30">
            <v>29843444</v>
          </cell>
          <cell r="H30">
            <v>40865175</v>
          </cell>
        </row>
        <row r="31">
          <cell r="A31" t="str">
            <v>03.504</v>
          </cell>
          <cell r="B31" t="str">
            <v>Ekskavatörün 1 saatlik ücreti (2 1/2 yd3 lük ve takriben 210 HP gücünde)</v>
          </cell>
          <cell r="C31" t="str">
            <v>SA</v>
          </cell>
          <cell r="E31">
            <v>22447395</v>
          </cell>
          <cell r="F31">
            <v>17126752</v>
          </cell>
          <cell r="G31">
            <v>54012700</v>
          </cell>
          <cell r="H31">
            <v>74041795</v>
          </cell>
        </row>
        <row r="32">
          <cell r="A32" t="str">
            <v>03.506</v>
          </cell>
          <cell r="B32" t="str">
            <v>Traktör skreyperin 1 saatlik ücreti (TD 20 veya emsali 111 DHP + vagon kova 8 yd3)</v>
          </cell>
          <cell r="C32" t="str">
            <v>SA</v>
          </cell>
          <cell r="E32">
            <v>13069427</v>
          </cell>
          <cell r="F32">
            <v>17126752</v>
          </cell>
          <cell r="G32">
            <v>31041285</v>
          </cell>
          <cell r="H32">
            <v>42659024</v>
          </cell>
        </row>
        <row r="33">
          <cell r="A33" t="str">
            <v>03.507</v>
          </cell>
          <cell r="B33" t="str">
            <v>Traktör ripperin 1 saatlik ücreti (TD 25 veya emsali 185 DHP + ripper)</v>
          </cell>
          <cell r="C33" t="str">
            <v>SA</v>
          </cell>
          <cell r="E33">
            <v>20811221</v>
          </cell>
          <cell r="F33">
            <v>27233095</v>
          </cell>
          <cell r="G33">
            <v>53333610</v>
          </cell>
          <cell r="H33">
            <v>72519143</v>
          </cell>
        </row>
        <row r="34">
          <cell r="A34" t="str">
            <v>03.508</v>
          </cell>
          <cell r="B34" t="str">
            <v>Motor greyderin 1 saatlik ücreti (80 HP den yukarı güçte takriben 9 ton)</v>
          </cell>
          <cell r="C34" t="str">
            <v>SA</v>
          </cell>
          <cell r="E34">
            <v>10203916</v>
          </cell>
          <cell r="F34">
            <v>13402747</v>
          </cell>
          <cell r="G34">
            <v>24054177</v>
          </cell>
          <cell r="H34">
            <v>32895014</v>
          </cell>
        </row>
        <row r="35">
          <cell r="A35" t="str">
            <v>03.510/3</v>
          </cell>
          <cell r="B35" t="str">
            <v>Traktör buldozerin 1 saatlik ücreti (160 DHP gücünde, motor + bıçak)</v>
          </cell>
          <cell r="C35" t="str">
            <v>SA</v>
          </cell>
          <cell r="D35">
            <v>146564</v>
          </cell>
          <cell r="E35">
            <v>15637749</v>
          </cell>
          <cell r="F35">
            <v>20365552</v>
          </cell>
          <cell r="G35">
            <v>37985385</v>
          </cell>
          <cell r="H35">
            <v>52465424</v>
          </cell>
        </row>
        <row r="36">
          <cell r="A36" t="str">
            <v>03.511</v>
          </cell>
          <cell r="B36" t="str">
            <v>Traktör buldozerin 1 saatlik ücreti (TD 25 veya emsali 185 DHP + bıçak)</v>
          </cell>
          <cell r="C36" t="str">
            <v>SA</v>
          </cell>
          <cell r="E36">
            <v>20082717</v>
          </cell>
          <cell r="F36">
            <v>26249674</v>
          </cell>
          <cell r="G36">
            <v>48219342</v>
          </cell>
          <cell r="H36">
            <v>66126308</v>
          </cell>
        </row>
        <row r="37">
          <cell r="A37" t="str">
            <v>03.517</v>
          </cell>
          <cell r="B37" t="str">
            <v>Kompresörün 1 saatlik ücreti (210 Cfm lik kompresör + hortum ve tabancaları)</v>
          </cell>
          <cell r="C37" t="str">
            <v>SA</v>
          </cell>
          <cell r="E37">
            <v>8572497</v>
          </cell>
          <cell r="F37">
            <v>11420046</v>
          </cell>
          <cell r="G37">
            <v>18956724</v>
          </cell>
          <cell r="H37">
            <v>26355892</v>
          </cell>
        </row>
        <row r="38">
          <cell r="A38" t="str">
            <v>03.517/1</v>
          </cell>
          <cell r="B38" t="str">
            <v>Vantilasyon makinesinin 1 saatlik ücreti (210 Cfm lik kompresör ve vantilasyon boruları)</v>
          </cell>
          <cell r="C38" t="str">
            <v>SA</v>
          </cell>
          <cell r="E38">
            <v>6060337</v>
          </cell>
          <cell r="F38">
            <v>8027046</v>
          </cell>
          <cell r="G38">
            <v>13767724</v>
          </cell>
          <cell r="H38">
            <v>18986892</v>
          </cell>
        </row>
        <row r="39">
          <cell r="A39" t="str">
            <v>03.517/2</v>
          </cell>
          <cell r="B39" t="str">
            <v>Enjeksiyon makinesinin 1 saatlik ücreti (210 Cfm lik kompresör + enjeksiyon boruları + malzeme tankı)</v>
          </cell>
          <cell r="C39" t="str">
            <v>SA</v>
          </cell>
          <cell r="E39">
            <v>6060337</v>
          </cell>
          <cell r="F39">
            <v>8027046</v>
          </cell>
          <cell r="G39">
            <v>13767724</v>
          </cell>
          <cell r="H39">
            <v>18986892</v>
          </cell>
        </row>
        <row r="40">
          <cell r="A40" t="str">
            <v>03.517/3</v>
          </cell>
          <cell r="B40" t="str">
            <v>Kompresörün 1 saatlik ücreti (250 Cfm lik kompresör + havalı şahmerdan + havalı  delici + havalı sıkıcı grubu + pick-up veya kamyonet)	                  |SA</v>
          </cell>
          <cell r="C40" t="str">
            <v>SA</v>
          </cell>
          <cell r="E40">
            <v>6419509</v>
          </cell>
          <cell r="F40">
            <v>8511752</v>
          </cell>
          <cell r="G40">
            <v>1453144</v>
          </cell>
          <cell r="H40">
            <v>19956030</v>
          </cell>
        </row>
        <row r="41">
          <cell r="A41" t="str">
            <v>03.521</v>
          </cell>
          <cell r="B41" t="str">
            <v>Lastik tekerlekli yükleyicinin 1 saatlik ücreti(1 1/2 yd3 ve 5500 libre taşıma güçlü, takriben 80 DHP muadili)</v>
          </cell>
          <cell r="C41" t="str">
            <v>SA</v>
          </cell>
          <cell r="D41">
            <v>87904</v>
          </cell>
          <cell r="E41">
            <v>9434776</v>
          </cell>
          <cell r="F41">
            <v>12364440</v>
          </cell>
          <cell r="G41">
            <v>22392840</v>
          </cell>
          <cell r="H41">
            <v>30818400</v>
          </cell>
        </row>
        <row r="42">
          <cell r="A42" t="str">
            <v>03.524</v>
          </cell>
          <cell r="B42" t="str">
            <v>Betoniyerin 1 saatlik ücreti (Motoru ile takriben 250 litrelik)</v>
          </cell>
          <cell r="C42" t="str">
            <v>SA</v>
          </cell>
          <cell r="E42">
            <v>3308338</v>
          </cell>
          <cell r="F42">
            <v>4415048</v>
          </cell>
          <cell r="G42">
            <v>7230792</v>
          </cell>
          <cell r="H42">
            <v>10152310</v>
          </cell>
        </row>
        <row r="43">
          <cell r="A43" t="str">
            <v>03.525/1</v>
          </cell>
          <cell r="B43" t="str">
            <v>Yol çizgi boyası silme makinesinin 1 saatlik ücreti (7,5 HP gücünde)</v>
          </cell>
          <cell r="C43" t="str">
            <v>SA</v>
          </cell>
          <cell r="E43">
            <v>4525953</v>
          </cell>
          <cell r="F43">
            <v>6075580</v>
          </cell>
          <cell r="G43">
            <v>9761950</v>
          </cell>
          <cell r="H43">
            <v>13218920</v>
          </cell>
        </row>
        <row r="44">
          <cell r="A44" t="str">
            <v>03.527</v>
          </cell>
          <cell r="B44" t="str">
            <v>Vibratörün 1 saatlik ücreti (2,5 HP güç, 9-16 yd3/saat kapasiteli)</v>
          </cell>
          <cell r="C44" t="str">
            <v>SA</v>
          </cell>
          <cell r="E44">
            <v>870173</v>
          </cell>
          <cell r="F44">
            <v>1163642</v>
          </cell>
          <cell r="G44">
            <v>1887418</v>
          </cell>
          <cell r="H44">
            <v>2652410</v>
          </cell>
        </row>
        <row r="45">
          <cell r="A45" t="str">
            <v>03.530</v>
          </cell>
          <cell r="B45" t="str">
            <v>Konkasörün 1 saatlik ücreti (Primer 15"x24"+sekonder 24"x16",eleme ve yükleme tertibatlı, 25 m3/saat 1" ve 40 m3/saat 2" randımanlı)</v>
          </cell>
          <cell r="C45" t="str">
            <v>SA</v>
          </cell>
          <cell r="D45">
            <v>187645</v>
          </cell>
          <cell r="E45">
            <v>20805908</v>
          </cell>
          <cell r="F45">
            <v>27392011</v>
          </cell>
          <cell r="G45">
            <v>48409803</v>
          </cell>
          <cell r="H45">
            <v>66953051</v>
          </cell>
        </row>
        <row r="46">
          <cell r="A46" t="str">
            <v>03.531</v>
          </cell>
          <cell r="B46" t="str">
            <v>Eleme makinesinin 1 saatlik ücreti</v>
          </cell>
          <cell r="C46" t="str">
            <v>SA</v>
          </cell>
          <cell r="D46">
            <v>64503</v>
          </cell>
          <cell r="E46">
            <v>7268451</v>
          </cell>
          <cell r="F46">
            <v>9486767</v>
          </cell>
          <cell r="G46">
            <v>17430617</v>
          </cell>
          <cell r="H46">
            <v>24376334</v>
          </cell>
        </row>
        <row r="47">
          <cell r="A47" t="str">
            <v>03.533</v>
          </cell>
          <cell r="B47" t="str">
            <v>Motopompun 1 saatlik ücreti (5 Ps. gücünde)</v>
          </cell>
          <cell r="C47" t="str">
            <v>SA</v>
          </cell>
          <cell r="E47">
            <v>1109934</v>
          </cell>
          <cell r="F47">
            <v>1467798</v>
          </cell>
          <cell r="G47">
            <v>2519360</v>
          </cell>
          <cell r="H47">
            <v>3554650</v>
          </cell>
        </row>
        <row r="48">
          <cell r="A48" t="str">
            <v>03.534</v>
          </cell>
          <cell r="B48" t="str">
            <v>Motopompun 1 saatlik ücreti (20 Ps. gücünde)</v>
          </cell>
          <cell r="C48" t="str">
            <v>SA</v>
          </cell>
          <cell r="E48">
            <v>2513068</v>
          </cell>
          <cell r="F48">
            <v>3268690</v>
          </cell>
          <cell r="G48">
            <v>6098744</v>
          </cell>
          <cell r="H48">
            <v>8567980</v>
          </cell>
        </row>
        <row r="49">
          <cell r="A49" t="str">
            <v>03.538</v>
          </cell>
          <cell r="B49" t="str">
            <v>Arazözün 1 saatlik ücreti (5 tonluk su tanklı)</v>
          </cell>
          <cell r="C49" t="str">
            <v>SA</v>
          </cell>
          <cell r="E49">
            <v>5570037</v>
          </cell>
          <cell r="F49">
            <v>7240077</v>
          </cell>
          <cell r="G49">
            <v>13566825</v>
          </cell>
          <cell r="H49">
            <v>18983034</v>
          </cell>
        </row>
        <row r="50">
          <cell r="A50" t="str">
            <v>03.538/1</v>
          </cell>
          <cell r="B50" t="str">
            <v>Arazözün (Pick-up) 1 saatlik ücreti</v>
          </cell>
          <cell r="C50" t="str">
            <v>SA</v>
          </cell>
          <cell r="E50">
            <v>5289843</v>
          </cell>
          <cell r="F50">
            <v>6861825</v>
          </cell>
          <cell r="G50">
            <v>12961656</v>
          </cell>
          <cell r="H50">
            <v>18226530</v>
          </cell>
        </row>
        <row r="51">
          <cell r="A51" t="str">
            <v>03.538/2</v>
          </cell>
          <cell r="B51" t="str">
            <v>Kamyonun 1 saatlik ücreti (120 HP gücünde, 7 ton kapasiteli)</v>
          </cell>
          <cell r="C51" t="str">
            <v>SA</v>
          </cell>
          <cell r="E51">
            <v>10279324</v>
          </cell>
          <cell r="F51">
            <v>13317822</v>
          </cell>
          <cell r="G51">
            <v>25384257</v>
          </cell>
          <cell r="H51">
            <v>35372124</v>
          </cell>
        </row>
        <row r="52">
          <cell r="A52" t="str">
            <v>03.540</v>
          </cell>
          <cell r="B52" t="str">
            <v>Her cins (Titreşimli darbeli) motorlu kompaktörün 1 saatlik ücreti (Plaka, tokmak ve benzeri) (Motor gücü 9 HP, statik ağırlığı 400 kg.)</v>
          </cell>
          <cell r="C52" t="str">
            <v>SA</v>
          </cell>
          <cell r="E52">
            <v>3060429</v>
          </cell>
          <cell r="F52">
            <v>4090010</v>
          </cell>
          <cell r="G52">
            <v>6637364</v>
          </cell>
          <cell r="H52">
            <v>9353620</v>
          </cell>
        </row>
        <row r="53">
          <cell r="A53" t="str">
            <v>03.541</v>
          </cell>
          <cell r="B53" t="str">
            <v>Titreşimli silindirin 1 saatlik ücreti (4-5 ton-5 ton dahilstatik ağırlık ve 8-9 ton dinamik kuvvette titreşimli silindir + lastik tekerlekli traktör, takriben 35-58 DHP)</v>
          </cell>
          <cell r="C53" t="str">
            <v>SA</v>
          </cell>
          <cell r="E53">
            <v>8466715</v>
          </cell>
          <cell r="F53">
            <v>11057653</v>
          </cell>
          <cell r="G53">
            <v>20301924</v>
          </cell>
          <cell r="H53">
            <v>28204655</v>
          </cell>
        </row>
        <row r="54">
          <cell r="A54" t="str">
            <v>03.542</v>
          </cell>
          <cell r="B54" t="str">
            <v>Titreşimli silindirin 1 saatlik ücreti (4-5 ton-5 ton dahilstatik ağırlık ve 8-9 ton dinamik kuvvette titreşimli silindir + paletli traktör, takriben 41-56 DHP)</v>
          </cell>
          <cell r="C54" t="str">
            <v>SA</v>
          </cell>
          <cell r="E54">
            <v>8945750</v>
          </cell>
          <cell r="F54">
            <v>11685592</v>
          </cell>
          <cell r="G54">
            <v>21446265</v>
          </cell>
          <cell r="H54">
            <v>29742944</v>
          </cell>
        </row>
        <row r="55">
          <cell r="A55" t="str">
            <v>03.542/1</v>
          </cell>
          <cell r="B55" t="str">
            <v>Ttreşimli silindirin 1 saatlik ücreti (5-6 ton-6 ton dahilstatik ağırlık ve 10-12 ton dinamik kuvvette titreşimli silindir + paletli traktör, takriben 45-61 DHP)</v>
          </cell>
          <cell r="C55" t="str">
            <v>SA</v>
          </cell>
          <cell r="E55">
            <v>9893869</v>
          </cell>
          <cell r="F55">
            <v>12900385</v>
          </cell>
          <cell r="G55">
            <v>23878344</v>
          </cell>
          <cell r="H55">
            <v>33160370</v>
          </cell>
        </row>
        <row r="56">
          <cell r="A56" t="str">
            <v>03.542/2</v>
          </cell>
          <cell r="B56" t="str">
            <v>Titreşimli silindirin 1 saatlik ücreti (6-7 ton-7 ton dahilstatik ağırlık ve 12-14 ton dinamik kuvvette titreşimli silindir + paletli traktör, takriben 50-60 DHP)</v>
          </cell>
          <cell r="C56" t="str">
            <v>SA</v>
          </cell>
          <cell r="E56">
            <v>11914405</v>
          </cell>
          <cell r="F56">
            <v>15558211</v>
          </cell>
          <cell r="G56">
            <v>28654023</v>
          </cell>
          <cell r="H56">
            <v>39534251</v>
          </cell>
        </row>
        <row r="57">
          <cell r="A57" t="str">
            <v>03.542/3</v>
          </cell>
          <cell r="B57" t="str">
            <v>Titreşimli silindirin 1 saatlik ücreti (7-9 ton-9 ton dahilstatik ağırlık ve 14-18 ton dinamik kuvvette titreşimli silindir + paletli traktör, takriben 56-76 DHP)</v>
          </cell>
          <cell r="C57" t="str">
            <v>SA</v>
          </cell>
          <cell r="E57">
            <v>13492043</v>
          </cell>
          <cell r="F57">
            <v>17580655</v>
          </cell>
          <cell r="G57">
            <v>32692368</v>
          </cell>
          <cell r="H57">
            <v>45202190</v>
          </cell>
        </row>
        <row r="58">
          <cell r="A58" t="str">
            <v>03.542/4</v>
          </cell>
          <cell r="B58" t="str">
            <v>Titreşimli silindirin 1 saatlik ücreti(9-11 ton-11 ton dahilstatik ağırlık ve 18-22 ton dinamik kuvvette titreşimli silindir + paletli traktör, takriben 66-86 DHP)</v>
          </cell>
          <cell r="C58" t="str">
            <v>SA</v>
          </cell>
          <cell r="E58">
            <v>15953854</v>
          </cell>
          <cell r="F58">
            <v>20787544</v>
          </cell>
          <cell r="G58">
            <v>38695422</v>
          </cell>
          <cell r="H58">
            <v>53379968</v>
          </cell>
        </row>
        <row r="59">
          <cell r="A59" t="str">
            <v>03.542/5</v>
          </cell>
          <cell r="B59" t="str">
            <v>Titreşimli silindirin 1 saatlik ücreti (11-13 ton-13 ton dahil-statik ağırlık ve 22-26 ton dinamik kuvvette titreşimli silindir + paletli traktör, takriben 76-96 DHP)</v>
          </cell>
          <cell r="C59" t="str">
            <v>SA</v>
          </cell>
          <cell r="E59">
            <v>17967355</v>
          </cell>
          <cell r="F59">
            <v>23389264</v>
          </cell>
          <cell r="G59">
            <v>43730274</v>
          </cell>
          <cell r="H59">
            <v>60347408</v>
          </cell>
        </row>
        <row r="60">
          <cell r="A60" t="str">
            <v>03.542/6</v>
          </cell>
          <cell r="B60" t="str">
            <v>Titreşimli silindirin 1 saatlik ücreti (13-15 ton-15 ton dahil-statik ağırlık ve 26-30 ton dinamik kuvvette titreşimli silindir + paletli traktör, takriben 90-110 DHP)</v>
          </cell>
          <cell r="C60" t="str">
            <v>SA</v>
          </cell>
          <cell r="E60">
            <v>20357990</v>
          </cell>
          <cell r="F60">
            <v>26458174</v>
          </cell>
          <cell r="G60">
            <v>49826586</v>
          </cell>
          <cell r="H60">
            <v>68884268</v>
          </cell>
        </row>
        <row r="61">
          <cell r="A61" t="str">
            <v>03.543</v>
          </cell>
          <cell r="B61" t="str">
            <v>Komple keçiayağı silindirin 1 saatlik ücreti(1 çift tamburlu) (Takriben 40 DHP paletli traktör, çekici ve tamburların toplam ağırlığı asgari 4000 kg. olan, beheri en az 1.20 m. uzunlukta iki tamburlu)</v>
          </cell>
          <cell r="C61" t="str">
            <v>SA</v>
          </cell>
          <cell r="E61">
            <v>5477593</v>
          </cell>
          <cell r="F61">
            <v>7209001</v>
          </cell>
          <cell r="G61">
            <v>12763155</v>
          </cell>
          <cell r="H61">
            <v>17647511</v>
          </cell>
        </row>
        <row r="62">
          <cell r="A62" t="str">
            <v>03.543/1</v>
          </cell>
          <cell r="B62" t="str">
            <v>Keçiayağı silindirin 1 saatlik ücreti (2 çift tamburlu) (Takriben 70 DHP paletli traktör, çekici ve tamburların toplam ağırlığı asgari 8000 kg. olan, Poz 03.543 deki evsafta 4 tamburlu)</v>
          </cell>
          <cell r="C62" t="str">
            <v>SA</v>
          </cell>
          <cell r="E62">
            <v>8764148</v>
          </cell>
          <cell r="F62">
            <v>11534401</v>
          </cell>
          <cell r="G62">
            <v>20421048</v>
          </cell>
          <cell r="H62">
            <v>28236017</v>
          </cell>
        </row>
        <row r="63">
          <cell r="A63" t="str">
            <v>03.543/2</v>
          </cell>
          <cell r="B63" t="str">
            <v>Keçiayağı silindirin 1 saatlik ücreti (3 çift tamburlu) (Takriben 100 DHP paletli traktör, çekici ve tamburların toplam ağırlığı asgari 12000 kg. olan, Poz 03.543 deki evsafta 6 tamburlu)</v>
          </cell>
          <cell r="C63" t="str">
            <v>SA</v>
          </cell>
          <cell r="E63">
            <v>11502945</v>
          </cell>
          <cell r="F63">
            <v>15138902</v>
          </cell>
          <cell r="G63">
            <v>26802625</v>
          </cell>
          <cell r="H63">
            <v>37059773</v>
          </cell>
        </row>
        <row r="64">
          <cell r="A64" t="str">
            <v>03.544</v>
          </cell>
          <cell r="B64" t="str">
            <v>Demir merdaneli silindirin 1 saatlik ücreti (40 DHP çekici+8-10 tonluk-10 ton dahil, 2-3 tekerlekli)</v>
          </cell>
          <cell r="C64" t="str">
            <v>SA</v>
          </cell>
          <cell r="E64">
            <v>5477593</v>
          </cell>
          <cell r="F64">
            <v>7209001</v>
          </cell>
          <cell r="G64">
            <v>12763155</v>
          </cell>
          <cell r="H64">
            <v>17647511</v>
          </cell>
        </row>
        <row r="65">
          <cell r="A65" t="str">
            <v>03.544/1</v>
          </cell>
          <cell r="B65" t="str">
            <v>Demir merdaneli silindirin 1 saatlik ücreti (60 DHP çekici + 10-14 tonluk-14 ton dahil, 2-3 tekerlekli)</v>
          </cell>
          <cell r="C65" t="str">
            <v>SA</v>
          </cell>
          <cell r="D65">
            <v>63259</v>
          </cell>
          <cell r="E65">
            <v>6948340</v>
          </cell>
          <cell r="F65">
            <v>9101251</v>
          </cell>
          <cell r="G65">
            <v>16488435</v>
          </cell>
          <cell r="H65">
            <v>22483211</v>
          </cell>
        </row>
        <row r="66">
          <cell r="A66" t="str">
            <v>03.545</v>
          </cell>
          <cell r="B66" t="str">
            <v>Lastik tekerlekli silindirin 1 saatlik ücreti (40 DHP çekici + 7-8 tonluk-8 ton dahil, çekicisi ile)</v>
          </cell>
          <cell r="C66" t="str">
            <v>SA</v>
          </cell>
          <cell r="D66">
            <v>49501</v>
          </cell>
          <cell r="E66">
            <v>5477593</v>
          </cell>
          <cell r="F66">
            <v>7209001</v>
          </cell>
          <cell r="G66">
            <v>12763155</v>
          </cell>
          <cell r="H66">
            <v>17647511</v>
          </cell>
        </row>
        <row r="67">
          <cell r="A67" t="str">
            <v>03.545/3</v>
          </cell>
          <cell r="B67" t="str">
            <v>Lastik tekerlekli silindirin 1 saatlik ücreti (Kendinden yürür 80-100 HP gücünde, 35 ton statik ağırlıkta)</v>
          </cell>
          <cell r="C67" t="str">
            <v>SA</v>
          </cell>
          <cell r="D67">
            <v>94551</v>
          </cell>
          <cell r="E67">
            <v>10166598</v>
          </cell>
          <cell r="F67">
            <v>13280142</v>
          </cell>
          <cell r="G67">
            <v>24415049</v>
          </cell>
          <cell r="H67">
            <v>33709964</v>
          </cell>
        </row>
        <row r="68">
          <cell r="A68" t="str">
            <v>03.545/4</v>
          </cell>
          <cell r="B68" t="str">
            <v>Lastik tekerlekli traktörün 1 saatlik ücreti (Ziraat işlerinde kullanılan)(Takriben 45 HP gücünde, pulluk ve diskleri ile birlikte)</v>
          </cell>
          <cell r="C68" t="str">
            <v>SA</v>
          </cell>
          <cell r="E68">
            <v>5195938</v>
          </cell>
          <cell r="F68">
            <v>6805116</v>
          </cell>
          <cell r="G68">
            <v>12274077</v>
          </cell>
          <cell r="H68">
            <v>17234232</v>
          </cell>
        </row>
        <row r="69">
          <cell r="A69" t="str">
            <v>03.554/1</v>
          </cell>
          <cell r="B69" t="str">
            <v>Süpürge makinesinin (Vakumlu) 1 saatlik ücreti (Takriben 130 HP + 81 HP gücünde)</v>
          </cell>
          <cell r="C69" t="str">
            <v>SA</v>
          </cell>
          <cell r="E69">
            <v>22064609</v>
          </cell>
          <cell r="F69">
            <v>28967871</v>
          </cell>
          <cell r="G69">
            <v>52028997</v>
          </cell>
          <cell r="H69">
            <v>71451342</v>
          </cell>
        </row>
        <row r="70">
          <cell r="A70" t="str">
            <v>03.554/2A</v>
          </cell>
          <cell r="B70" t="str">
            <v>Termoplastik yol çizgi makinesinin ve ısıtıcısının 1 saatlik ücreti (175 HP gücünde kamyon, 60 HP gücünde 125 Cfm lik kompresör)</v>
          </cell>
          <cell r="C70" t="str">
            <v>SA</v>
          </cell>
          <cell r="E70">
            <v>37486773</v>
          </cell>
          <cell r="F70">
            <v>49176694</v>
          </cell>
          <cell r="G70">
            <v>88936630</v>
          </cell>
          <cell r="H70">
            <v>121119915</v>
          </cell>
        </row>
        <row r="71">
          <cell r="A71" t="str">
            <v>03.554/3</v>
          </cell>
          <cell r="B71" t="str">
            <v>Soğuk yol çizgi makinesinin 1 saatlik ücreti (168 HP gücünde kamyon, 24 HP gücünde 85 Cfm lik kompresör)</v>
          </cell>
          <cell r="C71" t="str">
            <v>SA</v>
          </cell>
          <cell r="E71">
            <v>25404896</v>
          </cell>
          <cell r="F71">
            <v>33552412</v>
          </cell>
          <cell r="G71">
            <v>58600222</v>
          </cell>
          <cell r="H71">
            <v>79982904</v>
          </cell>
        </row>
        <row r="72">
          <cell r="A72" t="str">
            <v>03.554/4</v>
          </cell>
          <cell r="B72" t="str">
            <v>Termoplastik boya ön ısıtıcısının 1 saatlik ücreti (175 HP gücünde kamyon ve üzerindeki ısıtma ile karıştırma tertibatlı)</v>
          </cell>
          <cell r="C72" t="str">
            <v>SA</v>
          </cell>
          <cell r="E72">
            <v>30895708</v>
          </cell>
          <cell r="F72">
            <v>40511920</v>
          </cell>
          <cell r="G72">
            <v>73329010</v>
          </cell>
          <cell r="H72">
            <v>100262640</v>
          </cell>
        </row>
        <row r="73">
          <cell r="A73" t="str">
            <v>03.568/2</v>
          </cell>
          <cell r="B73" t="str">
            <v>Fore kazık delgi makinesinin 1 saatlik ücreti (1 yd3 lük ve takriben 100 HP gücünde ekskavatör + takriben 86 HP gücünde benoto tip 5 model veya emsali, iksa borusu vs. avadanlıkları ile birlikte)</v>
          </cell>
          <cell r="C73" t="str">
            <v>SA</v>
          </cell>
          <cell r="D73">
            <v>204782</v>
          </cell>
          <cell r="E73">
            <v>21395297</v>
          </cell>
          <cell r="F73">
            <v>28017060</v>
          </cell>
          <cell r="G73">
            <v>51055710</v>
          </cell>
          <cell r="H73">
            <v>100262640</v>
          </cell>
        </row>
        <row r="74">
          <cell r="A74" t="str">
            <v>03.570</v>
          </cell>
          <cell r="B74" t="str">
            <v>Otomatik beton santralının 1 saatlik ücreti (40 HP gücünde)</v>
          </cell>
          <cell r="C74" t="str">
            <v>SA</v>
          </cell>
          <cell r="E74">
            <v>8996690</v>
          </cell>
          <cell r="F74">
            <v>12244848</v>
          </cell>
          <cell r="G74">
            <v>20180576</v>
          </cell>
          <cell r="H74">
            <v>25709070</v>
          </cell>
        </row>
        <row r="75">
          <cell r="A75" t="str">
            <v>03.570/1</v>
          </cell>
          <cell r="B75" t="str">
            <v>Prefabrik beton plak, parke yapma tesisinin 1 saatlik ücreti</v>
          </cell>
          <cell r="C75" t="str">
            <v>SA</v>
          </cell>
          <cell r="E75">
            <v>38874400</v>
          </cell>
          <cell r="F75">
            <v>52684598</v>
          </cell>
          <cell r="G75">
            <v>85598424</v>
          </cell>
          <cell r="H75">
            <v>100262640</v>
          </cell>
        </row>
        <row r="76">
          <cell r="A76" t="str">
            <v>03.570/2</v>
          </cell>
          <cell r="B76" t="str">
            <v>Asfalt kazıma makinesinin 1 saatlik ücreti (400 HP gücünde, max. 2.05 m. freze genişliğinde, 0.15 m. freze derinliğinde, konveyörlü)</v>
          </cell>
          <cell r="C76" t="str">
            <v>SA</v>
          </cell>
          <cell r="E76">
            <v>100821534</v>
          </cell>
          <cell r="F76">
            <v>134243771</v>
          </cell>
          <cell r="G76">
            <v>228380998</v>
          </cell>
          <cell r="H76">
            <v>107657750</v>
          </cell>
        </row>
        <row r="77">
          <cell r="A77" t="str">
            <v>03.572/3</v>
          </cell>
          <cell r="B77" t="str">
            <v>Kablo germe makinesinin 1 saatlik ücreti (Öngerilmeli betonlarda)</v>
          </cell>
          <cell r="C77" t="str">
            <v>SA</v>
          </cell>
          <cell r="E77">
            <v>1089869</v>
          </cell>
          <cell r="F77">
            <v>1474500</v>
          </cell>
          <cell r="G77">
            <v>2339700</v>
          </cell>
          <cell r="H77">
            <v>3201650</v>
          </cell>
        </row>
        <row r="78">
          <cell r="A78" t="str">
            <v>03.572/3-B</v>
          </cell>
          <cell r="B78" t="str">
            <v>Önçekim öngerilmeli betonlarda kablo germe makinesinin 1 saatlik ücreti (Germe, gevşetme ve kesme makineleri ile pompa ve aksesuarları dahil komple)</v>
          </cell>
          <cell r="C78" t="str">
            <v>SA</v>
          </cell>
          <cell r="E78">
            <v>19636890</v>
          </cell>
          <cell r="F78">
            <v>26513150</v>
          </cell>
          <cell r="G78">
            <v>44905060</v>
          </cell>
          <cell r="H78">
            <v>56408450</v>
          </cell>
        </row>
        <row r="79">
          <cell r="A79" t="str">
            <v>03.573</v>
          </cell>
          <cell r="B79" t="str">
            <v>5 Kw jeneratör grubunun 1 saatlik ücreti (7.5 HP benzin motoru ile akuple portatif veya seyyar)</v>
          </cell>
          <cell r="C79" t="str">
            <v>SA</v>
          </cell>
          <cell r="E79">
            <v>2320553</v>
          </cell>
          <cell r="F79">
            <v>3015679</v>
          </cell>
          <cell r="G79">
            <v>5056996</v>
          </cell>
          <cell r="H79">
            <v>7114488</v>
          </cell>
        </row>
        <row r="80">
          <cell r="A80" t="str">
            <v>03.578</v>
          </cell>
          <cell r="B80" t="str">
            <v>Lastik tekerlekli motorlu bahçe el traktörünün 1 saatlik ücreti (Çim biçme tertibatlı) (11 HP gücünde)</v>
          </cell>
          <cell r="C80" t="str">
            <v>SA</v>
          </cell>
          <cell r="E80">
            <v>1660632</v>
          </cell>
          <cell r="F80">
            <v>2190560</v>
          </cell>
          <cell r="G80">
            <v>3817820</v>
          </cell>
        </row>
        <row r="81">
          <cell r="A81" t="str">
            <v>03.587</v>
          </cell>
          <cell r="B81" t="str">
            <v>Vinç'in 1 saatlik ücreti (130 HP gücünde, 8-25 m. bum uzunluğunda ortalama 25 ton kaldırma kapasiteli lastik tekerlekli hidrolik vinc)</v>
          </cell>
          <cell r="C81" t="str">
            <v>SA</v>
          </cell>
          <cell r="E81">
            <v>22943856</v>
          </cell>
          <cell r="F81">
            <v>30368656</v>
          </cell>
          <cell r="G81">
            <v>52912632</v>
          </cell>
        </row>
        <row r="82">
          <cell r="A82" t="str">
            <v>04.008</v>
          </cell>
          <cell r="B82" t="str">
            <v>Portland Çimentosu (TS19, PÇ 32.5) (Torba) - Fabrikada</v>
          </cell>
          <cell r="C82" t="str">
            <v>TN</v>
          </cell>
          <cell r="H82">
            <v>69600000</v>
          </cell>
        </row>
        <row r="83">
          <cell r="A83" t="str">
            <v>04.008/1</v>
          </cell>
          <cell r="B83" t="str">
            <v>Portland Çimentosu (TS19, PÇ 32.5) (Dökme) - Fabrikada</v>
          </cell>
          <cell r="C83" t="str">
            <v>TN</v>
          </cell>
          <cell r="H83">
            <v>60000000</v>
          </cell>
        </row>
        <row r="84">
          <cell r="A84" t="str">
            <v>04.008/2</v>
          </cell>
          <cell r="B84" t="str">
            <v>Portland Çimentosu (TS19, PÇ 42.5) (Torbalı) - Fabrikada</v>
          </cell>
          <cell r="C84" t="str">
            <v>TN</v>
          </cell>
          <cell r="H84">
            <v>72000000</v>
          </cell>
        </row>
        <row r="85">
          <cell r="A85" t="str">
            <v>04.008/3</v>
          </cell>
          <cell r="B85" t="str">
            <v>Portland Çimentosu (TS19, PÇ 42.5) (Dökme) - Fabrikada</v>
          </cell>
          <cell r="C85" t="str">
            <v>TN</v>
          </cell>
          <cell r="H85">
            <v>69600000</v>
          </cell>
        </row>
        <row r="86">
          <cell r="A86" t="str">
            <v>04.008/4</v>
          </cell>
          <cell r="B86" t="str">
            <v>Portland Çimentosu (TS19, PÇ 52.5) (Dökme) - Fabrikada</v>
          </cell>
          <cell r="C86" t="str">
            <v>TN</v>
          </cell>
          <cell r="H86">
            <v>102000000</v>
          </cell>
        </row>
        <row r="87">
          <cell r="A87" t="str">
            <v>04.008/5</v>
          </cell>
          <cell r="B87" t="str">
            <v>Portland Çimentosu (TS12143, PKÇ/A 32.5R) (Torbalı) - Fabrikada</v>
          </cell>
          <cell r="C87" t="str">
            <v>TN</v>
          </cell>
          <cell r="H87">
            <v>62000000</v>
          </cell>
        </row>
        <row r="88">
          <cell r="A88" t="str">
            <v>04.008/6</v>
          </cell>
          <cell r="B88" t="str">
            <v>Portland Çimentosu (TS12143, PKÇ/B 32.5R) (Dökme) - Fabrikada</v>
          </cell>
          <cell r="C88" t="str">
            <v>TN</v>
          </cell>
          <cell r="H88">
            <v>60000000</v>
          </cell>
        </row>
        <row r="89">
          <cell r="A89" t="str">
            <v>04.008/7</v>
          </cell>
          <cell r="B89" t="str">
            <v>Portland Çimentosu (TS3646, EYÇ 32.5) (Torbalı) - Fabrikada</v>
          </cell>
          <cell r="C89" t="str">
            <v>TN</v>
          </cell>
          <cell r="H89">
            <v>55200000</v>
          </cell>
        </row>
        <row r="90">
          <cell r="A90" t="str">
            <v>04.008/8</v>
          </cell>
          <cell r="B90" t="str">
            <v>Portland Çimentosu (TS3646, EYÇ 32.5) (Dökme) - Fabrikada</v>
          </cell>
          <cell r="C90" t="str">
            <v>TN</v>
          </cell>
          <cell r="H90">
            <v>52000000</v>
          </cell>
        </row>
        <row r="91">
          <cell r="A91" t="str">
            <v>04.008/9</v>
          </cell>
          <cell r="B91" t="str">
            <v>Portland Çimentosu (TS10157, SDÇ 32.5) (Torbalı) - Fabrikada</v>
          </cell>
          <cell r="C91" t="str">
            <v>TN</v>
          </cell>
          <cell r="H91">
            <v>74400000</v>
          </cell>
        </row>
        <row r="92">
          <cell r="A92" t="str">
            <v>04.009</v>
          </cell>
          <cell r="B92" t="str">
            <v>Portland Çimentosu (TS10156, KÇ 32.5) (Torbalı) - Fabrikada</v>
          </cell>
          <cell r="C92" t="str">
            <v>TN</v>
          </cell>
          <cell r="H92">
            <v>50400000</v>
          </cell>
        </row>
        <row r="93">
          <cell r="A93" t="str">
            <v>04.009/1</v>
          </cell>
          <cell r="B93" t="str">
            <v>Portland Çimentosu (TS10156, KÇ 32.5) (Dökme) - Fabrikada</v>
          </cell>
          <cell r="C93" t="str">
            <v>TN</v>
          </cell>
          <cell r="H93">
            <v>48000000</v>
          </cell>
        </row>
        <row r="94">
          <cell r="A94" t="str">
            <v>04.010</v>
          </cell>
          <cell r="B94" t="str">
            <v>Portland Çimentosu (TS26, TÇ 32.5) (Torbalı) - Fabrikada</v>
          </cell>
          <cell r="C94" t="str">
            <v>TN</v>
          </cell>
          <cell r="H94">
            <v>48000000</v>
          </cell>
        </row>
        <row r="95">
          <cell r="A95" t="str">
            <v>04.010/1</v>
          </cell>
          <cell r="B95" t="str">
            <v>Portland Çimentosu (TS26, TÇ 32.5) (Dökme) - Fabrikada</v>
          </cell>
          <cell r="C95" t="str">
            <v>TN</v>
          </cell>
          <cell r="H95">
            <v>45600000</v>
          </cell>
        </row>
        <row r="96">
          <cell r="A96" t="str">
            <v>04.011</v>
          </cell>
          <cell r="B96" t="str">
            <v>Portland Çimentosu (TS20, CÇ 32.5) (Torbalı) - Fabrikada</v>
          </cell>
          <cell r="C96" t="str">
            <v>TN</v>
          </cell>
          <cell r="H96">
            <v>45600000</v>
          </cell>
        </row>
        <row r="97">
          <cell r="A97" t="str">
            <v>04.011/1</v>
          </cell>
          <cell r="B97" t="str">
            <v>Portland Çimentosu (TS20, CÇ 32.5) (Dökme) - Fabrikada</v>
          </cell>
          <cell r="C97" t="str">
            <v>TN</v>
          </cell>
          <cell r="H97">
            <v>43200000</v>
          </cell>
        </row>
        <row r="98">
          <cell r="A98" t="str">
            <v>04.012</v>
          </cell>
          <cell r="B98" t="str">
            <v>Portland Çimentosu (TS21, BPÇ 32.5) (Torbalı) - Fabrikada</v>
          </cell>
          <cell r="C98" t="str">
            <v>TN</v>
          </cell>
          <cell r="H98">
            <v>98400000</v>
          </cell>
        </row>
        <row r="99">
          <cell r="A99" t="str">
            <v>04.012/1</v>
          </cell>
          <cell r="B99" t="str">
            <v>Portland Çimentosu (TS21, BPÇ 32.5) (Dökme) - Fabrikada</v>
          </cell>
          <cell r="C99" t="str">
            <v>TN</v>
          </cell>
          <cell r="H99">
            <v>96000000</v>
          </cell>
        </row>
        <row r="100">
          <cell r="A100" t="str">
            <v>04.032</v>
          </cell>
          <cell r="B100" t="str">
            <v>Su</v>
          </cell>
          <cell r="C100" t="str">
            <v>TN</v>
          </cell>
          <cell r="D100">
            <v>5904</v>
          </cell>
          <cell r="G100">
            <v>1630500</v>
          </cell>
        </row>
        <row r="101">
          <cell r="A101" t="str">
            <v>04.109</v>
          </cell>
          <cell r="B101" t="str">
            <v>Mazot</v>
          </cell>
          <cell r="C101" t="str">
            <v>KG</v>
          </cell>
          <cell r="D101">
            <v>3205</v>
          </cell>
          <cell r="G101">
            <v>917000</v>
          </cell>
          <cell r="H101">
            <v>1296000</v>
          </cell>
        </row>
        <row r="102">
          <cell r="A102" t="str">
            <v>04.112</v>
          </cell>
          <cell r="B102" t="str">
            <v>Elektrik enerjisi</v>
          </cell>
          <cell r="C102" t="str">
            <v>KWH</v>
          </cell>
          <cell r="D102">
            <v>443</v>
          </cell>
          <cell r="G102">
            <v>130000</v>
          </cell>
          <cell r="H102">
            <v>155000</v>
          </cell>
        </row>
        <row r="103">
          <cell r="A103" t="str">
            <v>04.290/5</v>
          </cell>
          <cell r="B103" t="str">
            <v>Boru zati bedeli</v>
          </cell>
          <cell r="G103">
            <v>4438000</v>
          </cell>
        </row>
        <row r="104">
          <cell r="A104" t="str">
            <v>08.001/K</v>
          </cell>
          <cell r="B104" t="str">
            <v>El ile kum, çakıl hazırlanması (Tüvenan)</v>
          </cell>
          <cell r="C104" t="str">
            <v>M3</v>
          </cell>
          <cell r="E104">
            <v>2368800</v>
          </cell>
          <cell r="F104">
            <v>3199500</v>
          </cell>
          <cell r="G104">
            <v>4891500</v>
          </cell>
          <cell r="H104">
            <v>6948000</v>
          </cell>
        </row>
        <row r="105">
          <cell r="A105" t="str">
            <v>08.001/K-1</v>
          </cell>
          <cell r="B105" t="str">
            <v>Tüvenan kum veya çakıl temini</v>
          </cell>
          <cell r="C105" t="str">
            <v>M3</v>
          </cell>
          <cell r="E105">
            <v>2368800</v>
          </cell>
          <cell r="F105">
            <v>3199500</v>
          </cell>
          <cell r="G105">
            <v>4891500</v>
          </cell>
          <cell r="H105">
            <v>6948000</v>
          </cell>
        </row>
        <row r="106">
          <cell r="A106" t="str">
            <v>08.002/1-K</v>
          </cell>
          <cell r="B106" t="str">
            <v>Makine ile kil ve benzeri bağlayıcı malzemenin temini</v>
          </cell>
          <cell r="C106" t="str">
            <v>M3</v>
          </cell>
          <cell r="E106">
            <v>418855</v>
          </cell>
          <cell r="F106">
            <v>557438</v>
          </cell>
          <cell r="G106">
            <v>929885</v>
          </cell>
          <cell r="H106">
            <v>1294140</v>
          </cell>
        </row>
        <row r="107">
          <cell r="A107" t="str">
            <v>08.002/K</v>
          </cell>
          <cell r="B107" t="str">
            <v>El ile kil hazırlanması</v>
          </cell>
          <cell r="C107" t="str">
            <v>M3</v>
          </cell>
          <cell r="E107">
            <v>2895200</v>
          </cell>
          <cell r="F107">
            <v>3910500</v>
          </cell>
          <cell r="G107">
            <v>5978500</v>
          </cell>
          <cell r="H107">
            <v>8492000</v>
          </cell>
        </row>
        <row r="108">
          <cell r="A108" t="str">
            <v>08.003/K</v>
          </cell>
          <cell r="B108" t="str">
            <v>El ile kum veya kum-çakıl çıkarılması, elenmesi</v>
          </cell>
          <cell r="C108" t="str">
            <v>M3</v>
          </cell>
          <cell r="E108">
            <v>3948000</v>
          </cell>
          <cell r="F108">
            <v>5332500</v>
          </cell>
          <cell r="G108">
            <v>8152500</v>
          </cell>
          <cell r="H108">
            <v>11580000</v>
          </cell>
        </row>
        <row r="109">
          <cell r="A109" t="str">
            <v>08.003/K-1</v>
          </cell>
          <cell r="B109" t="str">
            <v>Elenmiş kum temini (Yıkama hariç)</v>
          </cell>
          <cell r="C109" t="str">
            <v>M3</v>
          </cell>
          <cell r="D109">
            <v>21430</v>
          </cell>
          <cell r="E109">
            <v>2873475</v>
          </cell>
          <cell r="F109">
            <v>3883258</v>
          </cell>
          <cell r="G109">
            <v>5918403</v>
          </cell>
          <cell r="H109">
            <v>8408239</v>
          </cell>
        </row>
        <row r="110">
          <cell r="A110" t="str">
            <v>08.003/K-2</v>
          </cell>
          <cell r="B110" t="str">
            <v>Elenmiş çakıl temini (Yıkama hariç)</v>
          </cell>
          <cell r="C110" t="str">
            <v>M3</v>
          </cell>
          <cell r="D110">
            <v>21430</v>
          </cell>
          <cell r="E110">
            <v>2873475</v>
          </cell>
          <cell r="F110">
            <v>3883258</v>
          </cell>
          <cell r="G110">
            <v>5918403</v>
          </cell>
          <cell r="H110">
            <v>8408239</v>
          </cell>
        </row>
        <row r="111">
          <cell r="A111" t="str">
            <v>08.004/K</v>
          </cell>
          <cell r="B111" t="str">
            <v>El ile elenmiş granülometrik kum hazırlanması</v>
          </cell>
          <cell r="C111" t="str">
            <v>M3</v>
          </cell>
          <cell r="E111">
            <v>4474400</v>
          </cell>
          <cell r="F111">
            <v>6043500</v>
          </cell>
          <cell r="G111">
            <v>9239500</v>
          </cell>
          <cell r="H111">
            <v>13124000</v>
          </cell>
        </row>
        <row r="112">
          <cell r="A112" t="str">
            <v>08.004/K-1</v>
          </cell>
          <cell r="B112" t="str">
            <v>Granülometrik kum temini (Yıkama hariç)</v>
          </cell>
          <cell r="C112" t="str">
            <v>M3</v>
          </cell>
          <cell r="D112">
            <v>25366</v>
          </cell>
          <cell r="E112">
            <v>3399875</v>
          </cell>
          <cell r="F112">
            <v>4594258</v>
          </cell>
          <cell r="G112">
            <v>7005403</v>
          </cell>
          <cell r="H112">
            <v>9952239</v>
          </cell>
        </row>
        <row r="113">
          <cell r="A113" t="str">
            <v>08.005/K</v>
          </cell>
          <cell r="B113" t="str">
            <v>El ile elenmiş granülometrik çakıl hazırlanması</v>
          </cell>
          <cell r="C113" t="str">
            <v>M3</v>
          </cell>
          <cell r="E113">
            <v>5000800</v>
          </cell>
          <cell r="F113">
            <v>6754500</v>
          </cell>
          <cell r="G113">
            <v>10326500</v>
          </cell>
          <cell r="H113">
            <v>14668000</v>
          </cell>
        </row>
        <row r="114">
          <cell r="A114" t="str">
            <v>08.005/K-1</v>
          </cell>
          <cell r="B114" t="str">
            <v>Granülometrik çakıl temini (Yıkama hariç)</v>
          </cell>
          <cell r="C114" t="str">
            <v>M3</v>
          </cell>
          <cell r="D114">
            <v>29302</v>
          </cell>
          <cell r="E114">
            <v>3926275</v>
          </cell>
          <cell r="F114">
            <v>5305258</v>
          </cell>
          <cell r="G114">
            <v>8092403</v>
          </cell>
          <cell r="H114">
            <v>11496239</v>
          </cell>
        </row>
        <row r="115">
          <cell r="A115" t="str">
            <v>08.006/K</v>
          </cell>
          <cell r="B115" t="str">
            <v>El ile mil kumu çıkarılması, elenmesi</v>
          </cell>
          <cell r="C115" t="str">
            <v>M3</v>
          </cell>
          <cell r="E115">
            <v>3948000</v>
          </cell>
          <cell r="F115">
            <v>5332500</v>
          </cell>
          <cell r="G115">
            <v>8152500</v>
          </cell>
          <cell r="H115">
            <v>11580000</v>
          </cell>
        </row>
        <row r="116">
          <cell r="A116" t="str">
            <v>08.006/K-1</v>
          </cell>
          <cell r="B116" t="str">
            <v>Mil kumu temini</v>
          </cell>
          <cell r="C116" t="str">
            <v>M3</v>
          </cell>
          <cell r="E116">
            <v>3948000</v>
          </cell>
          <cell r="F116">
            <v>5332500</v>
          </cell>
          <cell r="G116">
            <v>8152500</v>
          </cell>
          <cell r="H116">
            <v>11580000</v>
          </cell>
        </row>
        <row r="117">
          <cell r="A117" t="str">
            <v>08.007/K</v>
          </cell>
          <cell r="B117" t="str">
            <v>El ile kum ve çakıl yıkanması</v>
          </cell>
          <cell r="C117" t="str">
            <v>M3</v>
          </cell>
          <cell r="E117">
            <v>1079956</v>
          </cell>
          <cell r="F117">
            <v>1456052</v>
          </cell>
          <cell r="G117">
            <v>2249121</v>
          </cell>
          <cell r="H117">
            <v>3192701</v>
          </cell>
        </row>
        <row r="118">
          <cell r="A118" t="str">
            <v>08.008</v>
          </cell>
          <cell r="B118" t="str">
            <v>Makine ile kum, çakıl hazırlanması (Tüvenan)</v>
          </cell>
          <cell r="C118" t="str">
            <v>M3</v>
          </cell>
          <cell r="E118">
            <v>335084</v>
          </cell>
          <cell r="F118">
            <v>445951</v>
          </cell>
          <cell r="G118">
            <v>743908</v>
          </cell>
          <cell r="H118">
            <v>1035312</v>
          </cell>
        </row>
        <row r="119">
          <cell r="A119" t="str">
            <v>08.009</v>
          </cell>
          <cell r="B119" t="str">
            <v>Makine ile elenmiş kum,çakıl (Granülometrik) hazırlanması</v>
          </cell>
          <cell r="C119" t="str">
            <v>M3</v>
          </cell>
          <cell r="E119">
            <v>961931</v>
          </cell>
          <cell r="F119">
            <v>1277868</v>
          </cell>
          <cell r="G119">
            <v>2147143</v>
          </cell>
          <cell r="H119">
            <v>3002304</v>
          </cell>
        </row>
        <row r="120">
          <cell r="A120" t="str">
            <v>08.010/K</v>
          </cell>
          <cell r="B120" t="str">
            <v>Profilli demirden "Kazık çarığı, mesnet ve teferruatı, bordür kenarı ve ayrım demiri ile ahşap menfez ve köprülerde madeni birleştirme unsurları" işçiliği (Boyama hariç)</v>
          </cell>
          <cell r="C120" t="str">
            <v>TN</v>
          </cell>
          <cell r="E120">
            <v>639293750</v>
          </cell>
          <cell r="F120">
            <v>865837500</v>
          </cell>
          <cell r="G120">
            <v>1342687500</v>
          </cell>
          <cell r="H120">
            <v>1895562500</v>
          </cell>
        </row>
        <row r="121">
          <cell r="A121" t="str">
            <v>08.021/K</v>
          </cell>
          <cell r="B121" t="str">
            <v>El ile veya kompresörle ocaktan taş hazırlanması</v>
          </cell>
          <cell r="C121" t="str">
            <v>M3</v>
          </cell>
          <cell r="D121">
            <v>21735</v>
          </cell>
          <cell r="E121">
            <v>2730273</v>
          </cell>
          <cell r="F121">
            <v>3667903</v>
          </cell>
          <cell r="G121">
            <v>5868704</v>
          </cell>
          <cell r="H121">
            <v>8245441</v>
          </cell>
        </row>
        <row r="122">
          <cell r="A122" t="str">
            <v>08.022/K</v>
          </cell>
          <cell r="B122" t="str">
            <v>Ocak taşından konkasörle kırılmış ve elenmiş 70 mm. ye kadar kırmataş hazırlanması</v>
          </cell>
          <cell r="C122" t="str">
            <v>M3</v>
          </cell>
          <cell r="E122">
            <v>3770688</v>
          </cell>
          <cell r="F122">
            <v>5027396</v>
          </cell>
          <cell r="G122">
            <v>8263695</v>
          </cell>
          <cell r="H122">
            <v>11527659</v>
          </cell>
          <cell r="I122">
            <v>13405238</v>
          </cell>
        </row>
        <row r="123">
          <cell r="A123" t="str">
            <v>08.023/K</v>
          </cell>
          <cell r="B123" t="str">
            <v>Ocak taşından konkasörle kırılmış ve elenmiş 30 mm. ye kadar kırmataş hazırlanması</v>
          </cell>
          <cell r="C123" t="str">
            <v>M3</v>
          </cell>
          <cell r="D123">
            <v>35413</v>
          </cell>
          <cell r="E123">
            <v>4267267</v>
          </cell>
          <cell r="F123">
            <v>5690816</v>
          </cell>
          <cell r="G123">
            <v>9343543</v>
          </cell>
          <cell r="H123">
            <v>13043190</v>
          </cell>
        </row>
        <row r="124">
          <cell r="A124" t="str">
            <v>08.024/K</v>
          </cell>
          <cell r="B124" t="str">
            <v>Kazı taşından taş hazırlanması</v>
          </cell>
          <cell r="C124" t="str">
            <v>M3</v>
          </cell>
          <cell r="E124">
            <v>1537585</v>
          </cell>
          <cell r="F124">
            <v>2089401</v>
          </cell>
          <cell r="G124">
            <v>3165847</v>
          </cell>
          <cell r="H124">
            <v>4529898</v>
          </cell>
        </row>
        <row r="125">
          <cell r="A125" t="str">
            <v>08.025/K</v>
          </cell>
          <cell r="B125" t="str">
            <v>Toplama suretiyle taş hazırlanması</v>
          </cell>
          <cell r="C125" t="str">
            <v>M3</v>
          </cell>
          <cell r="E125">
            <v>2803520</v>
          </cell>
          <cell r="F125">
            <v>3787000</v>
          </cell>
          <cell r="G125">
            <v>5791000</v>
          </cell>
          <cell r="H125">
            <v>8224000</v>
          </cell>
        </row>
        <row r="126">
          <cell r="A126" t="str">
            <v>08.026/K</v>
          </cell>
          <cell r="B126" t="str">
            <v>Ocak taşından çaplanmış moloz taş hazırlanması</v>
          </cell>
          <cell r="C126" t="str">
            <v>M3</v>
          </cell>
          <cell r="E126">
            <v>9698187</v>
          </cell>
          <cell r="F126">
            <v>13065955</v>
          </cell>
          <cell r="G126">
            <v>20382606</v>
          </cell>
          <cell r="H126">
            <v>28809857</v>
          </cell>
        </row>
        <row r="127">
          <cell r="A127" t="str">
            <v>08.027/K</v>
          </cell>
          <cell r="B127" t="str">
            <v>Ocak taşından kemer inşaatı için çaplanmış moloz taş hazırlanması</v>
          </cell>
          <cell r="C127" t="str">
            <v>M3</v>
          </cell>
          <cell r="E127">
            <v>11942120</v>
          </cell>
          <cell r="F127">
            <v>16091456</v>
          </cell>
          <cell r="G127">
            <v>25073574</v>
          </cell>
          <cell r="H127">
            <v>35452354</v>
          </cell>
        </row>
        <row r="128">
          <cell r="A128" t="str">
            <v>08.028/K</v>
          </cell>
          <cell r="B128" t="str">
            <v>Kazı taşından çaplanmış moloz taş hazırlanması</v>
          </cell>
          <cell r="C128" t="str">
            <v>M3</v>
          </cell>
          <cell r="E128">
            <v>7942705</v>
          </cell>
          <cell r="F128">
            <v>10738401</v>
          </cell>
          <cell r="G128">
            <v>16392847</v>
          </cell>
          <cell r="H128">
            <v>23315898</v>
          </cell>
        </row>
        <row r="129">
          <cell r="A129" t="str">
            <v>08.029/K</v>
          </cell>
          <cell r="B129" t="str">
            <v>Kazı taşından kemer inşaatı için çaplanmış moloz taş hazırlanması</v>
          </cell>
          <cell r="C129" t="str">
            <v>M3</v>
          </cell>
          <cell r="E129">
            <v>9551345</v>
          </cell>
          <cell r="F129">
            <v>17447409</v>
          </cell>
          <cell r="G129">
            <v>19714847</v>
          </cell>
          <cell r="H129">
            <v>28033898</v>
          </cell>
        </row>
        <row r="130">
          <cell r="A130" t="str">
            <v>08.030/K</v>
          </cell>
          <cell r="B130" t="str">
            <v>Ocak taşından yonu taşı taslağı hazırlanması</v>
          </cell>
          <cell r="C130" t="str">
            <v>M3</v>
          </cell>
          <cell r="E130">
            <v>12954971</v>
          </cell>
          <cell r="F130">
            <v>17447409</v>
          </cell>
          <cell r="G130">
            <v>27276594</v>
          </cell>
          <cell r="H130">
            <v>38532128</v>
          </cell>
        </row>
        <row r="131">
          <cell r="A131" t="str">
            <v>08.031/K</v>
          </cell>
          <cell r="B131" t="str">
            <v>Ocak taşından özel yonu taşı taslağı hazırlanması</v>
          </cell>
          <cell r="C131" t="str">
            <v>M3</v>
          </cell>
          <cell r="E131">
            <v>16198571</v>
          </cell>
          <cell r="F131">
            <v>21826959</v>
          </cell>
          <cell r="G131">
            <v>33974944</v>
          </cell>
          <cell r="H131">
            <v>48045328</v>
          </cell>
        </row>
        <row r="132">
          <cell r="A132" t="str">
            <v>08.032/K</v>
          </cell>
          <cell r="B132" t="str">
            <v>Ocak taşından kaba yonu taşı hazırlanması</v>
          </cell>
          <cell r="C132" t="str">
            <v>M3</v>
          </cell>
          <cell r="E132">
            <v>24884662</v>
          </cell>
          <cell r="F132">
            <v>33541631</v>
          </cell>
          <cell r="G132">
            <v>52069572</v>
          </cell>
          <cell r="H132">
            <v>73681766</v>
          </cell>
        </row>
        <row r="133">
          <cell r="A133" t="str">
            <v>08.033/K</v>
          </cell>
          <cell r="B133" t="str">
            <v>Ocak taşından özel kaba yonu taşı hazırlanması</v>
          </cell>
          <cell r="C133" t="str">
            <v>M3</v>
          </cell>
          <cell r="E133">
            <v>33134159</v>
          </cell>
          <cell r="F133">
            <v>44675742</v>
          </cell>
          <cell r="G133">
            <v>69157921</v>
          </cell>
          <cell r="H133">
            <v>97930459</v>
          </cell>
        </row>
        <row r="134">
          <cell r="A134" t="str">
            <v>08.034/K</v>
          </cell>
          <cell r="B134" t="str">
            <v>Ocak taşından ince yonu taşı hazırlanması</v>
          </cell>
          <cell r="C134" t="str">
            <v>M3</v>
          </cell>
          <cell r="E134">
            <v>38244959</v>
          </cell>
          <cell r="F134">
            <v>51576372</v>
          </cell>
          <cell r="G134">
            <v>79712231</v>
          </cell>
          <cell r="H134">
            <v>112919979</v>
          </cell>
        </row>
        <row r="135">
          <cell r="A135" t="str">
            <v>08.035/K</v>
          </cell>
          <cell r="B135" t="str">
            <v>Ocak taşından özel ince yonu taşı hazırlanması</v>
          </cell>
          <cell r="C135" t="str">
            <v>M3</v>
          </cell>
          <cell r="E135">
            <v>50829199</v>
          </cell>
          <cell r="F135">
            <v>68567742</v>
          </cell>
          <cell r="G135">
            <v>105699921</v>
          </cell>
          <cell r="H135">
            <v>149828459</v>
          </cell>
        </row>
        <row r="136">
          <cell r="A136" t="str">
            <v>08.036/K</v>
          </cell>
          <cell r="B136" t="str">
            <v>Ocak taşından kesme taş hazırlanması</v>
          </cell>
          <cell r="C136" t="str">
            <v>M3</v>
          </cell>
          <cell r="E136">
            <v>68987153</v>
          </cell>
          <cell r="F136">
            <v>93075854</v>
          </cell>
          <cell r="G136">
            <v>143302550</v>
          </cell>
          <cell r="H136">
            <v>203191404</v>
          </cell>
        </row>
        <row r="137">
          <cell r="A137" t="str">
            <v>08.040/K</v>
          </cell>
          <cell r="B137" t="str">
            <v>Ø 10 cm. iç çapında 400 dozlu beton büz yapılması (Cidar kalınlığı 2,5 cm.)</v>
          </cell>
          <cell r="C137" t="str">
            <v>MT</v>
          </cell>
          <cell r="E137">
            <v>849307</v>
          </cell>
          <cell r="F137">
            <v>1146819</v>
          </cell>
          <cell r="G137">
            <v>1755471</v>
          </cell>
          <cell r="H137">
            <v>2492859</v>
          </cell>
        </row>
        <row r="138">
          <cell r="A138" t="str">
            <v>08.044/K</v>
          </cell>
          <cell r="B138" t="str">
            <v>Ø 15 cm. iç çapında 400 dozlu beton büz yapılması (Cidar kalınlığı 3 cm.)</v>
          </cell>
          <cell r="C138" t="str">
            <v>MT</v>
          </cell>
          <cell r="E138">
            <v>983939</v>
          </cell>
          <cell r="F138">
            <v>1328675</v>
          </cell>
          <cell r="G138">
            <v>2033363</v>
          </cell>
          <cell r="H138">
            <v>2887590</v>
          </cell>
        </row>
        <row r="139">
          <cell r="A139" t="str">
            <v>08.048/K</v>
          </cell>
          <cell r="B139" t="str">
            <v>Ø 20 cm. iç çapında 400 dozlu beton büz yapılması (Cidar kalınlığı 3,5 cm.)</v>
          </cell>
          <cell r="C139" t="str">
            <v>MT</v>
          </cell>
          <cell r="E139">
            <v>1111111</v>
          </cell>
          <cell r="F139">
            <v>1500393</v>
          </cell>
          <cell r="G139">
            <v>2296271</v>
          </cell>
          <cell r="H139">
            <v>3260893</v>
          </cell>
        </row>
        <row r="140">
          <cell r="A140" t="str">
            <v>08.052/K</v>
          </cell>
          <cell r="B140" t="str">
            <v>Ø 25 cm. iç çapında 400 dozlu beton büz yapılması (Cidar kalınlığı 4 cm.)</v>
          </cell>
          <cell r="C140" t="str">
            <v>MT</v>
          </cell>
          <cell r="E140">
            <v>1244522</v>
          </cell>
          <cell r="F140">
            <v>1680515</v>
          </cell>
          <cell r="G140">
            <v>2572208</v>
          </cell>
          <cell r="H140">
            <v>3652642</v>
          </cell>
        </row>
        <row r="141">
          <cell r="A141" t="str">
            <v>08.056/K</v>
          </cell>
          <cell r="B141" t="str">
            <v>Ø 30 cm. iç çapında 400 dozlu beton büz yapılması (Cidar kalınlığı 4,5 cm.)</v>
          </cell>
          <cell r="C141" t="str">
            <v>MT</v>
          </cell>
          <cell r="E141">
            <v>1597997</v>
          </cell>
          <cell r="F141">
            <v>2157882</v>
          </cell>
          <cell r="G141">
            <v>3302543</v>
          </cell>
          <cell r="H141">
            <v>4689830</v>
          </cell>
        </row>
        <row r="142">
          <cell r="A142" t="str">
            <v>08.060/K</v>
          </cell>
          <cell r="B142" t="str">
            <v>Ø 35 cm. iç çapında 400 dozlu beton büz yapılması (Cidar kalınlığı 5 cm.)</v>
          </cell>
          <cell r="C142" t="str">
            <v>MT</v>
          </cell>
          <cell r="E142">
            <v>1845142</v>
          </cell>
          <cell r="F142">
            <v>2491625</v>
          </cell>
          <cell r="G142">
            <v>3813302</v>
          </cell>
          <cell r="H142">
            <v>5415133</v>
          </cell>
        </row>
        <row r="143">
          <cell r="A143" t="str">
            <v>08.064/K</v>
          </cell>
          <cell r="B143" t="str">
            <v>Ø 40 cm. iç çapında 400 dozlu beton büz yapılması (Cidar kalınlığı 5,5 cm.)</v>
          </cell>
          <cell r="C143" t="str">
            <v>MT</v>
          </cell>
          <cell r="E143">
            <v>2071677</v>
          </cell>
          <cell r="F143">
            <v>2797520</v>
          </cell>
          <cell r="G143">
            <v>4281445</v>
          </cell>
          <cell r="H143">
            <v>6079890</v>
          </cell>
        </row>
        <row r="144">
          <cell r="A144" t="str">
            <v>08.068/K</v>
          </cell>
          <cell r="B144" t="str">
            <v>Ø 50 cm. iç çapında 400 dozlu beton büz yapılması (Cidar kalınlığı 6,5 cm.)</v>
          </cell>
          <cell r="C144" t="str">
            <v>MT</v>
          </cell>
          <cell r="E144">
            <v>2582324</v>
          </cell>
          <cell r="F144">
            <v>3487218</v>
          </cell>
          <cell r="G144">
            <v>5335859</v>
          </cell>
          <cell r="H144">
            <v>7577444</v>
          </cell>
        </row>
        <row r="145">
          <cell r="A145" t="str">
            <v>08.072/K</v>
          </cell>
          <cell r="B145" t="str">
            <v>Ø 60 cm. iç çapında 400 dozlu beton büz yapılması (Cidar kalınlığı 7,5 cm.)</v>
          </cell>
          <cell r="C145" t="str">
            <v>MT</v>
          </cell>
          <cell r="E145">
            <v>3280760</v>
          </cell>
          <cell r="F145">
            <v>4430577</v>
          </cell>
          <cell r="G145">
            <v>6777944</v>
          </cell>
          <cell r="H145">
            <v>9625666</v>
          </cell>
        </row>
        <row r="146">
          <cell r="A146" t="str">
            <v>08.076/K</v>
          </cell>
          <cell r="B146" t="str">
            <v>Ø 80 cm. iç çapında 400 dozlu beton büz yapılması (Cidar kalınlığı 9,5 cm.)</v>
          </cell>
          <cell r="C146" t="str">
            <v>MT</v>
          </cell>
          <cell r="E146">
            <v>4934186</v>
          </cell>
          <cell r="F146">
            <v>6663837</v>
          </cell>
          <cell r="G146">
            <v>10191717</v>
          </cell>
          <cell r="H146">
            <v>14474391</v>
          </cell>
        </row>
        <row r="147">
          <cell r="A147" t="str">
            <v>08.080/K</v>
          </cell>
          <cell r="B147" t="str">
            <v>Ø 60 cm. iç çapında 400 dozlu özel beton büz yapılması (Cidar kalınlığı 9 cm.)</v>
          </cell>
          <cell r="C147" t="str">
            <v>MT</v>
          </cell>
          <cell r="E147">
            <v>4093196</v>
          </cell>
          <cell r="F147">
            <v>5527792</v>
          </cell>
          <cell r="G147">
            <v>8456071</v>
          </cell>
          <cell r="H147">
            <v>12008956</v>
          </cell>
        </row>
        <row r="148">
          <cell r="A148" t="str">
            <v>08.084/K</v>
          </cell>
          <cell r="B148" t="str">
            <v>Ø 80 cm. iç çapında 400 dozlu özel beton büz yapılması (Cidar kalınlığı 11 cm.)</v>
          </cell>
          <cell r="C148" t="str">
            <v>MT</v>
          </cell>
          <cell r="E148">
            <v>5717423</v>
          </cell>
          <cell r="F148">
            <v>7721658</v>
          </cell>
          <cell r="G148">
            <v>11809242</v>
          </cell>
          <cell r="H148">
            <v>16771611</v>
          </cell>
        </row>
        <row r="149">
          <cell r="A149" t="str">
            <v>08.088/K</v>
          </cell>
          <cell r="B149" t="str">
            <v>Ø 120 cm. iç çapında 400 dozlu özel beton büz yapılması (Cidar kalınlığı 15 cm.)</v>
          </cell>
          <cell r="C149" t="str">
            <v>MT</v>
          </cell>
          <cell r="E149">
            <v>9593665</v>
          </cell>
          <cell r="F149">
            <v>12957478</v>
          </cell>
          <cell r="G149">
            <v>19810369</v>
          </cell>
          <cell r="H149">
            <v>28136170</v>
          </cell>
        </row>
        <row r="150">
          <cell r="A150" t="str">
            <v>08.101</v>
          </cell>
          <cell r="B150" t="str">
            <v>Ocak taşından 0-0,005 ton kategorideki taşın hazırlanması</v>
          </cell>
          <cell r="C150" t="str">
            <v>M3</v>
          </cell>
          <cell r="E150">
            <v>774690</v>
          </cell>
          <cell r="F150">
            <v>1029828</v>
          </cell>
          <cell r="G150">
            <v>1791189</v>
          </cell>
          <cell r="H150">
            <v>2473709</v>
          </cell>
        </row>
        <row r="151">
          <cell r="A151" t="str">
            <v>08.101/1-K</v>
          </cell>
          <cell r="B151" t="str">
            <v>Kazı taşından 0-0,005 ton kategorideki taşın hazırlanması</v>
          </cell>
          <cell r="C151" t="str">
            <v>M3</v>
          </cell>
          <cell r="E151">
            <v>129457</v>
          </cell>
          <cell r="F151">
            <v>176025</v>
          </cell>
          <cell r="G151">
            <v>344089</v>
          </cell>
          <cell r="H151">
            <v>492215</v>
          </cell>
        </row>
        <row r="152">
          <cell r="A152" t="str">
            <v>08.103</v>
          </cell>
          <cell r="B152" t="str">
            <v>Ocak taşından 0,005-0,100 ton kategorideki taşın hazırlanması</v>
          </cell>
          <cell r="C152" t="str">
            <v>M3</v>
          </cell>
          <cell r="E152">
            <v>1293105</v>
          </cell>
          <cell r="F152">
            <v>1718132</v>
          </cell>
          <cell r="G152">
            <v>2955076</v>
          </cell>
          <cell r="H152">
            <v>4087672</v>
          </cell>
        </row>
        <row r="153">
          <cell r="A153" t="str">
            <v>08.103/1-K</v>
          </cell>
          <cell r="B153" t="str">
            <v>Kazı taşından 0,005-0,100 ton kategorideki taşın hazırlanması</v>
          </cell>
          <cell r="C153" t="str">
            <v>M3</v>
          </cell>
          <cell r="E153">
            <v>297213</v>
          </cell>
          <cell r="F153">
            <v>395250</v>
          </cell>
          <cell r="G153">
            <v>747224</v>
          </cell>
          <cell r="H153">
            <v>1044972</v>
          </cell>
        </row>
        <row r="154">
          <cell r="A154" t="str">
            <v>08.104/1-K</v>
          </cell>
          <cell r="B154" t="str">
            <v>Kazı taşından 0-0,250 ton kategorideki taşın hazırlanması</v>
          </cell>
          <cell r="C154" t="str">
            <v>M3</v>
          </cell>
          <cell r="E154">
            <v>339743</v>
          </cell>
          <cell r="F154">
            <v>450825</v>
          </cell>
          <cell r="G154">
            <v>849456</v>
          </cell>
          <cell r="H154">
            <v>1185141</v>
          </cell>
        </row>
        <row r="155">
          <cell r="A155" t="str">
            <v>08.104/K</v>
          </cell>
          <cell r="B155" t="str">
            <v>Ocak taşından 0-0,250 ton kategorideki taşın hazırlanması</v>
          </cell>
          <cell r="C155" t="str">
            <v>M3</v>
          </cell>
          <cell r="E155">
            <v>1401277</v>
          </cell>
          <cell r="F155">
            <v>1861658</v>
          </cell>
          <cell r="G155">
            <v>3198657</v>
          </cell>
          <cell r="H155">
            <v>4425272</v>
          </cell>
        </row>
        <row r="156">
          <cell r="A156" t="str">
            <v>08.105</v>
          </cell>
          <cell r="B156" t="str">
            <v>Ocak taşından 0,100-0,250 ton kategorideki taşın hazırlanması</v>
          </cell>
          <cell r="C156" t="str">
            <v>M3</v>
          </cell>
          <cell r="E156">
            <v>1449443</v>
          </cell>
          <cell r="F156">
            <v>1925244</v>
          </cell>
          <cell r="G156">
            <v>3309539</v>
          </cell>
          <cell r="H156">
            <v>4578381</v>
          </cell>
        </row>
        <row r="157">
          <cell r="A157" t="str">
            <v>08.105/1-K</v>
          </cell>
          <cell r="B157" t="str">
            <v>Kazı taşından 0,100-0,250 ton kategorideki taşın hazırlanması</v>
          </cell>
          <cell r="C157" t="str">
            <v>M3</v>
          </cell>
          <cell r="E157">
            <v>402355</v>
          </cell>
          <cell r="F157">
            <v>532650</v>
          </cell>
          <cell r="G157">
            <v>999908</v>
          </cell>
          <cell r="H157">
            <v>1391434</v>
          </cell>
        </row>
        <row r="158">
          <cell r="A158" t="str">
            <v>08.106/1-K</v>
          </cell>
          <cell r="B158" t="str">
            <v>Kazı taşından 0-0,400 ton kategorideki taşın hazırlanması</v>
          </cell>
          <cell r="C158" t="str">
            <v>M3</v>
          </cell>
          <cell r="E158">
            <v>444886</v>
          </cell>
          <cell r="F158">
            <v>588225</v>
          </cell>
          <cell r="G158">
            <v>1102139</v>
          </cell>
          <cell r="H158">
            <v>1531602</v>
          </cell>
        </row>
        <row r="159">
          <cell r="A159" t="str">
            <v>08.106/K</v>
          </cell>
          <cell r="B159" t="str">
            <v>Ocak taşından 0-0,400 ton kategorideki taşın hazırlanması</v>
          </cell>
          <cell r="C159" t="str">
            <v>M3</v>
          </cell>
          <cell r="E159">
            <v>1489035</v>
          </cell>
          <cell r="F159">
            <v>1977409</v>
          </cell>
          <cell r="G159">
            <v>3401465</v>
          </cell>
          <cell r="H159">
            <v>4705135</v>
          </cell>
        </row>
        <row r="160">
          <cell r="A160" t="str">
            <v>08.107</v>
          </cell>
          <cell r="B160" t="str">
            <v>Ocak taşından 0,250-0,400 ton kategorideki taşın hazırlanması</v>
          </cell>
          <cell r="C160" t="str">
            <v>M3</v>
          </cell>
          <cell r="E160">
            <v>1551075</v>
          </cell>
          <cell r="F160">
            <v>2058900</v>
          </cell>
          <cell r="G160">
            <v>3547404</v>
          </cell>
          <cell r="H160">
            <v>4905931</v>
          </cell>
        </row>
        <row r="161">
          <cell r="A161" t="str">
            <v>08.107/1-K</v>
          </cell>
          <cell r="B161" t="str">
            <v>Kazı taşından 0,250-0,400 ton kategorideki taşın hazırlanması</v>
          </cell>
          <cell r="C161" t="str">
            <v>M3</v>
          </cell>
          <cell r="E161">
            <v>507498</v>
          </cell>
          <cell r="F161">
            <v>670050</v>
          </cell>
          <cell r="G161">
            <v>1252591</v>
          </cell>
          <cell r="H161">
            <v>1737897</v>
          </cell>
        </row>
        <row r="162">
          <cell r="A162" t="str">
            <v>08.108/1-K</v>
          </cell>
          <cell r="B162" t="str">
            <v>Kazı taşından 0,400-2 ton kategorideki taşın hazırlanması</v>
          </cell>
          <cell r="C162" t="str">
            <v>M3</v>
          </cell>
          <cell r="E162">
            <v>592559</v>
          </cell>
          <cell r="F162">
            <v>781200</v>
          </cell>
          <cell r="G162">
            <v>1457054</v>
          </cell>
          <cell r="H162">
            <v>2018234</v>
          </cell>
        </row>
        <row r="163">
          <cell r="A163" t="str">
            <v>08.108/K</v>
          </cell>
          <cell r="B163" t="str">
            <v>Ocak taşından 0,400-2 ton kategorideki taşın hazırlanması</v>
          </cell>
          <cell r="C163" t="str">
            <v>M3</v>
          </cell>
          <cell r="E163">
            <v>1599239</v>
          </cell>
          <cell r="F163">
            <v>2122486</v>
          </cell>
          <cell r="G163">
            <v>3658287</v>
          </cell>
          <cell r="H163">
            <v>5059040</v>
          </cell>
        </row>
        <row r="164">
          <cell r="A164" t="str">
            <v>08.109/1-K</v>
          </cell>
          <cell r="B164" t="str">
            <v>Kazı taşından 2-6 ton kategorideki taşın hazırlanması</v>
          </cell>
          <cell r="C164" t="str">
            <v>M3</v>
          </cell>
          <cell r="E164">
            <v>827656</v>
          </cell>
          <cell r="F164">
            <v>1088401</v>
          </cell>
          <cell r="G164">
            <v>2022228</v>
          </cell>
          <cell r="H164">
            <v>2793115</v>
          </cell>
        </row>
        <row r="165">
          <cell r="A165" t="str">
            <v>08.109/K</v>
          </cell>
          <cell r="B165" t="str">
            <v>Ocak taşından 2-6 ton kategorideki taşın hazırlanması</v>
          </cell>
          <cell r="C165" t="str">
            <v>M3</v>
          </cell>
          <cell r="E165">
            <v>1995163</v>
          </cell>
          <cell r="F165">
            <v>2644142</v>
          </cell>
          <cell r="G165">
            <v>4577548</v>
          </cell>
          <cell r="H165">
            <v>6326576</v>
          </cell>
        </row>
        <row r="166">
          <cell r="A166" t="str">
            <v>08.110/1-K</v>
          </cell>
          <cell r="B166" t="str">
            <v>Kazı taşından 6-15 ton kategorideki taşın hazırlanması</v>
          </cell>
          <cell r="C166" t="str">
            <v>M3</v>
          </cell>
          <cell r="E166">
            <v>1040307</v>
          </cell>
          <cell r="F166">
            <v>1366278</v>
          </cell>
          <cell r="G166">
            <v>2533388</v>
          </cell>
          <cell r="H166">
            <v>3493956</v>
          </cell>
        </row>
        <row r="167">
          <cell r="A167" t="str">
            <v>08.110/K</v>
          </cell>
          <cell r="B167" t="str">
            <v>Ocak taşından 6-15 ton kategorideki taşın hazırlanması</v>
          </cell>
          <cell r="C167" t="str">
            <v>M3</v>
          </cell>
          <cell r="E167">
            <v>2476812</v>
          </cell>
          <cell r="F167">
            <v>3279998</v>
          </cell>
          <cell r="G167">
            <v>5686377</v>
          </cell>
          <cell r="H167">
            <v>7857670</v>
          </cell>
        </row>
        <row r="168">
          <cell r="A168" t="str">
            <v>08.111/1-K</v>
          </cell>
          <cell r="B168" t="str">
            <v>Kazı taşından 15 tondan yukarı kategorideki taşın hazırlanması</v>
          </cell>
          <cell r="C168" t="str">
            <v>M3</v>
          </cell>
          <cell r="E168">
            <v>1365195</v>
          </cell>
          <cell r="F168">
            <v>1790781</v>
          </cell>
          <cell r="G168">
            <v>3314611</v>
          </cell>
          <cell r="H168">
            <v>4565005</v>
          </cell>
        </row>
        <row r="169">
          <cell r="A169" t="str">
            <v>08.111/K</v>
          </cell>
          <cell r="B169" t="str">
            <v>Ocak taşından 15 tondan yukarı kategorideki taşın hazırlanması</v>
          </cell>
          <cell r="C169" t="str">
            <v>M3</v>
          </cell>
          <cell r="E169">
            <v>2915598</v>
          </cell>
          <cell r="F169">
            <v>3858754</v>
          </cell>
          <cell r="G169">
            <v>6700422</v>
          </cell>
          <cell r="H169">
            <v>9256986</v>
          </cell>
        </row>
        <row r="170">
          <cell r="A170" t="str">
            <v>08.112/K</v>
          </cell>
          <cell r="B170" t="str">
            <v>Ocak taşı artığının ocakta toplanması</v>
          </cell>
          <cell r="C170" t="str">
            <v>M3</v>
          </cell>
          <cell r="E170">
            <v>212649</v>
          </cell>
          <cell r="F170">
            <v>277875</v>
          </cell>
          <cell r="G170">
            <v>511159</v>
          </cell>
          <cell r="H170">
            <v>700839</v>
          </cell>
        </row>
        <row r="171">
          <cell r="A171" t="str">
            <v>08.533</v>
          </cell>
          <cell r="B171" t="str">
            <v>Motorlu tulumba ile su hazırlanması</v>
          </cell>
          <cell r="C171" t="str">
            <v>M3</v>
          </cell>
          <cell r="E171">
            <v>74365</v>
          </cell>
          <cell r="F171">
            <v>98342</v>
          </cell>
          <cell r="G171">
            <v>168797</v>
          </cell>
          <cell r="H171">
            <v>238161</v>
          </cell>
        </row>
        <row r="172">
          <cell r="A172" t="str">
            <v>10.005/K</v>
          </cell>
          <cell r="B172" t="str">
            <v>Her dozda çimento harcı hazırlanması</v>
          </cell>
          <cell r="C172" t="str">
            <v>M3</v>
          </cell>
          <cell r="E172">
            <v>4897483</v>
          </cell>
          <cell r="F172">
            <v>6617053</v>
          </cell>
          <cell r="G172">
            <v>10097918</v>
          </cell>
          <cell r="H172">
            <v>14344919</v>
          </cell>
        </row>
        <row r="173">
          <cell r="A173" t="str">
            <v>10.013/K</v>
          </cell>
          <cell r="B173" t="str">
            <v>Her dozda ince çimento harcı hazırlanması</v>
          </cell>
          <cell r="C173" t="str">
            <v>M3</v>
          </cell>
          <cell r="E173">
            <v>6019384</v>
          </cell>
          <cell r="F173">
            <v>8130285</v>
          </cell>
          <cell r="G173">
            <v>12429845</v>
          </cell>
          <cell r="H173">
            <v>17655640</v>
          </cell>
        </row>
        <row r="174">
          <cell r="A174" t="str">
            <v>10.022/K</v>
          </cell>
          <cell r="B174" t="str">
            <v>Her dozda çimento şerbeti hazırlanması</v>
          </cell>
          <cell r="C174" t="str">
            <v>M3</v>
          </cell>
          <cell r="E174">
            <v>2158240</v>
          </cell>
          <cell r="F174">
            <v>2915100</v>
          </cell>
          <cell r="G174">
            <v>4456700</v>
          </cell>
          <cell r="H174">
            <v>6330400</v>
          </cell>
        </row>
        <row r="175">
          <cell r="A175" t="str">
            <v>10.081/K</v>
          </cell>
          <cell r="B175" t="str">
            <v>Mozaik harcı hazırlanması</v>
          </cell>
          <cell r="C175" t="str">
            <v>M3</v>
          </cell>
          <cell r="E175">
            <v>6433680</v>
          </cell>
          <cell r="F175">
            <v>8113050</v>
          </cell>
          <cell r="G175">
            <v>12959800</v>
          </cell>
          <cell r="H175">
            <v>17792800</v>
          </cell>
        </row>
        <row r="176">
          <cell r="A176" t="str">
            <v>10.082/K</v>
          </cell>
          <cell r="B176" t="str">
            <v>Renkli mozaik harcı hazırlanması</v>
          </cell>
          <cell r="C176" t="str">
            <v>M3</v>
          </cell>
          <cell r="E176">
            <v>9513680</v>
          </cell>
          <cell r="F176">
            <v>12113050</v>
          </cell>
          <cell r="G176">
            <v>19559800</v>
          </cell>
          <cell r="H176">
            <v>26592800</v>
          </cell>
        </row>
        <row r="177">
          <cell r="A177" t="str">
            <v>14.001/K-1</v>
          </cell>
          <cell r="B177" t="str">
            <v>Yolların orta refüjlerindeki fazla toprakların elle kazılması ve kullanılması</v>
          </cell>
          <cell r="C177" t="str">
            <v>M2</v>
          </cell>
          <cell r="E177">
            <v>219818</v>
          </cell>
          <cell r="F177">
            <v>296912</v>
          </cell>
          <cell r="G177">
            <v>453950</v>
          </cell>
          <cell r="H177">
            <v>644775</v>
          </cell>
        </row>
        <row r="178">
          <cell r="A178" t="str">
            <v>14.001/K-A</v>
          </cell>
          <cell r="B178" t="str">
            <v>El ile yumuşak toprak kazılması ve kullanılması (Yarma ve yan ariyetten dolguya gidecek kazılarda)</v>
          </cell>
          <cell r="C178" t="str">
            <v>M3</v>
          </cell>
          <cell r="E178">
            <v>1479875</v>
          </cell>
          <cell r="F178">
            <v>1978750</v>
          </cell>
          <cell r="G178">
            <v>3049562</v>
          </cell>
          <cell r="H178">
            <v>4276875</v>
          </cell>
        </row>
        <row r="179">
          <cell r="A179" t="str">
            <v>14.001/K-B</v>
          </cell>
          <cell r="B179" t="str">
            <v>El ile yumuşak toprak  kazılması ve kullanılması (Ariyet ocağından getirilecek veya depoya gidecek kazılarda)</v>
          </cell>
          <cell r="C179" t="str">
            <v>M3</v>
          </cell>
          <cell r="E179">
            <v>1437125</v>
          </cell>
          <cell r="F179">
            <v>1926250</v>
          </cell>
          <cell r="G179">
            <v>2962937</v>
          </cell>
          <cell r="H179">
            <v>4168125</v>
          </cell>
        </row>
        <row r="180">
          <cell r="A180" t="str">
            <v>14.002/K-A</v>
          </cell>
          <cell r="B180" t="str">
            <v>El ile sert toprak kazılması ve kullanılması (Yarma ve yan ariyetten dolguya gidecek kazılarda)</v>
          </cell>
          <cell r="C180" t="str">
            <v>M3</v>
          </cell>
          <cell r="E180">
            <v>1874675</v>
          </cell>
          <cell r="F180">
            <v>2512000</v>
          </cell>
          <cell r="G180">
            <v>3864812</v>
          </cell>
          <cell r="H180">
            <v>5434875</v>
          </cell>
        </row>
        <row r="181">
          <cell r="A181" t="str">
            <v>14.002/K-B</v>
          </cell>
          <cell r="B181" t="str">
            <v>El ile sert toprak kazılması ve kullanılması (Ariyet ocağından getirilecek veya depoya gidecek kazılarda)</v>
          </cell>
          <cell r="C181" t="str">
            <v>M3</v>
          </cell>
          <cell r="E181">
            <v>1831925</v>
          </cell>
          <cell r="F181">
            <v>2459500</v>
          </cell>
          <cell r="G181">
            <v>3778187</v>
          </cell>
          <cell r="H181">
            <v>5326125</v>
          </cell>
        </row>
        <row r="182">
          <cell r="A182" t="str">
            <v>14.003/K-A</v>
          </cell>
          <cell r="B182" t="str">
            <v>El ile yumuşak küskülük kazılması ve kullanılması (Yarma ve yan ariyetten dolguya gidecek kazılarda)</v>
          </cell>
          <cell r="C182" t="str">
            <v>M3</v>
          </cell>
          <cell r="E182">
            <v>2302375</v>
          </cell>
          <cell r="F182">
            <v>3089687</v>
          </cell>
          <cell r="G182">
            <v>4748000</v>
          </cell>
          <cell r="H182">
            <v>6689375</v>
          </cell>
        </row>
        <row r="183">
          <cell r="A183" t="str">
            <v>14.003/K-B</v>
          </cell>
          <cell r="B183" t="str">
            <v>El ile yumuşak küskülük kazılması ve kullanılması (Ariyet ocağından getirilecek veya depoya gidecek kazılarda)</v>
          </cell>
          <cell r="C183" t="str">
            <v>M3</v>
          </cell>
          <cell r="E183">
            <v>2259625</v>
          </cell>
          <cell r="F183">
            <v>3037187</v>
          </cell>
          <cell r="G183">
            <v>4661375</v>
          </cell>
          <cell r="H183">
            <v>6580625</v>
          </cell>
        </row>
        <row r="184">
          <cell r="A184" t="str">
            <v>14.004/K-A</v>
          </cell>
          <cell r="B184" t="str">
            <v>El ile sert küskülük kazılması ve kullanılması (Yarma ve yan ariyetten dolguya gidecek kazılarda)</v>
          </cell>
          <cell r="C184" t="str">
            <v>M3</v>
          </cell>
          <cell r="E184">
            <v>2631375</v>
          </cell>
          <cell r="F184">
            <v>3534062</v>
          </cell>
          <cell r="G184">
            <v>5427375</v>
          </cell>
          <cell r="H184">
            <v>7654375</v>
          </cell>
        </row>
        <row r="185">
          <cell r="A185" t="str">
            <v>14.004/K-B</v>
          </cell>
          <cell r="B185" t="str">
            <v>El ile sert küskülük kazılması ve kullanılması (Ariyet ocağından getirilecek veya depoya gidecek kazılarda)</v>
          </cell>
          <cell r="C185" t="str">
            <v>M3</v>
          </cell>
          <cell r="E185">
            <v>2588625</v>
          </cell>
          <cell r="F185">
            <v>3481562</v>
          </cell>
          <cell r="G185">
            <v>5340750</v>
          </cell>
          <cell r="H185">
            <v>7545625</v>
          </cell>
        </row>
        <row r="186">
          <cell r="A186" t="str">
            <v>14.005/K-A</v>
          </cell>
          <cell r="B186" t="str">
            <v>Patlayıcı madde kullanılarak el veya kompresörle yumuşak kaya kazılması ve kullanılması (Yarma ve yan ariyetten dolguya gidecek kazılarda)</v>
          </cell>
          <cell r="C186" t="str">
            <v>M3</v>
          </cell>
          <cell r="E186">
            <v>2691851</v>
          </cell>
          <cell r="F186">
            <v>3594815</v>
          </cell>
          <cell r="G186">
            <v>5773878</v>
          </cell>
          <cell r="H186">
            <v>8053941</v>
          </cell>
        </row>
        <row r="187">
          <cell r="A187" t="str">
            <v>14.005/K-B</v>
          </cell>
          <cell r="B187" t="str">
            <v>Patlayıcı madde kullanılarak el veya kompresörle yumuşak kaya kazılması ve kullanılması (Ariyet ocağından getirilecek veya depoya gidecek kazılarda )</v>
          </cell>
          <cell r="C187" t="str">
            <v>M3</v>
          </cell>
          <cell r="E187">
            <v>2649101</v>
          </cell>
          <cell r="F187">
            <v>3542315</v>
          </cell>
          <cell r="G187">
            <v>5687253</v>
          </cell>
          <cell r="H187">
            <v>7945191</v>
          </cell>
        </row>
        <row r="188">
          <cell r="A188" t="str">
            <v>14.006/K-A</v>
          </cell>
          <cell r="B188" t="str">
            <v>Patlayıcı madde kullanılarak el veya kompresörle sert kaya kazılması ve kullanılması (Yarma ve yan ariyetten dolguya gidecek kazılarda)</v>
          </cell>
          <cell r="C188" t="str">
            <v>M3</v>
          </cell>
          <cell r="E188">
            <v>3236695</v>
          </cell>
          <cell r="F188">
            <v>4323942</v>
          </cell>
          <cell r="G188">
            <v>6977943</v>
          </cell>
          <cell r="H188">
            <v>9735850</v>
          </cell>
        </row>
        <row r="189">
          <cell r="A189" t="str">
            <v>14.006/K-B</v>
          </cell>
          <cell r="B189" t="str">
            <v>Patlayıcı madde kullanılarak el veya kompresörle sert kaya kazılması ve kullanılması (Ariyet ocağından getirilecek veya depoya gidecek kazılarda)</v>
          </cell>
          <cell r="C189" t="str">
            <v>M3</v>
          </cell>
          <cell r="E189">
            <v>3193945</v>
          </cell>
          <cell r="F189">
            <v>4271442</v>
          </cell>
          <cell r="G189">
            <v>6891318</v>
          </cell>
          <cell r="H189">
            <v>9627100</v>
          </cell>
        </row>
        <row r="190">
          <cell r="A190" t="str">
            <v>14.007/K-A</v>
          </cell>
          <cell r="B190" t="str">
            <v>Patlayıcı madde kullanılarak el veya kompresörle çok sert kaya kazılması ve kullanılması (Yarma ve yan ariyetten dolguya gidecek kazılarda)</v>
          </cell>
          <cell r="C190" t="str">
            <v>M3</v>
          </cell>
          <cell r="E190">
            <v>3933303</v>
          </cell>
          <cell r="F190">
            <v>5253945</v>
          </cell>
          <cell r="G190">
            <v>8532020</v>
          </cell>
          <cell r="H190">
            <v>11899561</v>
          </cell>
        </row>
        <row r="191">
          <cell r="A191" t="str">
            <v>14.007/K-B</v>
          </cell>
          <cell r="B191" t="str">
            <v>Patlayıcı madde kullanılarak el veya kompresörle çok sert kaya kazılması ve kullanılması (Ariyet ocağından getirilecek veya depoya gidecek kazılarda)</v>
          </cell>
          <cell r="C191" t="str">
            <v>M3</v>
          </cell>
          <cell r="E191">
            <v>3890553</v>
          </cell>
          <cell r="F191">
            <v>5201445</v>
          </cell>
          <cell r="G191">
            <v>8445395</v>
          </cell>
          <cell r="H191">
            <v>11790811</v>
          </cell>
        </row>
        <row r="192">
          <cell r="A192" t="str">
            <v>14.008/K-A</v>
          </cell>
          <cell r="B192" t="str">
            <v>Patlayıcı madde kullanılmadan el veya kompresörle yumuşak kaya kazılması ve kullanılması (Yarma ve yan ariyetten dolguya gidecek kazılarda)</v>
          </cell>
          <cell r="C192" t="str">
            <v>M3</v>
          </cell>
          <cell r="E192">
            <v>4037718</v>
          </cell>
          <cell r="F192">
            <v>5393698</v>
          </cell>
          <cell r="G192">
            <v>8645305</v>
          </cell>
          <cell r="H192">
            <v>12082222</v>
          </cell>
        </row>
        <row r="193">
          <cell r="A193" t="str">
            <v>14.008/K-B</v>
          </cell>
          <cell r="B193" t="str">
            <v>Patlayıcı madde kullanılmadan el veya kompresörle yumuşak kaya kazılması ve kullanılması (Ariyet ocağından getirilecek veya depoya gidecek kazılarda)</v>
          </cell>
          <cell r="C193" t="str">
            <v>M3</v>
          </cell>
          <cell r="E193">
            <v>3994968</v>
          </cell>
          <cell r="F193">
            <v>5341198</v>
          </cell>
          <cell r="G193">
            <v>8558680</v>
          </cell>
          <cell r="H193">
            <v>11973472</v>
          </cell>
        </row>
        <row r="194">
          <cell r="A194" t="str">
            <v>14.009/1</v>
          </cell>
          <cell r="B194" t="str">
            <v>Ankraj ve kaya bulonu deliği açılması</v>
          </cell>
          <cell r="C194" t="str">
            <v>MT</v>
          </cell>
          <cell r="E194">
            <v>2274723</v>
          </cell>
          <cell r="F194">
            <v>3032761</v>
          </cell>
          <cell r="G194">
            <v>5010930</v>
          </cell>
          <cell r="H194">
            <v>6974972</v>
          </cell>
        </row>
        <row r="195">
          <cell r="A195" t="str">
            <v>14.009/K-A</v>
          </cell>
          <cell r="B195" t="str">
            <v>Patlayıcı madde kullanılmadan el veya kompresörle sert kaya kazılması ve kullanılması (Yarma ve yan ariyetten dolguya gidecek kazılarda)</v>
          </cell>
          <cell r="C195" t="str">
            <v>M3</v>
          </cell>
          <cell r="E195">
            <v>5645061</v>
          </cell>
          <cell r="F195">
            <v>7534957</v>
          </cell>
          <cell r="G195">
            <v>12199691</v>
          </cell>
          <cell r="H195">
            <v>17023952</v>
          </cell>
        </row>
        <row r="196">
          <cell r="A196" t="str">
            <v>14.009/K-B</v>
          </cell>
          <cell r="B196" t="str">
            <v>Patlayıcı madde kullanılmadan el veya kompresörle sert kaya kazılması ve kullanılması (Ariyet ocağından getirilecek veya depoya gidecek kazılarda)</v>
          </cell>
          <cell r="C196" t="str">
            <v>M3</v>
          </cell>
          <cell r="E196">
            <v>5602311</v>
          </cell>
          <cell r="F196">
            <v>7482457</v>
          </cell>
          <cell r="G196">
            <v>12113066</v>
          </cell>
          <cell r="H196">
            <v>16915202</v>
          </cell>
        </row>
        <row r="197">
          <cell r="A197" t="str">
            <v>14.010/K-A</v>
          </cell>
          <cell r="B197" t="str">
            <v>Patlayıcı madde kullanılmadan el veya kompresörle çok sert kaya kazılması ve kullanılması (Yarma ve yan ariyetten dolguya gidecek kazılarda)</v>
          </cell>
          <cell r="C197" t="str">
            <v>M3</v>
          </cell>
          <cell r="E197">
            <v>8603247</v>
          </cell>
          <cell r="F197">
            <v>11480971</v>
          </cell>
          <cell r="G197">
            <v>18700542</v>
          </cell>
          <cell r="H197">
            <v>26079418</v>
          </cell>
        </row>
        <row r="198">
          <cell r="A198" t="str">
            <v>14.010/K-B</v>
          </cell>
          <cell r="B198" t="str">
            <v>Patlayıcı madde kullanılmadan el veya kompresörle çok sert kaya kazılması ve kullanılması (Ariyet ocağından getirilecek veya depoya gidecek kazılarda)</v>
          </cell>
          <cell r="C198" t="str">
            <v>M3</v>
          </cell>
          <cell r="E198">
            <v>8560497</v>
          </cell>
          <cell r="F198">
            <v>11428471</v>
          </cell>
          <cell r="G198">
            <v>18613917</v>
          </cell>
          <cell r="H198">
            <v>25970668</v>
          </cell>
        </row>
        <row r="199">
          <cell r="A199" t="str">
            <v>14.011/K-A</v>
          </cell>
          <cell r="B199" t="str">
            <v>El ile batak ve balçık zeminlerin kazılması ve kullanılması (Yarma ve yan ariyetten dolguya gidecek kazılarda)</v>
          </cell>
          <cell r="C199" t="str">
            <v>M3</v>
          </cell>
          <cell r="E199">
            <v>4111875</v>
          </cell>
          <cell r="F199">
            <v>5533750</v>
          </cell>
          <cell r="G199">
            <v>8484562</v>
          </cell>
          <cell r="H199">
            <v>11996875</v>
          </cell>
        </row>
        <row r="200">
          <cell r="A200" t="str">
            <v>14.011/K-B</v>
          </cell>
          <cell r="B200" t="str">
            <v>El ile batak ve balçık zeminlerin kazılması ve kullanılması (Ariyet ocağından getirilecek veya depoya gidecek kazılarda)</v>
          </cell>
          <cell r="C200" t="str">
            <v>M3</v>
          </cell>
          <cell r="E200">
            <v>4069125</v>
          </cell>
          <cell r="F200">
            <v>5481250</v>
          </cell>
          <cell r="G200">
            <v>8397937</v>
          </cell>
          <cell r="H200">
            <v>11888125</v>
          </cell>
        </row>
        <row r="201">
          <cell r="A201" t="str">
            <v>14.018/K</v>
          </cell>
          <cell r="B201" t="str">
            <v>Dolguya gelmiş serilmiş her cins kazının el ile tokmaklanarak sıkıştırılması</v>
          </cell>
          <cell r="C201" t="str">
            <v>M3</v>
          </cell>
          <cell r="E201">
            <v>658000</v>
          </cell>
          <cell r="F201">
            <v>888750</v>
          </cell>
          <cell r="G201">
            <v>1358750</v>
          </cell>
          <cell r="H201">
            <v>1930000</v>
          </cell>
        </row>
        <row r="202">
          <cell r="A202" t="str">
            <v>14.019/1</v>
          </cell>
          <cell r="B202" t="str">
            <v>Dolgu altlarındaki mevcut yol yüzeyinin sürülerek veya sökülerek kabartılması</v>
          </cell>
          <cell r="C202" t="str">
            <v>M2</v>
          </cell>
          <cell r="E202">
            <v>23412</v>
          </cell>
          <cell r="F202">
            <v>30636</v>
          </cell>
          <cell r="G202">
            <v>60000</v>
          </cell>
          <cell r="H202">
            <v>81583</v>
          </cell>
        </row>
        <row r="203">
          <cell r="A203" t="str">
            <v>14.021/1</v>
          </cell>
          <cell r="B203" t="str">
            <v>Kazı ve dolgu alanlarında makine ile temizleme ve sökme</v>
          </cell>
          <cell r="C203" t="str">
            <v>AR</v>
          </cell>
          <cell r="E203">
            <v>3168338</v>
          </cell>
          <cell r="F203">
            <v>4169958</v>
          </cell>
          <cell r="G203">
            <v>7386167</v>
          </cell>
          <cell r="H203">
            <v>10195787</v>
          </cell>
        </row>
        <row r="204">
          <cell r="A204" t="str">
            <v>14.022/1</v>
          </cell>
          <cell r="B204" t="str">
            <v>Makine ile ağaç kesme ve sökme (10-30 cm. çapında)</v>
          </cell>
          <cell r="C204" t="str">
            <v>AD</v>
          </cell>
          <cell r="E204">
            <v>666567</v>
          </cell>
          <cell r="F204">
            <v>878428</v>
          </cell>
          <cell r="G204">
            <v>1545170</v>
          </cell>
          <cell r="H204">
            <v>2135657</v>
          </cell>
        </row>
        <row r="205">
          <cell r="A205" t="str">
            <v>14.022/1-K</v>
          </cell>
          <cell r="B205" t="str">
            <v>Makine ile kök sökme (10-30 cm. çapındaki ağaçların kökleri)</v>
          </cell>
          <cell r="C205" t="str">
            <v>AD</v>
          </cell>
          <cell r="E205">
            <v>334140</v>
          </cell>
          <cell r="F205">
            <v>438182</v>
          </cell>
          <cell r="G205">
            <v>791227</v>
          </cell>
          <cell r="H205">
            <v>1088393</v>
          </cell>
        </row>
        <row r="206">
          <cell r="A206" t="str">
            <v>14.022/2</v>
          </cell>
          <cell r="B206" t="str">
            <v>Makine ile ağaç kesme ve sökme (30-50 cm. çapında)</v>
          </cell>
          <cell r="C206" t="str">
            <v>AD</v>
          </cell>
          <cell r="E206">
            <v>1623152</v>
          </cell>
          <cell r="F206">
            <v>2143106</v>
          </cell>
          <cell r="G206">
            <v>3731400</v>
          </cell>
          <cell r="H206">
            <v>5167103</v>
          </cell>
        </row>
        <row r="207">
          <cell r="A207" t="str">
            <v>14.022/2-K</v>
          </cell>
          <cell r="B207" t="str">
            <v>Makine ile kök sökme (30-50 cm. çapındaki ağaçların kökleri)</v>
          </cell>
          <cell r="C207" t="str">
            <v>AD</v>
          </cell>
          <cell r="E207">
            <v>776491</v>
          </cell>
          <cell r="F207">
            <v>1019238</v>
          </cell>
          <cell r="G207">
            <v>1831215</v>
          </cell>
          <cell r="H207">
            <v>2521262</v>
          </cell>
        </row>
        <row r="208">
          <cell r="A208" t="str">
            <v>14.022/3</v>
          </cell>
          <cell r="B208" t="str">
            <v>Makine ile ağaç kesme ve sökme (50-80 cm. çapında)</v>
          </cell>
          <cell r="C208" t="str">
            <v>AD</v>
          </cell>
          <cell r="E208">
            <v>3826338</v>
          </cell>
          <cell r="F208">
            <v>5058708</v>
          </cell>
          <cell r="G208">
            <v>8744917</v>
          </cell>
          <cell r="H208">
            <v>12125787</v>
          </cell>
        </row>
        <row r="209">
          <cell r="A209" t="str">
            <v>14.022/3-K</v>
          </cell>
          <cell r="B209" t="str">
            <v>Makine ile kök sökme (50-80 cm. çapındaki ağaçların kökleri)</v>
          </cell>
          <cell r="C209" t="str">
            <v>AD</v>
          </cell>
          <cell r="E209">
            <v>1769403</v>
          </cell>
          <cell r="F209">
            <v>2324225</v>
          </cell>
          <cell r="G209">
            <v>4159950</v>
          </cell>
          <cell r="H209">
            <v>5731472</v>
          </cell>
        </row>
        <row r="210">
          <cell r="A210" t="str">
            <v>14.022/4</v>
          </cell>
          <cell r="B210" t="str">
            <v>Makine ile ağaç kesme ve sökme (80 cm. den büyük çapta)</v>
          </cell>
          <cell r="C210" t="str">
            <v>AD</v>
          </cell>
          <cell r="E210">
            <v>6570576</v>
          </cell>
          <cell r="F210">
            <v>8688680</v>
          </cell>
          <cell r="G210">
            <v>15002235</v>
          </cell>
          <cell r="H210">
            <v>20806840</v>
          </cell>
        </row>
        <row r="211">
          <cell r="A211" t="str">
            <v>14.022/4-K</v>
          </cell>
          <cell r="B211" t="str">
            <v>Makine ile kök sökme (80 cm. den büyük çaptaki ağaçların kökleri)</v>
          </cell>
          <cell r="C211" t="str">
            <v>AD</v>
          </cell>
          <cell r="E211">
            <v>3021146</v>
          </cell>
          <cell r="F211">
            <v>3968957</v>
          </cell>
          <cell r="G211">
            <v>7099090</v>
          </cell>
          <cell r="H211">
            <v>9782103</v>
          </cell>
        </row>
        <row r="212">
          <cell r="A212" t="str">
            <v>14.023/A</v>
          </cell>
          <cell r="B212" t="str">
            <v>Kazılara ahşap, tam kaplamalı iksa yapılması</v>
          </cell>
          <cell r="C212" t="str">
            <v>M2</v>
          </cell>
          <cell r="E212">
            <v>4627475</v>
          </cell>
          <cell r="F212">
            <v>5933218</v>
          </cell>
          <cell r="G212">
            <v>9752500</v>
          </cell>
          <cell r="H212">
            <v>13069375</v>
          </cell>
        </row>
        <row r="213">
          <cell r="A213" t="str">
            <v>14.023/B</v>
          </cell>
          <cell r="B213" t="str">
            <v>Kazılara sık aralıklı, ahşap kaplamalı iksa yapılması</v>
          </cell>
          <cell r="C213" t="str">
            <v>M2</v>
          </cell>
          <cell r="E213">
            <v>3239232</v>
          </cell>
          <cell r="F213">
            <v>4153252</v>
          </cell>
          <cell r="G213">
            <v>6826750</v>
          </cell>
          <cell r="H213">
            <v>9148562</v>
          </cell>
        </row>
        <row r="214">
          <cell r="A214" t="str">
            <v>14.023/C</v>
          </cell>
          <cell r="B214" t="str">
            <v>Kazılara aralıklı, ahşap kaplamalı iksa yapılması</v>
          </cell>
          <cell r="C214" t="str">
            <v>M2</v>
          </cell>
          <cell r="E214">
            <v>2313737</v>
          </cell>
          <cell r="F214">
            <v>2966608</v>
          </cell>
          <cell r="G214">
            <v>4876250</v>
          </cell>
          <cell r="H214">
            <v>6534687</v>
          </cell>
        </row>
        <row r="215">
          <cell r="A215" t="str">
            <v>14.100</v>
          </cell>
          <cell r="B215" t="str">
            <v>Köprü civarında kayadan başka her cins ve klastaki zeminin kazılması ve kullanılması (El ile)</v>
          </cell>
          <cell r="C215" t="str">
            <v>M3</v>
          </cell>
          <cell r="E215">
            <v>2259626</v>
          </cell>
          <cell r="F215">
            <v>3037188</v>
          </cell>
          <cell r="G215">
            <v>4661376</v>
          </cell>
          <cell r="H215">
            <v>6580626</v>
          </cell>
        </row>
        <row r="216">
          <cell r="A216" t="str">
            <v>14.101</v>
          </cell>
          <cell r="B216" t="str">
            <v>Köprü civarında kayadan başka her cins ve klastaki zeminin kazılması ve kullanılması (Makine ile)</v>
          </cell>
          <cell r="C216" t="str">
            <v>M3</v>
          </cell>
          <cell r="E216">
            <v>415187</v>
          </cell>
          <cell r="F216">
            <v>534102</v>
          </cell>
          <cell r="G216">
            <v>943867</v>
          </cell>
          <cell r="H216">
            <v>1267953</v>
          </cell>
        </row>
        <row r="217">
          <cell r="A217" t="str">
            <v>14.110</v>
          </cell>
          <cell r="B217" t="str">
            <v>Her derinlikte,her cins ve klastaki zeminde kuruda drenaj, kanalizasyon hendeği ve duvar temelinin kazılması (Heyelan etmiş sahada yapılacak drenaj hendeği ve duvar temelinin kazılması hariç)</v>
          </cell>
          <cell r="C217" t="str">
            <v>M3</v>
          </cell>
          <cell r="E217">
            <v>4308120</v>
          </cell>
          <cell r="F217">
            <v>5744142</v>
          </cell>
          <cell r="G217">
            <v>8931937</v>
          </cell>
          <cell r="H217">
            <v>12499500</v>
          </cell>
        </row>
        <row r="218">
          <cell r="A218" t="str">
            <v>14.111</v>
          </cell>
          <cell r="B218" t="str">
            <v>Her derinlikte, her cins ve klastaki zeminde kuruda kutu menfez, gido, mahmuz, taş dolgu ve tahkimat işleri temellerinin kazılması</v>
          </cell>
          <cell r="C218" t="str">
            <v>M3</v>
          </cell>
          <cell r="E218">
            <v>3382625</v>
          </cell>
          <cell r="F218">
            <v>4557500</v>
          </cell>
          <cell r="G218">
            <v>6981437</v>
          </cell>
          <cell r="H218">
            <v>9885625</v>
          </cell>
        </row>
        <row r="219">
          <cell r="A219" t="str">
            <v>14.112</v>
          </cell>
          <cell r="B219" t="str">
            <v>Her derinlikte, her cins ve klastaki zeminde kuruda tabliyeli veya kemer menfez temelinin kazılması</v>
          </cell>
          <cell r="C219" t="str">
            <v>M3</v>
          </cell>
          <cell r="E219">
            <v>6955933</v>
          </cell>
          <cell r="F219">
            <v>9184176</v>
          </cell>
          <cell r="G219">
            <v>14484262</v>
          </cell>
          <cell r="H219">
            <v>20049331</v>
          </cell>
        </row>
        <row r="220">
          <cell r="A220" t="str">
            <v>14.113</v>
          </cell>
          <cell r="B220" t="str">
            <v>Her derinlikte, her cins ve klastaki zeminde kuruda köprü temelinin kazılması</v>
          </cell>
          <cell r="C220" t="str">
            <v>M3</v>
          </cell>
          <cell r="E220">
            <v>7822170</v>
          </cell>
          <cell r="F220">
            <v>10339921</v>
          </cell>
          <cell r="G220">
            <v>16281875</v>
          </cell>
          <cell r="H220">
            <v>22567452</v>
          </cell>
        </row>
        <row r="221">
          <cell r="A221" t="str">
            <v>14.120</v>
          </cell>
          <cell r="B221" t="str">
            <v>Her derinlikte, her cins ve klastaki zeminde kuruda veya su altında menfez büzü ve kafa hendekleri ile bilumum kanalların dar derivasyon şeklindeki kısımlarının kazılması</v>
          </cell>
          <cell r="C221" t="str">
            <v>M3</v>
          </cell>
          <cell r="E221">
            <v>3382625</v>
          </cell>
          <cell r="F221">
            <v>4557500</v>
          </cell>
          <cell r="G221">
            <v>6981437</v>
          </cell>
          <cell r="H221">
            <v>9885625</v>
          </cell>
        </row>
        <row r="222">
          <cell r="A222" t="str">
            <v>14.121</v>
          </cell>
          <cell r="B222" t="str">
            <v>Her derinlikte, her cins ve klastaki zeminde, su altında drenaj, kanalizasyon hendeği ve duvar temelinin kazılması (Heyelan etmiş sahada yapılacak drenaj hendeği ve duvar temelinin kazılması hariç)</v>
          </cell>
          <cell r="C222" t="str">
            <v>M3</v>
          </cell>
          <cell r="E222">
            <v>6770335</v>
          </cell>
          <cell r="F222">
            <v>8935648</v>
          </cell>
          <cell r="G222">
            <v>14515308</v>
          </cell>
          <cell r="H222">
            <v>20206598</v>
          </cell>
        </row>
        <row r="223">
          <cell r="A223" t="str">
            <v>14.122</v>
          </cell>
          <cell r="B223" t="str">
            <v>Her derinlikte, her cins ve klastaki zeminde, su altında (Kutu menfez, gido, mahmuz, taş dolgu ve tahkimat işleri) temellerinin kazılması</v>
          </cell>
          <cell r="C223" t="str">
            <v>M3</v>
          </cell>
          <cell r="E223">
            <v>5541151</v>
          </cell>
          <cell r="F223">
            <v>7297461</v>
          </cell>
          <cell r="G223">
            <v>11859478</v>
          </cell>
          <cell r="H223">
            <v>16461713</v>
          </cell>
        </row>
        <row r="224">
          <cell r="A224" t="str">
            <v>14.123</v>
          </cell>
          <cell r="B224" t="str">
            <v>Her derinlikte, her cins ve klastaki zeminde, su altında tabliyeli veya kemer menfez temelinin kazılması</v>
          </cell>
          <cell r="C224" t="str">
            <v>M3</v>
          </cell>
          <cell r="E224">
            <v>10492122</v>
          </cell>
          <cell r="F224">
            <v>13787223</v>
          </cell>
          <cell r="G224">
            <v>22725256</v>
          </cell>
          <cell r="H224">
            <v>31542717</v>
          </cell>
        </row>
        <row r="225">
          <cell r="A225" t="str">
            <v>14.124</v>
          </cell>
          <cell r="B225" t="str">
            <v>Her derinlikte, her cins ve klastaki zeminde,su altında köprü temelinin kazılması</v>
          </cell>
          <cell r="C225" t="str">
            <v>M3</v>
          </cell>
          <cell r="E225">
            <v>15309502</v>
          </cell>
          <cell r="F225">
            <v>20067146</v>
          </cell>
          <cell r="G225">
            <v>33852986</v>
          </cell>
          <cell r="H225">
            <v>47057955</v>
          </cell>
        </row>
        <row r="226">
          <cell r="A226" t="str">
            <v>14.125</v>
          </cell>
          <cell r="B226" t="str">
            <v>Her derinlikte, her cins ve klastaki zeminde,su altında köprü temelinin kazılması</v>
          </cell>
          <cell r="C226" t="str">
            <v>M3</v>
          </cell>
          <cell r="E226">
            <v>18580507</v>
          </cell>
          <cell r="F226">
            <v>24295302</v>
          </cell>
          <cell r="G226">
            <v>40933297</v>
          </cell>
          <cell r="H226">
            <v>56699637</v>
          </cell>
        </row>
        <row r="227">
          <cell r="A227" t="str">
            <v>14.126</v>
          </cell>
          <cell r="B227" t="str">
            <v>Her derinlikte, her cins ve klastaki zeminde,su altında köprü temelinin kazılması</v>
          </cell>
          <cell r="C227" t="str">
            <v>M3</v>
          </cell>
          <cell r="E227">
            <v>22337578</v>
          </cell>
          <cell r="F227">
            <v>29172127</v>
          </cell>
          <cell r="G227">
            <v>49074155</v>
          </cell>
          <cell r="H227">
            <v>67841818</v>
          </cell>
        </row>
        <row r="228">
          <cell r="A228" t="str">
            <v>14.127</v>
          </cell>
          <cell r="B228" t="str">
            <v>Her derinlikte, her cins ve klastaki zeminde,su altında köprü temelinin kazılması</v>
          </cell>
          <cell r="C228" t="str">
            <v>M3</v>
          </cell>
          <cell r="E228">
            <v>26752650</v>
          </cell>
          <cell r="F228">
            <v>34937702</v>
          </cell>
          <cell r="G228">
            <v>58573762</v>
          </cell>
          <cell r="H228">
            <v>80914000</v>
          </cell>
        </row>
        <row r="229">
          <cell r="A229" t="str">
            <v>14.150</v>
          </cell>
          <cell r="B229" t="str">
            <v>Heyelan etmiş sahada her cins ve klastaki zeminde kuruda veya su altında drenaj hendeği ve duvar temelinin kazılması (Derinlik 0-4 m.arası, 4 m.dahil)</v>
          </cell>
          <cell r="C229" t="str">
            <v>M3</v>
          </cell>
          <cell r="E229">
            <v>6435057</v>
          </cell>
          <cell r="F229">
            <v>8434881</v>
          </cell>
          <cell r="G229">
            <v>13592951</v>
          </cell>
          <cell r="H229">
            <v>18710683</v>
          </cell>
        </row>
        <row r="230">
          <cell r="A230" t="str">
            <v>14.152</v>
          </cell>
          <cell r="B230" t="str">
            <v>Heyelan etmiş sahada her cins ve klastaki zeminde kuruda veya su altında drenaj hendeği ve duvar temelinin kazılması (Derinlik 4-8 m.arası, 8 m.dahil)</v>
          </cell>
          <cell r="C230" t="str">
            <v>M3</v>
          </cell>
          <cell r="E230">
            <v>9684807</v>
          </cell>
          <cell r="F230">
            <v>12697593</v>
          </cell>
          <cell r="G230">
            <v>20486170</v>
          </cell>
          <cell r="H230">
            <v>28215962</v>
          </cell>
        </row>
        <row r="231">
          <cell r="A231" t="str">
            <v>14.154</v>
          </cell>
          <cell r="B231" t="str">
            <v>Heyelan etmiş sahada her cins ve klastaki zeminde kuruda veya su altında drenaj hendeği ve duvar temelinin kazilması (Derinlik 8-12 m.arası, 12 m.dahil)</v>
          </cell>
          <cell r="C231" t="str">
            <v>M3</v>
          </cell>
          <cell r="E231">
            <v>13749623</v>
          </cell>
          <cell r="F231">
            <v>18053350</v>
          </cell>
          <cell r="G231">
            <v>29119308</v>
          </cell>
          <cell r="H231">
            <v>40186740</v>
          </cell>
        </row>
        <row r="232">
          <cell r="A232" t="str">
            <v>14.156</v>
          </cell>
          <cell r="B232" t="str">
            <v>Heyelan etmiş sahada her cins ve klastaki zeminde kuruda veya su altında drenaj hendeği ve duvar temelinin kazılması (Derinlik 12-16 m.arası, 16 m.dahil)</v>
          </cell>
          <cell r="C232" t="str">
            <v>M3</v>
          </cell>
          <cell r="E232">
            <v>16695757</v>
          </cell>
          <cell r="F232">
            <v>22016936</v>
          </cell>
          <cell r="G232">
            <v>35316652</v>
          </cell>
          <cell r="H232">
            <v>48977737</v>
          </cell>
        </row>
        <row r="233">
          <cell r="A233" t="str">
            <v>15.001/A</v>
          </cell>
          <cell r="B233" t="str">
            <v>Ekskavatörle her cins toprağın kazılması ve kullanılması (Yarma ve yan ariyetten dolguya gidecek kazılarda)</v>
          </cell>
          <cell r="C233" t="str">
            <v>M3</v>
          </cell>
          <cell r="E233">
            <v>420473</v>
          </cell>
          <cell r="F233">
            <v>538000</v>
          </cell>
          <cell r="G233">
            <v>938706</v>
          </cell>
          <cell r="H233">
            <v>1247735</v>
          </cell>
        </row>
        <row r="234">
          <cell r="A234" t="str">
            <v>15.001/B</v>
          </cell>
          <cell r="B234" t="str">
            <v>Ekskavatörle her cins toprağın kazılması ve kullanılması (Ariyet ocağından getirilecek veya depoya gidecek kazılarda)</v>
          </cell>
          <cell r="C234" t="str">
            <v>M3</v>
          </cell>
          <cell r="E234">
            <v>377723</v>
          </cell>
          <cell r="F234">
            <v>485500</v>
          </cell>
          <cell r="G234">
            <v>852081</v>
          </cell>
          <cell r="H234">
            <v>1138985</v>
          </cell>
        </row>
        <row r="235">
          <cell r="A235" t="str">
            <v>15.003/A</v>
          </cell>
          <cell r="B235" t="str">
            <v>Skreyperle her cins toprağın kazılması ve kullanılması (Yarma ve yan ariyetten dolguya gidecek kazılarda)</v>
          </cell>
          <cell r="C235" t="str">
            <v>M3</v>
          </cell>
          <cell r="E235">
            <v>327242</v>
          </cell>
          <cell r="F235">
            <v>415333</v>
          </cell>
          <cell r="G235">
            <v>720077</v>
          </cell>
          <cell r="H235">
            <v>950112</v>
          </cell>
        </row>
        <row r="236">
          <cell r="A236" t="str">
            <v>15.003/B</v>
          </cell>
          <cell r="B236" t="str">
            <v>Skreyperle her cins toprağın kazılması ve kullanılması (Ariyet ocağından getirilecek veya depoya gidecek kazılarda)</v>
          </cell>
          <cell r="C236" t="str">
            <v>M3</v>
          </cell>
          <cell r="E236">
            <v>284492</v>
          </cell>
          <cell r="F236">
            <v>362833</v>
          </cell>
          <cell r="G236">
            <v>633452</v>
          </cell>
          <cell r="H236">
            <v>841362</v>
          </cell>
        </row>
        <row r="237">
          <cell r="A237" t="str">
            <v>15.004/A</v>
          </cell>
          <cell r="B237" t="str">
            <v>Buldozerle her cins toprağın kazılması ve kullanılması (Yarma ve yan ariyetten dolguya gidecek kazılarda)</v>
          </cell>
          <cell r="C237" t="str">
            <v>M3</v>
          </cell>
          <cell r="E237">
            <v>276840</v>
          </cell>
          <cell r="F237">
            <v>348903</v>
          </cell>
          <cell r="G237">
            <v>603296</v>
          </cell>
          <cell r="H237">
            <v>788835</v>
          </cell>
        </row>
        <row r="238">
          <cell r="A238" t="str">
            <v>15.004/B</v>
          </cell>
          <cell r="B238" t="str">
            <v>Buldozerle her cins toprağın kazılması ve kullanılması (Ariyet ocağından getirilecek veya depoya gidecek kazılarda)</v>
          </cell>
          <cell r="C238" t="str">
            <v>M3</v>
          </cell>
          <cell r="E238">
            <v>234090</v>
          </cell>
          <cell r="F238">
            <v>296403</v>
          </cell>
          <cell r="G238">
            <v>516671</v>
          </cell>
          <cell r="H238">
            <v>680085</v>
          </cell>
        </row>
        <row r="239">
          <cell r="A239" t="str">
            <v>15.005</v>
          </cell>
          <cell r="B239" t="str">
            <v>Zayıf zeminin (Bitkisel toprak vs.) kazılması ve kullanılması</v>
          </cell>
          <cell r="C239" t="str">
            <v>M3</v>
          </cell>
          <cell r="D239">
            <v>2506</v>
          </cell>
          <cell r="E239">
            <v>237390</v>
          </cell>
          <cell r="F239">
            <v>297587</v>
          </cell>
          <cell r="G239">
            <v>506668</v>
          </cell>
          <cell r="H239">
            <v>656831</v>
          </cell>
          <cell r="I239">
            <v>772090</v>
          </cell>
        </row>
        <row r="240">
          <cell r="A240" t="str">
            <v>15.006/A</v>
          </cell>
          <cell r="B240" t="str">
            <v>Ekskavatörle her cins küskülüğün kazılması ve kullanılması (Yarma ve yan ariyetten dolguya gidecek kazılarda)</v>
          </cell>
          <cell r="C240" t="str">
            <v>M3</v>
          </cell>
          <cell r="E240">
            <v>609537</v>
          </cell>
          <cell r="F240">
            <v>786185</v>
          </cell>
          <cell r="G240">
            <v>1385217</v>
          </cell>
          <cell r="H240">
            <v>1859226</v>
          </cell>
        </row>
        <row r="241">
          <cell r="A241" t="str">
            <v>15.006/B</v>
          </cell>
          <cell r="B241" t="str">
            <v>Ekskavatörle her cins küskülüğün kazılması ve kullanılması (Ariyet ocağından getirilecek veya depoya gidecek kazılarda)</v>
          </cell>
          <cell r="C241" t="str">
            <v>M3</v>
          </cell>
          <cell r="E241">
            <v>566787</v>
          </cell>
          <cell r="F241">
            <v>733685</v>
          </cell>
          <cell r="G241">
            <v>1298592</v>
          </cell>
          <cell r="H241">
            <v>1750476</v>
          </cell>
        </row>
        <row r="242">
          <cell r="A242" t="str">
            <v>15.008/A</v>
          </cell>
          <cell r="B242" t="str">
            <v>Skreyperle her cins küskülüğün kazılması ve kullanılması (Yarma ve yan ariyetten dolguya gidecek kazılarda)</v>
          </cell>
          <cell r="C242" t="str">
            <v>M3</v>
          </cell>
          <cell r="E242">
            <v>555332</v>
          </cell>
          <cell r="F242">
            <v>713991</v>
          </cell>
          <cell r="G242">
            <v>1286222</v>
          </cell>
          <cell r="H242">
            <v>1723298</v>
          </cell>
        </row>
        <row r="243">
          <cell r="A243" t="str">
            <v>15.008/B</v>
          </cell>
          <cell r="B243" t="str">
            <v>Skreyperle her cins küskülüğün kazılması ve kullanılması (Ariyet ocağından getirilecek veya depoya gidecek kazılarda)</v>
          </cell>
          <cell r="C243" t="str">
            <v>M3</v>
          </cell>
          <cell r="E243">
            <v>512582</v>
          </cell>
          <cell r="F243">
            <v>661491</v>
          </cell>
          <cell r="G243">
            <v>1199597</v>
          </cell>
          <cell r="H243">
            <v>1614548</v>
          </cell>
        </row>
        <row r="244">
          <cell r="A244" t="str">
            <v>15.009/A</v>
          </cell>
          <cell r="B244" t="str">
            <v>Buldozerle her cins küskülüğün kazılması ve kullanılması (Yarma ve yan ariyetten dolguya gidecek kazılarda)</v>
          </cell>
          <cell r="C244" t="str">
            <v>M3</v>
          </cell>
          <cell r="E244">
            <v>469668</v>
          </cell>
          <cell r="F244">
            <v>601140</v>
          </cell>
          <cell r="G244">
            <v>1087316</v>
          </cell>
          <cell r="H244">
            <v>1448723</v>
          </cell>
        </row>
        <row r="245">
          <cell r="A245" t="str">
            <v>15.009/B</v>
          </cell>
          <cell r="B245" t="str">
            <v>Buldozerle her cins küskülüğün kazılması ve kullanılması (Ariyet ocağından getirilecek veya depoya gidecek kazılarda)</v>
          </cell>
          <cell r="C245" t="str">
            <v>M3</v>
          </cell>
          <cell r="E245">
            <v>426918</v>
          </cell>
          <cell r="F245">
            <v>548640</v>
          </cell>
          <cell r="G245">
            <v>1000691</v>
          </cell>
          <cell r="H245">
            <v>1339973</v>
          </cell>
        </row>
        <row r="246">
          <cell r="A246" t="str">
            <v>15.010/A</v>
          </cell>
          <cell r="B246" t="str">
            <v>Ekskavatörle yumuşak kayanın kazılması ve kullanılması (Yarma ve yan ariyetten dolguya gidecek kazılarda)</v>
          </cell>
          <cell r="C246" t="str">
            <v>M3</v>
          </cell>
          <cell r="E246">
            <v>1621391</v>
          </cell>
          <cell r="F246">
            <v>2137962</v>
          </cell>
          <cell r="G246">
            <v>3649802</v>
          </cell>
        </row>
        <row r="247">
          <cell r="A247" t="str">
            <v>15.010/B</v>
          </cell>
          <cell r="B247" t="str">
            <v>Ekskavatörle yumuşak kayanın kazılması ve kullanılması (Ariyet ocağından getirilecek veya depoya gidecek kazılarda)</v>
          </cell>
          <cell r="C247" t="str">
            <v>M3</v>
          </cell>
          <cell r="E247">
            <v>1578641</v>
          </cell>
          <cell r="F247">
            <v>2085462</v>
          </cell>
          <cell r="G247">
            <v>3563177</v>
          </cell>
        </row>
        <row r="248">
          <cell r="A248" t="str">
            <v>15.012/A</v>
          </cell>
          <cell r="B248" t="str">
            <v>Skreyperle yumuşak kayanın kazılması ve kullanılması (Yarma ve yan ariyetten dolguya gidecek kazılarda)</v>
          </cell>
          <cell r="C248" t="str">
            <v>M3</v>
          </cell>
          <cell r="E248">
            <v>1681196</v>
          </cell>
          <cell r="F248">
            <v>2215585</v>
          </cell>
          <cell r="G248">
            <v>3805596</v>
          </cell>
        </row>
        <row r="249">
          <cell r="A249" t="str">
            <v>15.012/B</v>
          </cell>
          <cell r="B249" t="str">
            <v>Skreyperle yumuşak kayanın kazılması ve kullanılması (Ariyet ocağından getirilecek veya depoya gidecek kazılarda)</v>
          </cell>
          <cell r="C249" t="str">
            <v>M3</v>
          </cell>
          <cell r="E249">
            <v>1638446</v>
          </cell>
          <cell r="F249">
            <v>2163085</v>
          </cell>
          <cell r="G249">
            <v>3718971</v>
          </cell>
        </row>
        <row r="250">
          <cell r="A250" t="str">
            <v>15.013/A</v>
          </cell>
          <cell r="B250" t="str">
            <v>Buldozerle yumuşak kayanın kazılması ve kullanılması (Yarma ve yan ariyetten dolguya gidecek kazılarda)</v>
          </cell>
          <cell r="C250" t="str">
            <v>M3</v>
          </cell>
          <cell r="E250">
            <v>1561662</v>
          </cell>
          <cell r="F250">
            <v>2058518</v>
          </cell>
          <cell r="G250">
            <v>3524943</v>
          </cell>
        </row>
        <row r="251">
          <cell r="A251" t="str">
            <v>15.013/B</v>
          </cell>
          <cell r="B251" t="str">
            <v>Buldozerle yumuşak kayanın kazılması ve kullanılması (Ariyet ocağından getirilecek veya depoya gidecek kazılarda)</v>
          </cell>
          <cell r="C251" t="str">
            <v>M3</v>
          </cell>
          <cell r="E251">
            <v>1518912</v>
          </cell>
          <cell r="F251">
            <v>2006018</v>
          </cell>
          <cell r="G251">
            <v>3438318</v>
          </cell>
        </row>
        <row r="252">
          <cell r="A252" t="str">
            <v>15.014/A</v>
          </cell>
          <cell r="B252" t="str">
            <v>Ekskavatörle sert kayanın kazılması ve kullanılması (Yarma ve yan ariyetten dolguya gidecek kazılarda)</v>
          </cell>
          <cell r="C252" t="str">
            <v>M3</v>
          </cell>
          <cell r="E252">
            <v>1994535</v>
          </cell>
          <cell r="F252">
            <v>2635215</v>
          </cell>
          <cell r="G252">
            <v>4499242</v>
          </cell>
        </row>
        <row r="253">
          <cell r="A253" t="str">
            <v>15.014/B</v>
          </cell>
          <cell r="B253" t="str">
            <v>Ekskavatörle sert kayanın kazılması ve kullanılması (Ariyet ocağından getirilecek veya depoya gidecek kazılarda)</v>
          </cell>
          <cell r="C253" t="str">
            <v>M3</v>
          </cell>
          <cell r="E253">
            <v>1951785</v>
          </cell>
          <cell r="F253">
            <v>2582715</v>
          </cell>
          <cell r="G253">
            <v>4412617</v>
          </cell>
        </row>
        <row r="254">
          <cell r="A254" t="str">
            <v>15.016/A</v>
          </cell>
          <cell r="B254" t="str">
            <v>Skreyperle sert kayanın kazılması ve kullanılması (Yarma ve yan ariyetten dolguya gidecek kazılarda)</v>
          </cell>
          <cell r="C254" t="str">
            <v>M3</v>
          </cell>
          <cell r="E254">
            <v>2054340</v>
          </cell>
          <cell r="F254">
            <v>2712837</v>
          </cell>
          <cell r="G254">
            <v>4655036</v>
          </cell>
        </row>
        <row r="255">
          <cell r="A255" t="str">
            <v>15.016/B</v>
          </cell>
          <cell r="B255" t="str">
            <v>Skreyperle sert kayanın kazılması ve kullanılması (Ariyet ocağından getirilecek veya depoya gidecek kazılarda)</v>
          </cell>
          <cell r="C255" t="str">
            <v>M3</v>
          </cell>
          <cell r="E255">
            <v>2011590</v>
          </cell>
          <cell r="F255">
            <v>2660337</v>
          </cell>
          <cell r="G255">
            <v>4568411</v>
          </cell>
        </row>
        <row r="256">
          <cell r="A256" t="str">
            <v>15.017/A</v>
          </cell>
          <cell r="B256" t="str">
            <v>Buldozerle sert kayanın kazılması ve kullanılması (Yarma ve yan ariyetten dolguya gidecek kazılarda)</v>
          </cell>
          <cell r="C256" t="str">
            <v>M3</v>
          </cell>
          <cell r="E256">
            <v>1934806</v>
          </cell>
          <cell r="F256">
            <v>2555771</v>
          </cell>
          <cell r="G256">
            <v>4374383</v>
          </cell>
        </row>
        <row r="257">
          <cell r="A257" t="str">
            <v>15.017/B</v>
          </cell>
          <cell r="B257" t="str">
            <v>Buldozerle sert kayanın kazılması ve kullanılması (Ariyet ocağından getirilecek veya depoya gidecek kazılarda)</v>
          </cell>
          <cell r="C257" t="str">
            <v>M3</v>
          </cell>
          <cell r="E257">
            <v>1892056</v>
          </cell>
          <cell r="F257">
            <v>2503271</v>
          </cell>
          <cell r="G257">
            <v>4287758</v>
          </cell>
        </row>
        <row r="258">
          <cell r="A258" t="str">
            <v>15.018/A</v>
          </cell>
          <cell r="B258" t="str">
            <v>Ekskavatörle çok sert kayanın kazılması ve kullanılması (Yarma ve yan ariyetten dolguya gidecek kazılarda)</v>
          </cell>
          <cell r="C258" t="str">
            <v>M3</v>
          </cell>
          <cell r="E258">
            <v>2590603</v>
          </cell>
          <cell r="F258">
            <v>3429467</v>
          </cell>
          <cell r="G258">
            <v>5845693</v>
          </cell>
        </row>
        <row r="259">
          <cell r="A259" t="str">
            <v>15.018/B</v>
          </cell>
          <cell r="B259" t="str">
            <v>Ekskavatörle çok sert kayanın kazılması ve kullanılması (Ariyet ocağından getirilecek veya depoya gidecek kazılarda)</v>
          </cell>
          <cell r="C259" t="str">
            <v>M3</v>
          </cell>
          <cell r="E259">
            <v>2547853</v>
          </cell>
          <cell r="F259">
            <v>3376967</v>
          </cell>
          <cell r="G259">
            <v>5759068</v>
          </cell>
        </row>
        <row r="260">
          <cell r="A260" t="str">
            <v>15.022/A</v>
          </cell>
          <cell r="B260" t="str">
            <v>Skreyperle çok sert kayanın kazılması ve kullanılması (Yarma ve yan ariyetten dolguya gidecek kazılarda)</v>
          </cell>
          <cell r="C260" t="str">
            <v>M3</v>
          </cell>
          <cell r="E260">
            <v>2650408</v>
          </cell>
          <cell r="F260">
            <v>3507090</v>
          </cell>
          <cell r="G260">
            <v>6001487</v>
          </cell>
        </row>
        <row r="261">
          <cell r="A261" t="str">
            <v>15.022/B</v>
          </cell>
          <cell r="B261" t="str">
            <v>Skreyperle çok sert kayanın kazılması ve kullanılması (Ariyet ocağından getirilecek veya depoya gidecek kazılarda)</v>
          </cell>
          <cell r="C261" t="str">
            <v>M3</v>
          </cell>
          <cell r="E261">
            <v>2607658</v>
          </cell>
          <cell r="F261">
            <v>3454590</v>
          </cell>
          <cell r="G261">
            <v>5914862</v>
          </cell>
        </row>
        <row r="262">
          <cell r="A262" t="str">
            <v>15.023/A</v>
          </cell>
          <cell r="B262" t="str">
            <v>Buldozerle çok sert kayanın kazılması ve kullanılması (Yarma ve yan ariyetten dolguya gidecek kazılarda)</v>
          </cell>
          <cell r="C262" t="str">
            <v>M3</v>
          </cell>
          <cell r="E262">
            <v>2530875</v>
          </cell>
          <cell r="F262">
            <v>3350023</v>
          </cell>
          <cell r="G262">
            <v>5720835</v>
          </cell>
        </row>
        <row r="263">
          <cell r="A263" t="str">
            <v>15.023/B</v>
          </cell>
          <cell r="B263" t="str">
            <v>Buldozerle çok sert kayanın kazılması ve kullanılması (Ariyet ocağından getirilecek veya depoya gidecek kazılarda)</v>
          </cell>
          <cell r="C263" t="str">
            <v>M3</v>
          </cell>
          <cell r="E263">
            <v>2488125</v>
          </cell>
          <cell r="F263">
            <v>3297523</v>
          </cell>
          <cell r="G263">
            <v>5634210</v>
          </cell>
        </row>
        <row r="264">
          <cell r="A264" t="str">
            <v>15.024/1</v>
          </cell>
          <cell r="B264" t="str">
            <v>šst yapı malzemelerinin temininde malzeme çıkarma müşkülatı zammı</v>
          </cell>
          <cell r="C264" t="str">
            <v>M3</v>
          </cell>
          <cell r="E264">
            <v>226338</v>
          </cell>
          <cell r="F264">
            <v>300438</v>
          </cell>
          <cell r="G264">
            <v>516545</v>
          </cell>
          <cell r="H264">
            <v>713158</v>
          </cell>
        </row>
        <row r="265">
          <cell r="A265" t="str">
            <v>15.024/A</v>
          </cell>
          <cell r="B265" t="str">
            <v>Makineli kazılarda kayadan başka zeminlerde su müşkülat zammı</v>
          </cell>
          <cell r="C265" t="str">
            <v>M3</v>
          </cell>
          <cell r="E265">
            <v>79091</v>
          </cell>
          <cell r="F265">
            <v>103861</v>
          </cell>
          <cell r="G265">
            <v>186521</v>
          </cell>
          <cell r="H265">
            <v>255406</v>
          </cell>
        </row>
        <row r="266">
          <cell r="A266" t="str">
            <v>15.024/B</v>
          </cell>
          <cell r="B266" t="str">
            <v>Makineli kazılarda her nevi kaya zeminde su müşkülat zammı</v>
          </cell>
          <cell r="C266" t="str">
            <v>M3</v>
          </cell>
          <cell r="E266">
            <v>158182</v>
          </cell>
          <cell r="F266">
            <v>207723</v>
          </cell>
          <cell r="G266">
            <v>373042</v>
          </cell>
          <cell r="H266">
            <v>510813</v>
          </cell>
        </row>
        <row r="267">
          <cell r="A267" t="str">
            <v>15.040/K</v>
          </cell>
          <cell r="B267" t="str">
            <v>Makine ile kayadan başka her cins zeminin röprizi ve kullanılması</v>
          </cell>
          <cell r="C267" t="str">
            <v>M3</v>
          </cell>
          <cell r="E267">
            <v>200216</v>
          </cell>
          <cell r="F267">
            <v>252611</v>
          </cell>
          <cell r="G267">
            <v>431958</v>
          </cell>
          <cell r="H267">
            <v>563531</v>
          </cell>
        </row>
        <row r="268">
          <cell r="A268" t="str">
            <v>15.041/K</v>
          </cell>
          <cell r="B268" t="str">
            <v>Makine ile her cins kaya zeminin röprizi ve kullanılması</v>
          </cell>
          <cell r="C268" t="str">
            <v>M3</v>
          </cell>
          <cell r="E268">
            <v>358398</v>
          </cell>
          <cell r="F268">
            <v>460336</v>
          </cell>
          <cell r="G268">
            <v>805001</v>
          </cell>
          <cell r="H268">
            <v>1074346</v>
          </cell>
        </row>
        <row r="269">
          <cell r="A269" t="str">
            <v>15.042/K</v>
          </cell>
          <cell r="B269" t="str">
            <v>Makine ile heyelan eden kayadan başka her cins zeminin kazılması ve kullanılması</v>
          </cell>
          <cell r="C269" t="str">
            <v>M3</v>
          </cell>
          <cell r="E269">
            <v>271745</v>
          </cell>
          <cell r="F269">
            <v>345622</v>
          </cell>
          <cell r="G269">
            <v>607082</v>
          </cell>
          <cell r="H269">
            <v>804071</v>
          </cell>
        </row>
        <row r="270">
          <cell r="A270" t="str">
            <v>15.043/K</v>
          </cell>
          <cell r="B270" t="str">
            <v>Makine ile heyelan eden her cins kayanın kazılması ve kullanılması</v>
          </cell>
          <cell r="C270" t="str">
            <v>M3</v>
          </cell>
          <cell r="E270">
            <v>522778</v>
          </cell>
          <cell r="F270">
            <v>673742</v>
          </cell>
          <cell r="G270">
            <v>1209823</v>
          </cell>
          <cell r="H270">
            <v>1630650</v>
          </cell>
        </row>
        <row r="271">
          <cell r="A271" t="str">
            <v>15.044</v>
          </cell>
          <cell r="B271" t="str">
            <v>Her cins toprak zeminde reglaj  baz fiyatı (Fb)</v>
          </cell>
          <cell r="C271" t="str">
            <v>KM</v>
          </cell>
          <cell r="E271">
            <v>703544750</v>
          </cell>
          <cell r="F271">
            <v>926546687</v>
          </cell>
          <cell r="G271">
            <v>1639261062</v>
          </cell>
          <cell r="H271">
            <v>2248938375</v>
          </cell>
        </row>
        <row r="272">
          <cell r="A272" t="str">
            <v>15.045</v>
          </cell>
          <cell r="B272" t="str">
            <v>Her cins küskülük zeminde reglaj baz fiyatı (Fb)</v>
          </cell>
          <cell r="C272" t="str">
            <v>KM</v>
          </cell>
          <cell r="E272">
            <v>1055317125</v>
          </cell>
          <cell r="F272">
            <v>1389820031</v>
          </cell>
          <cell r="G272">
            <v>2458891593</v>
          </cell>
          <cell r="H272">
            <v>3373407562</v>
          </cell>
        </row>
        <row r="273">
          <cell r="A273" t="str">
            <v>15.046</v>
          </cell>
          <cell r="B273" t="str">
            <v>Her cins kayalık zeminde reglaj baz fiyatı (Fb)</v>
          </cell>
          <cell r="C273" t="str">
            <v>KM</v>
          </cell>
          <cell r="E273">
            <v>1407089500</v>
          </cell>
          <cell r="F273">
            <v>1853093375</v>
          </cell>
          <cell r="G273">
            <v>3278522125</v>
          </cell>
          <cell r="H273">
            <v>4497876750</v>
          </cell>
        </row>
        <row r="274">
          <cell r="A274" t="str">
            <v>15.047</v>
          </cell>
          <cell r="B274" t="str">
            <v>Arazöz ile sulama</v>
          </cell>
          <cell r="C274" t="str">
            <v>TN</v>
          </cell>
          <cell r="E274">
            <v>998086</v>
          </cell>
          <cell r="F274">
            <v>1299440</v>
          </cell>
          <cell r="G274">
            <v>2415605</v>
          </cell>
          <cell r="H274">
            <v>3382443</v>
          </cell>
        </row>
        <row r="275">
          <cell r="A275" t="str">
            <v>15.047/1</v>
          </cell>
          <cell r="B275" t="str">
            <v>El ile sulama</v>
          </cell>
          <cell r="C275" t="str">
            <v>TN</v>
          </cell>
          <cell r="E275">
            <v>2961000</v>
          </cell>
          <cell r="F275">
            <v>3999375</v>
          </cell>
          <cell r="G275">
            <v>6114375</v>
          </cell>
          <cell r="H275">
            <v>8685000</v>
          </cell>
        </row>
        <row r="276">
          <cell r="A276" t="str">
            <v>15.047/K</v>
          </cell>
          <cell r="B276" t="str">
            <v>Arazöz ile fidan ve çalıların sulanması</v>
          </cell>
          <cell r="C276" t="str">
            <v>TN</v>
          </cell>
          <cell r="E276">
            <v>1613240</v>
          </cell>
          <cell r="F276">
            <v>2109070</v>
          </cell>
          <cell r="G276">
            <v>3840741</v>
          </cell>
          <cell r="H276">
            <v>5385171</v>
          </cell>
        </row>
        <row r="277">
          <cell r="A277" t="str">
            <v>15.047/K-2</v>
          </cell>
          <cell r="B277" t="str">
            <v>Yolların yarma ve dolgu şevlerinde arazöz ile fidan ve çalıların sulanması</v>
          </cell>
          <cell r="C277" t="str">
            <v>TN</v>
          </cell>
          <cell r="E277">
            <v>2216916</v>
          </cell>
          <cell r="F277">
            <v>2913822</v>
          </cell>
          <cell r="G277">
            <v>5164747</v>
          </cell>
          <cell r="H277">
            <v>7255035</v>
          </cell>
        </row>
        <row r="278">
          <cell r="A278" t="str">
            <v>15.050</v>
          </cell>
          <cell r="B278" t="str">
            <v>Her cins (Titreşimli, darbeli) motorlu kompaktörle sıkıştırma yapılması</v>
          </cell>
          <cell r="C278" t="str">
            <v>SA</v>
          </cell>
          <cell r="E278">
            <v>3825536</v>
          </cell>
          <cell r="F278">
            <v>5112512</v>
          </cell>
          <cell r="G278">
            <v>8296705</v>
          </cell>
          <cell r="H278">
            <v>11692025</v>
          </cell>
        </row>
        <row r="279">
          <cell r="A279" t="str">
            <v>15.051</v>
          </cell>
          <cell r="B279" t="str">
            <v>Titreşimli silindirle sıkıştırma yapılması (4-5 ton-5 ton dahil-statik ağırlık ve 8-9 ton dinamik kuvvette titreşimli silindir + lastik tekerlekli traktör, takriben 35-58 DHP)</v>
          </cell>
          <cell r="C279" t="str">
            <v>SA</v>
          </cell>
          <cell r="E279">
            <v>10583393</v>
          </cell>
          <cell r="F279">
            <v>13822066</v>
          </cell>
          <cell r="G279">
            <v>25377405</v>
          </cell>
          <cell r="H279">
            <v>35255818</v>
          </cell>
        </row>
        <row r="280">
          <cell r="A280" t="str">
            <v>15.052</v>
          </cell>
          <cell r="B280" t="str">
            <v>Titreşimli silindirle sıkıştırma yapılması (4-5 ton-5 ton dahil-statik ağırlık ve 8-9 ton dinamik kuvvette titreşimli silindir+paletli traktör,takriben 41-56 DHP)</v>
          </cell>
          <cell r="C280" t="str">
            <v>SA</v>
          </cell>
          <cell r="E280">
            <v>11182187</v>
          </cell>
          <cell r="F280">
            <v>14606990</v>
          </cell>
          <cell r="G280">
            <v>26807831</v>
          </cell>
          <cell r="H280">
            <v>37178680</v>
          </cell>
        </row>
        <row r="281">
          <cell r="A281" t="str">
            <v>15.052/1</v>
          </cell>
          <cell r="B281" t="str">
            <v>Titreşimli silindirle sıkıştırma yapılması (5-6 ton-6 ton dahil-statik ağırlık ve 10-12 ton dinamik kuvvette titreşimli silindir+paletli traktör,takriben 45-61 DHP)</v>
          </cell>
          <cell r="C281" t="str">
            <v>SA</v>
          </cell>
          <cell r="E281">
            <v>12367336</v>
          </cell>
          <cell r="F281">
            <v>16125481</v>
          </cell>
          <cell r="G281">
            <v>29847930</v>
          </cell>
          <cell r="H281">
            <v>41450462</v>
          </cell>
        </row>
        <row r="282">
          <cell r="A282" t="str">
            <v>15.052/2</v>
          </cell>
          <cell r="B282" t="str">
            <v>Titreşimli silindirle sıkıştırma yapılması (6-7 ton-7 ton dahil-statik ağırlık ve 12-14 ton dinamik kuvvette titreşimli silindir+paletli traktör,takriben 50-60 DHP)</v>
          </cell>
          <cell r="C282" t="str">
            <v>SA</v>
          </cell>
          <cell r="E282">
            <v>14893006</v>
          </cell>
          <cell r="F282">
            <v>19447763</v>
          </cell>
          <cell r="G282">
            <v>35817528</v>
          </cell>
          <cell r="H282">
            <v>49417813</v>
          </cell>
        </row>
        <row r="283">
          <cell r="A283" t="str">
            <v>15.052/3</v>
          </cell>
          <cell r="B283" t="str">
            <v>Titreşimli silindirle sıkıştırma yapılması (7-9 ton-9 ton dahil-statik ağırlık ve 14-18 ton dinamik kuvvette titreşimli silindir+paletli traktör,takriben 56-76 DHP)</v>
          </cell>
          <cell r="C283" t="str">
            <v>SA</v>
          </cell>
          <cell r="E283">
            <v>16865053</v>
          </cell>
          <cell r="F283">
            <v>21975818</v>
          </cell>
          <cell r="G283">
            <v>40865460</v>
          </cell>
          <cell r="H283">
            <v>56502737</v>
          </cell>
        </row>
        <row r="284">
          <cell r="A284" t="str">
            <v>15.052/4</v>
          </cell>
          <cell r="B284" t="str">
            <v>Titreşimli silindirle sıkıştırma yapılması (9-11 ton-11 ton dahil-statik ağırlık ve 18-22 ton dinamik kuvvette titreşimli silindir + paletli traktör, takriben 66-86 DHP)</v>
          </cell>
          <cell r="C284" t="str">
            <v>SA</v>
          </cell>
          <cell r="E284">
            <v>19942317</v>
          </cell>
          <cell r="F284">
            <v>25984430</v>
          </cell>
          <cell r="G284">
            <v>48369277</v>
          </cell>
          <cell r="H284">
            <v>66724960</v>
          </cell>
        </row>
        <row r="285">
          <cell r="A285" t="str">
            <v>15.052/5</v>
          </cell>
          <cell r="B285" t="str">
            <v>Titreşimli silindirle sıkıştırma yapılması (11-13 ton-13 ton dahil-statik ağırlık ve 22-26 ton dinamik kuvvette titreşimli silindir + paletli traktör, takriben 76-96 DHP)</v>
          </cell>
          <cell r="C285" t="str">
            <v>SA</v>
          </cell>
          <cell r="E285">
            <v>22459193</v>
          </cell>
          <cell r="F285">
            <v>29236580</v>
          </cell>
          <cell r="G285">
            <v>54662842</v>
          </cell>
          <cell r="H285">
            <v>75434260</v>
          </cell>
        </row>
        <row r="286">
          <cell r="A286" t="str">
            <v>15.052/6</v>
          </cell>
          <cell r="B286" t="str">
            <v>Titreşimli silindirle sıkıştırma yapılması (13-15 ton-15 ton dahil-statik ağırlık ve 26-30 ton dinamik kuvvette titreşimli silindir + paletli traktör, takriben 90-110 DHP)</v>
          </cell>
          <cell r="C286" t="str">
            <v>SA</v>
          </cell>
          <cell r="E286">
            <v>25447487</v>
          </cell>
          <cell r="F286">
            <v>33072717</v>
          </cell>
          <cell r="G286">
            <v>62283232</v>
          </cell>
          <cell r="H286">
            <v>86105335</v>
          </cell>
        </row>
        <row r="287">
          <cell r="A287" t="str">
            <v>15.053</v>
          </cell>
          <cell r="B287" t="str">
            <v>1 Çift tamburlu keçiayağı silindir ile sıkıştırma yapılması (Takriben 40 DHP paletli traktör çekici ve tamburların toplam ağırlığı asgari 4000 kg. olan, beheri en az 1,20 m. uzunlukta iki tamburlu)</v>
          </cell>
          <cell r="C287" t="str">
            <v>SA</v>
          </cell>
          <cell r="E287">
            <v>6846991</v>
          </cell>
          <cell r="F287">
            <v>9011251</v>
          </cell>
          <cell r="G287">
            <v>15953943</v>
          </cell>
          <cell r="H287">
            <v>22059388</v>
          </cell>
        </row>
        <row r="288">
          <cell r="A288" t="str">
            <v>15.054</v>
          </cell>
          <cell r="B288" t="str">
            <v>2 Çift tamburlu keçiayağı silindir ile sıkıştırma yapılması (Takriben 70 DHP paletli traktör çekici ve tamburların toplam ağırlığı asgari 8000 kg. olan,15.053 deki evsafta 4 tamburlu)</v>
          </cell>
          <cell r="C288" t="str">
            <v>SA</v>
          </cell>
          <cell r="E288">
            <v>10955185</v>
          </cell>
          <cell r="F288">
            <v>14418001</v>
          </cell>
          <cell r="G288">
            <v>25526310</v>
          </cell>
          <cell r="H288">
            <v>35295021</v>
          </cell>
        </row>
        <row r="289">
          <cell r="A289" t="str">
            <v>15.055</v>
          </cell>
          <cell r="B289" t="str">
            <v>3 Çift tamburlu keçiayağı silindir ile sıkıştırma yapılması (Takriben 100 DHP paletli traktör çekici ve tamburların toplam ağırlığı asgari 12000 kg.olan, 15.053 deki evsafta 6 tamburlu)</v>
          </cell>
          <cell r="C289" t="str">
            <v>SA</v>
          </cell>
          <cell r="E289">
            <v>14378681</v>
          </cell>
          <cell r="F289">
            <v>18923627</v>
          </cell>
          <cell r="G289">
            <v>33503281</v>
          </cell>
          <cell r="H289">
            <v>46324716</v>
          </cell>
        </row>
        <row r="290">
          <cell r="A290" t="str">
            <v>15.056</v>
          </cell>
          <cell r="B290" t="str">
            <v>Demir merdaneli silindir  ile sıkıştırma yapılması (8-10 tonluk-10 ton dahil-2 veya 3 tekerlekli)</v>
          </cell>
          <cell r="C290" t="str">
            <v>SA</v>
          </cell>
          <cell r="E290">
            <v>6846991</v>
          </cell>
          <cell r="F290">
            <v>9011251</v>
          </cell>
          <cell r="G290">
            <v>15953943</v>
          </cell>
          <cell r="H290">
            <v>22059388</v>
          </cell>
        </row>
        <row r="291">
          <cell r="A291" t="str">
            <v>15.056/1</v>
          </cell>
          <cell r="B291" t="str">
            <v>Demir merdaneli silindir ile sıkıştırma yapılması (10-14 tonluk-14 ton dahil-2 veya 3 tekerlekli)</v>
          </cell>
          <cell r="C291" t="str">
            <v>SA</v>
          </cell>
          <cell r="E291">
            <v>8685425</v>
          </cell>
          <cell r="F291">
            <v>11376563</v>
          </cell>
          <cell r="G291">
            <v>20610543</v>
          </cell>
          <cell r="H291">
            <v>28554013</v>
          </cell>
        </row>
        <row r="292">
          <cell r="A292" t="str">
            <v>15.057</v>
          </cell>
          <cell r="B292" t="str">
            <v>Buharlı silindir ile  sıkıştırma yapılması</v>
          </cell>
          <cell r="C292" t="str">
            <v>SA</v>
          </cell>
          <cell r="E292">
            <v>6846991</v>
          </cell>
          <cell r="F292">
            <v>9011251</v>
          </cell>
          <cell r="G292">
            <v>15953943</v>
          </cell>
          <cell r="H292">
            <v>22059388</v>
          </cell>
        </row>
        <row r="293">
          <cell r="A293" t="str">
            <v>15.058</v>
          </cell>
          <cell r="B293" t="str">
            <v>Lastik tekerlekli silindir ile sıkıştırma yapılması (7-8 tonluk-8 ton dahil)</v>
          </cell>
          <cell r="C293" t="str">
            <v>SA</v>
          </cell>
          <cell r="E293">
            <v>6846991</v>
          </cell>
          <cell r="F293">
            <v>9011251</v>
          </cell>
          <cell r="G293">
            <v>15953943</v>
          </cell>
          <cell r="H293">
            <v>22059388</v>
          </cell>
        </row>
        <row r="294">
          <cell r="A294" t="str">
            <v>15.058/1</v>
          </cell>
          <cell r="B294" t="str">
            <v>Lastik tekerlekli silindir ile sıkıştırma yapılması</v>
          </cell>
          <cell r="C294" t="str">
            <v>SA</v>
          </cell>
          <cell r="E294">
            <v>12708247</v>
          </cell>
          <cell r="F294">
            <v>16600177</v>
          </cell>
          <cell r="G294">
            <v>30518811</v>
          </cell>
          <cell r="H294">
            <v>42137455</v>
          </cell>
        </row>
        <row r="295">
          <cell r="A295" t="str">
            <v>15.100</v>
          </cell>
          <cell r="B295" t="str">
            <v>Kırılmamış ve elenmemiş çakıllı (Tüvenan) malzeme ile alttemel ve temel malzemesi temini</v>
          </cell>
          <cell r="C295" t="str">
            <v>M3</v>
          </cell>
          <cell r="E295">
            <v>418855</v>
          </cell>
          <cell r="F295">
            <v>557438</v>
          </cell>
          <cell r="G295">
            <v>929885</v>
          </cell>
          <cell r="H295">
            <v>1294140</v>
          </cell>
        </row>
        <row r="296">
          <cell r="A296" t="str">
            <v>15.100/1</v>
          </cell>
          <cell r="B296" t="str">
            <v>Elenmemiş kum veya kum-çakıl (Tüvenan) malzeme temini</v>
          </cell>
          <cell r="C296" t="str">
            <v>M3</v>
          </cell>
          <cell r="E296">
            <v>254355</v>
          </cell>
          <cell r="F296">
            <v>335251</v>
          </cell>
          <cell r="G296">
            <v>590197</v>
          </cell>
          <cell r="H296">
            <v>811640</v>
          </cell>
        </row>
        <row r="297">
          <cell r="A297" t="str">
            <v>15.101</v>
          </cell>
          <cell r="B297" t="str">
            <v>Elenmiş çakıllı malzeme ile 50 mm. (2") lik temel malzemesi temini</v>
          </cell>
          <cell r="C297" t="str">
            <v>M3</v>
          </cell>
          <cell r="E297">
            <v>841763</v>
          </cell>
          <cell r="F297">
            <v>1110460</v>
          </cell>
          <cell r="G297">
            <v>1939241</v>
          </cell>
          <cell r="H297">
            <v>2695380</v>
          </cell>
        </row>
        <row r="298">
          <cell r="A298" t="str">
            <v>15.101/1</v>
          </cell>
          <cell r="B298" t="str">
            <v>Elenmiş çakıllı malzeme ile 50 mm. (2") lik temel malzemesi temini</v>
          </cell>
          <cell r="C298" t="str">
            <v>M3</v>
          </cell>
          <cell r="E298">
            <v>677263</v>
          </cell>
          <cell r="F298">
            <v>888272</v>
          </cell>
          <cell r="G298">
            <v>1599553</v>
          </cell>
          <cell r="H298">
            <v>2212880</v>
          </cell>
        </row>
        <row r="299">
          <cell r="A299" t="str">
            <v>15.102/1-K</v>
          </cell>
          <cell r="B299" t="str">
            <v>Ocak taşından konkasörle kırılmış ve elenmiş alttemel malzemesi temini</v>
          </cell>
          <cell r="C299" t="str">
            <v>M3</v>
          </cell>
          <cell r="E299">
            <v>4747822</v>
          </cell>
          <cell r="F299">
            <v>6335232</v>
          </cell>
          <cell r="G299">
            <v>10366745</v>
          </cell>
          <cell r="H299">
            <v>14473617</v>
          </cell>
        </row>
        <row r="300">
          <cell r="A300" t="str">
            <v>15.102/2-K</v>
          </cell>
          <cell r="B300" t="str">
            <v>Ocak taşından konkasörle kırılmış 50 mm. (2") lik temel malzemesi temini</v>
          </cell>
          <cell r="C300" t="str">
            <v>M3</v>
          </cell>
          <cell r="E300">
            <v>4877860</v>
          </cell>
          <cell r="F300">
            <v>6506432</v>
          </cell>
          <cell r="G300">
            <v>10669306</v>
          </cell>
          <cell r="H300">
            <v>14892073</v>
          </cell>
        </row>
        <row r="301">
          <cell r="A301" t="str">
            <v>15.102/3-K</v>
          </cell>
          <cell r="B301" t="str">
            <v>Ocak taşından konkasörle kırılmış alttemel malzemesi temini</v>
          </cell>
          <cell r="C301" t="str">
            <v>M3</v>
          </cell>
          <cell r="E301">
            <v>4617786</v>
          </cell>
          <cell r="F301">
            <v>6164032</v>
          </cell>
          <cell r="G301">
            <v>10064183</v>
          </cell>
          <cell r="H301">
            <v>14055161</v>
          </cell>
        </row>
        <row r="302">
          <cell r="A302" t="str">
            <v>15.102/3-K-A</v>
          </cell>
          <cell r="B302" t="str">
            <v>Ocak taşından konkasörle kırılmış alttemel malzemesi (Figüre hariç)</v>
          </cell>
          <cell r="C302" t="str">
            <v>TN</v>
          </cell>
          <cell r="E302">
            <v>2783311</v>
          </cell>
          <cell r="F302">
            <v>3713662</v>
          </cell>
          <cell r="G302">
            <v>6077826</v>
          </cell>
          <cell r="H302">
            <v>8482935</v>
          </cell>
        </row>
        <row r="303">
          <cell r="A303" t="str">
            <v>15.102/K</v>
          </cell>
          <cell r="B303" t="str">
            <v>Ocak taşından konkasörle kırılmış ve elenmiş 50 mm. (2") lik temel malzemesi temini</v>
          </cell>
          <cell r="C303" t="str">
            <v>M3</v>
          </cell>
          <cell r="E303">
            <v>5007896</v>
          </cell>
          <cell r="F303">
            <v>6677632</v>
          </cell>
          <cell r="G303">
            <v>10971867</v>
          </cell>
          <cell r="H303">
            <v>15310530</v>
          </cell>
        </row>
        <row r="304">
          <cell r="A304" t="str">
            <v>15.102/K-1</v>
          </cell>
          <cell r="B304" t="str">
            <v>Ocak taşından konkasörle kırılmış ve elenmiş 50 mm.(2") lik temel malzemesi temini</v>
          </cell>
          <cell r="C304" t="str">
            <v>M3</v>
          </cell>
          <cell r="E304">
            <v>4843396</v>
          </cell>
          <cell r="F304">
            <v>6455445</v>
          </cell>
          <cell r="G304">
            <v>10632180</v>
          </cell>
          <cell r="H304">
            <v>14828030</v>
          </cell>
        </row>
        <row r="305">
          <cell r="A305" t="str">
            <v>15.103/1-K</v>
          </cell>
          <cell r="B305" t="str">
            <v>Kazı taşından konkasörle kırılmış ve elenmiş alttemel malzemesi temini</v>
          </cell>
          <cell r="C305" t="str">
            <v>M3</v>
          </cell>
          <cell r="E305">
            <v>3256962</v>
          </cell>
          <cell r="F305">
            <v>4362105</v>
          </cell>
          <cell r="G305">
            <v>6988173</v>
          </cell>
          <cell r="H305">
            <v>9829188</v>
          </cell>
        </row>
        <row r="306">
          <cell r="A306" t="str">
            <v>15.103/2-K</v>
          </cell>
          <cell r="B306" t="str">
            <v>Kazı taşından konkasörle kırılmış 50 mm. (2") lik temel malzemesi temini</v>
          </cell>
          <cell r="C306" t="str">
            <v>M3</v>
          </cell>
          <cell r="E306">
            <v>3387000</v>
          </cell>
          <cell r="F306">
            <v>4533305</v>
          </cell>
          <cell r="G306">
            <v>7290735</v>
          </cell>
          <cell r="H306">
            <v>10247645</v>
          </cell>
        </row>
        <row r="307">
          <cell r="A307" t="str">
            <v>15.103/3-K</v>
          </cell>
          <cell r="B307" t="str">
            <v>Kazı taşından konkasörle kırılmış alttemel malzemesi temini</v>
          </cell>
          <cell r="C307" t="str">
            <v>M3</v>
          </cell>
          <cell r="E307">
            <v>3126926</v>
          </cell>
          <cell r="F307">
            <v>4190905</v>
          </cell>
          <cell r="G307">
            <v>6685612</v>
          </cell>
          <cell r="H307">
            <v>9410732</v>
          </cell>
        </row>
        <row r="308">
          <cell r="A308" t="str">
            <v>15.103/K</v>
          </cell>
          <cell r="B308" t="str">
            <v>Kazı taşından konkasörle kırılmış ve elenmiş 50 mm. (2") lik temel malzemesi temini</v>
          </cell>
          <cell r="C308" t="str">
            <v>M3</v>
          </cell>
          <cell r="E308">
            <v>3517036</v>
          </cell>
          <cell r="F308">
            <v>4704505</v>
          </cell>
          <cell r="G308">
            <v>7593296</v>
          </cell>
          <cell r="H308">
            <v>10666101</v>
          </cell>
        </row>
        <row r="309">
          <cell r="A309" t="str">
            <v>15.104/1-K</v>
          </cell>
          <cell r="B309" t="str">
            <v>Elenmemiş çakıllı malzemeden, konkasörle kırılmış ve elenmiş alttemel malzemesi temini</v>
          </cell>
          <cell r="C309" t="str">
            <v>M3</v>
          </cell>
          <cell r="E309">
            <v>1222432</v>
          </cell>
          <cell r="F309">
            <v>1603115</v>
          </cell>
          <cell r="G309">
            <v>2777728</v>
          </cell>
          <cell r="H309">
            <v>3814365</v>
          </cell>
        </row>
        <row r="310">
          <cell r="A310" t="str">
            <v>15.104/2-K</v>
          </cell>
          <cell r="B310" t="str">
            <v>Elenmemiş çakıllı malzemeden, konkasörle kırılmış 50 mm. (2") lik temel malzemesi temini</v>
          </cell>
          <cell r="C310" t="str">
            <v>M3</v>
          </cell>
          <cell r="E310">
            <v>1352470</v>
          </cell>
          <cell r="F310">
            <v>1774315</v>
          </cell>
          <cell r="G310">
            <v>3080290</v>
          </cell>
          <cell r="H310">
            <v>4232822</v>
          </cell>
        </row>
        <row r="311">
          <cell r="A311" t="str">
            <v>15.104/3-K</v>
          </cell>
          <cell r="B311" t="str">
            <v>Elenmemiş çakıllı malzemeden, konkasörle kırılmış alttemel malzemesi temini</v>
          </cell>
          <cell r="C311" t="str">
            <v>M3</v>
          </cell>
          <cell r="E311">
            <v>1092396</v>
          </cell>
          <cell r="F311">
            <v>1431915</v>
          </cell>
          <cell r="G311">
            <v>2475167</v>
          </cell>
          <cell r="H311">
            <v>3395908</v>
          </cell>
        </row>
        <row r="312">
          <cell r="A312" t="str">
            <v>15.104/K</v>
          </cell>
          <cell r="B312" t="str">
            <v>Elenmemiş çakıllı malzemeden konkasörle kırılmış ve elenmiş 50 mm. (2") lik temel malzemesi temini</v>
          </cell>
          <cell r="C312" t="str">
            <v>M3</v>
          </cell>
          <cell r="E312">
            <v>1482506</v>
          </cell>
          <cell r="F312">
            <v>1945515</v>
          </cell>
          <cell r="G312">
            <v>3382851</v>
          </cell>
          <cell r="H312">
            <v>4651278</v>
          </cell>
        </row>
        <row r="313">
          <cell r="A313" t="str">
            <v>15.105/1-K</v>
          </cell>
          <cell r="B313" t="str">
            <v>Elenmiş çakıldan konkasörle kırılmış 50 mm.(2") lik temel malzemesi temini</v>
          </cell>
          <cell r="C313" t="str">
            <v>M3</v>
          </cell>
          <cell r="E313">
            <v>2035452</v>
          </cell>
          <cell r="F313">
            <v>2669736</v>
          </cell>
          <cell r="G313">
            <v>4694768</v>
          </cell>
          <cell r="H313">
            <v>6470975</v>
          </cell>
        </row>
        <row r="314">
          <cell r="A314" t="str">
            <v>15.105/K</v>
          </cell>
          <cell r="B314" t="str">
            <v>Elenmiş çakıldan konkasörle kırılmış ve elenmiş 50 mm.(2") lik temel malzemesi temini</v>
          </cell>
          <cell r="C314" t="str">
            <v>M3</v>
          </cell>
          <cell r="E314">
            <v>2165488</v>
          </cell>
          <cell r="F314">
            <v>2840936</v>
          </cell>
          <cell r="G314">
            <v>4997330</v>
          </cell>
          <cell r="H314">
            <v>6889431</v>
          </cell>
        </row>
        <row r="315">
          <cell r="A315" t="str">
            <v>15.110</v>
          </cell>
          <cell r="B315" t="str">
            <v>Elenmiş çakıllı malzeme ile 25 mm.(1") lik temel malzemesi temini</v>
          </cell>
          <cell r="C315" t="str">
            <v>M3</v>
          </cell>
          <cell r="E315">
            <v>1202413</v>
          </cell>
          <cell r="F315">
            <v>1597335</v>
          </cell>
          <cell r="G315">
            <v>2683928</v>
          </cell>
          <cell r="H315">
            <v>3752880</v>
          </cell>
        </row>
        <row r="316">
          <cell r="A316" t="str">
            <v>15.110/1</v>
          </cell>
          <cell r="B316" t="str">
            <v>Elenmiş kum veya kum-çakıl (Granülometrik) malzeme temini</v>
          </cell>
          <cell r="C316" t="str">
            <v>M3</v>
          </cell>
          <cell r="E316">
            <v>1037913</v>
          </cell>
          <cell r="F316">
            <v>1375147</v>
          </cell>
          <cell r="G316">
            <v>2344241</v>
          </cell>
          <cell r="H316">
            <v>3270380</v>
          </cell>
        </row>
        <row r="317">
          <cell r="A317" t="str">
            <v>15.111/1-K</v>
          </cell>
          <cell r="B317" t="str">
            <v>Elenmemiş çakıllı malzemeden, konkasörle kırılmış 25 mm. (1") lik temel malzemesi temini</v>
          </cell>
          <cell r="C317" t="str">
            <v>M3</v>
          </cell>
          <cell r="E317">
            <v>1895171</v>
          </cell>
          <cell r="F317">
            <v>2500870</v>
          </cell>
          <cell r="G317">
            <v>4248562</v>
          </cell>
          <cell r="H317">
            <v>5876161</v>
          </cell>
        </row>
        <row r="318">
          <cell r="A318" t="str">
            <v>15.111/K</v>
          </cell>
          <cell r="B318" t="str">
            <v>Elenmemiş çakıllı malzemeden, konkasörle kırılmış ve elenmiş 25 mm. (1") lik temel malzemesi temini</v>
          </cell>
          <cell r="C318" t="str">
            <v>M3</v>
          </cell>
          <cell r="E318">
            <v>2103230</v>
          </cell>
          <cell r="F318">
            <v>2774790</v>
          </cell>
          <cell r="G318">
            <v>4732661</v>
          </cell>
          <cell r="H318">
            <v>6545691</v>
          </cell>
        </row>
        <row r="319">
          <cell r="A319" t="str">
            <v>15.111/K-1</v>
          </cell>
          <cell r="B319" t="str">
            <v>Elenmemiş çakıllı malzemeden konkasörle kırılmış ve elenmiş 25 mm.(1") lik temel veya banket malzemesi temini</v>
          </cell>
          <cell r="C319" t="str">
            <v>M3</v>
          </cell>
          <cell r="E319">
            <v>1938730</v>
          </cell>
          <cell r="F319">
            <v>2552602</v>
          </cell>
          <cell r="G319">
            <v>4392973</v>
          </cell>
          <cell r="H319">
            <v>6063191</v>
          </cell>
        </row>
        <row r="320">
          <cell r="A320" t="str">
            <v>15.112/1-K</v>
          </cell>
          <cell r="B320" t="str">
            <v>Elenmiş çakıldan konkasörle kırılmış 25 mm. (1") lik temel malzemesi temini</v>
          </cell>
          <cell r="C320" t="str">
            <v>M3</v>
          </cell>
          <cell r="E320">
            <v>2578153</v>
          </cell>
          <cell r="F320">
            <v>3396291</v>
          </cell>
          <cell r="G320">
            <v>5863041</v>
          </cell>
          <cell r="H320">
            <v>8114313</v>
          </cell>
        </row>
        <row r="321">
          <cell r="A321" t="str">
            <v>15.112/K</v>
          </cell>
          <cell r="B321" t="str">
            <v>Elenmiş çakıldan konkasörle kırılmış ve elenmiş 25 mm. (1") lik temel malzemesi temini</v>
          </cell>
          <cell r="C321" t="str">
            <v>M3</v>
          </cell>
          <cell r="E321">
            <v>2786212</v>
          </cell>
          <cell r="F321">
            <v>3670211</v>
          </cell>
          <cell r="G321">
            <v>6347140</v>
          </cell>
          <cell r="H321">
            <v>8783845</v>
          </cell>
        </row>
        <row r="322">
          <cell r="A322" t="str">
            <v>15.113/1-K</v>
          </cell>
          <cell r="B322" t="str">
            <v>Ocak taşından konkasörle kırılmış 25 mm. (1") lik temel malzemesi temini</v>
          </cell>
          <cell r="C322" t="str">
            <v>M3</v>
          </cell>
          <cell r="E322">
            <v>5420561</v>
          </cell>
          <cell r="F322">
            <v>7232987</v>
          </cell>
          <cell r="G322">
            <v>11837578</v>
          </cell>
          <cell r="H322">
            <v>16535412</v>
          </cell>
        </row>
        <row r="323">
          <cell r="A323" t="str">
            <v>15.113/K</v>
          </cell>
          <cell r="B323" t="str">
            <v>Ocak taşından konkasörle kırılmış ve elenmiş 25 mm. (1") lik temel malzemesi temini</v>
          </cell>
          <cell r="C323" t="str">
            <v>M3</v>
          </cell>
          <cell r="E323">
            <v>5628620</v>
          </cell>
          <cell r="F323">
            <v>7506907</v>
          </cell>
          <cell r="G323">
            <v>12321677</v>
          </cell>
          <cell r="H323">
            <v>17204943</v>
          </cell>
        </row>
        <row r="324">
          <cell r="A324" t="str">
            <v>15.113/K-1</v>
          </cell>
          <cell r="B324" t="str">
            <v>Ocak taşından konkasörle kırılmış ve elenmiş 25 mm.(1") lik temel veya banket malzemesi temini</v>
          </cell>
          <cell r="C324" t="str">
            <v>M3</v>
          </cell>
          <cell r="E324">
            <v>5464120</v>
          </cell>
          <cell r="F324">
            <v>7284720</v>
          </cell>
          <cell r="G324">
            <v>11981990</v>
          </cell>
          <cell r="H324">
            <v>16722443</v>
          </cell>
        </row>
        <row r="325">
          <cell r="A325" t="str">
            <v>15.114/1-K</v>
          </cell>
          <cell r="B325" t="str">
            <v>Kazı taşından konkasörle kırılmış 25 mm.(1") lik temel malzemesi temini</v>
          </cell>
          <cell r="C325" t="str">
            <v>M3</v>
          </cell>
          <cell r="E325">
            <v>3929701</v>
          </cell>
          <cell r="F325">
            <v>5259860</v>
          </cell>
          <cell r="G325">
            <v>8459007</v>
          </cell>
          <cell r="H325">
            <v>11890983</v>
          </cell>
        </row>
        <row r="326">
          <cell r="A326" t="str">
            <v>15.114/K</v>
          </cell>
          <cell r="B326" t="str">
            <v>Kazı taşından konkasörle kırılmış ve elenmiş 25 mm. (1") lik temel malzemesi temini</v>
          </cell>
          <cell r="C326" t="str">
            <v>M3</v>
          </cell>
          <cell r="E326">
            <v>4137760</v>
          </cell>
          <cell r="F326">
            <v>5533780</v>
          </cell>
          <cell r="G326">
            <v>8943106</v>
          </cell>
          <cell r="H326">
            <v>12560515</v>
          </cell>
        </row>
        <row r="327">
          <cell r="A327" t="str">
            <v>15.120/K</v>
          </cell>
          <cell r="B327" t="str">
            <v>Elenmemiş çakıllı malzemeden istenilen tiplerde konkasörle kırılmış ve elenmiş asfalt mıcırı temini</v>
          </cell>
          <cell r="C327" t="str">
            <v>M3</v>
          </cell>
          <cell r="E327">
            <v>2648363</v>
          </cell>
          <cell r="F327">
            <v>3486297</v>
          </cell>
          <cell r="G327">
            <v>6039957</v>
          </cell>
          <cell r="H327">
            <v>8373916</v>
          </cell>
        </row>
        <row r="328">
          <cell r="A328" t="str">
            <v>15.121/K</v>
          </cell>
          <cell r="B328" t="str">
            <v>Elenmiş çakıldan istenilen tiplerde konkasörle kırılmış ve elenmiş asfalt mıcırı temini</v>
          </cell>
          <cell r="C328" t="str">
            <v>M3</v>
          </cell>
          <cell r="E328">
            <v>3331346</v>
          </cell>
          <cell r="F328">
            <v>4381718</v>
          </cell>
          <cell r="G328">
            <v>7654436</v>
          </cell>
          <cell r="H328">
            <v>10612070</v>
          </cell>
        </row>
        <row r="329">
          <cell r="A329" t="str">
            <v>15.122/K</v>
          </cell>
          <cell r="B329" t="str">
            <v>Ocak taşından istenilen tiplerde konkasörle kırılmış ve elenmiş asfalt mıcırı temini</v>
          </cell>
          <cell r="C329" t="str">
            <v>M3</v>
          </cell>
          <cell r="D329">
            <v>51512</v>
          </cell>
          <cell r="E329">
            <v>6173753</v>
          </cell>
          <cell r="F329">
            <v>8218415</v>
          </cell>
          <cell r="G329">
            <v>13628973</v>
          </cell>
          <cell r="H329">
            <v>19033168</v>
          </cell>
        </row>
        <row r="330">
          <cell r="A330" t="str">
            <v>15.123/K</v>
          </cell>
          <cell r="B330" t="str">
            <v>Kazı taşından istenilen tiplerde konkasörle kırılmış ve elenmiş asfalt mıcırı temini</v>
          </cell>
          <cell r="C330" t="str">
            <v>M3</v>
          </cell>
          <cell r="E330">
            <v>4682893</v>
          </cell>
          <cell r="F330">
            <v>6245287</v>
          </cell>
          <cell r="G330">
            <v>10250402</v>
          </cell>
          <cell r="H330">
            <v>14388740</v>
          </cell>
        </row>
        <row r="331">
          <cell r="A331" t="str">
            <v>15.130</v>
          </cell>
          <cell r="B331" t="str">
            <v>Kum ve çakılın irilerinin ayıklanarak istifi</v>
          </cell>
          <cell r="C331" t="str">
            <v>M3</v>
          </cell>
          <cell r="E331">
            <v>1513400</v>
          </cell>
          <cell r="F331">
            <v>2044125</v>
          </cell>
          <cell r="G331">
            <v>3125125</v>
          </cell>
          <cell r="H331">
            <v>4439000</v>
          </cell>
        </row>
        <row r="332">
          <cell r="A332" t="str">
            <v>15.130/1</v>
          </cell>
          <cell r="B332" t="str">
            <v>Kum ve çakılın irilerinin ayıklanması</v>
          </cell>
          <cell r="C332" t="str">
            <v>M3</v>
          </cell>
          <cell r="E332">
            <v>1348900</v>
          </cell>
          <cell r="F332">
            <v>1821937</v>
          </cell>
          <cell r="G332">
            <v>2785437</v>
          </cell>
          <cell r="H332">
            <v>3956500</v>
          </cell>
        </row>
        <row r="333">
          <cell r="A333" t="str">
            <v>15.131/K</v>
          </cell>
          <cell r="B333" t="str">
            <v>Elek artığı malzeme (Ocakta)</v>
          </cell>
          <cell r="C333" t="str">
            <v>M3</v>
          </cell>
          <cell r="E333">
            <v>327485</v>
          </cell>
          <cell r="F333">
            <v>431818</v>
          </cell>
          <cell r="G333">
            <v>722628</v>
          </cell>
          <cell r="H333">
            <v>995991</v>
          </cell>
        </row>
        <row r="334">
          <cell r="A334" t="str">
            <v>15.140</v>
          </cell>
          <cell r="B334" t="str">
            <v>Makine ile serme (Kırmataş, kum, çakıl ve benzeri malzeme)</v>
          </cell>
          <cell r="C334" t="str">
            <v>M3</v>
          </cell>
          <cell r="E334">
            <v>127548</v>
          </cell>
          <cell r="F334">
            <v>167533</v>
          </cell>
          <cell r="G334">
            <v>300676</v>
          </cell>
          <cell r="H334">
            <v>411817</v>
          </cell>
        </row>
        <row r="335">
          <cell r="A335" t="str">
            <v>15.140/1</v>
          </cell>
          <cell r="B335" t="str">
            <v>El ile serme (Kırmataş, kum, çakıl ve benzeri malzeme)</v>
          </cell>
          <cell r="C335" t="str">
            <v>M3</v>
          </cell>
          <cell r="E335">
            <v>394800</v>
          </cell>
          <cell r="F335">
            <v>533250</v>
          </cell>
          <cell r="G335">
            <v>815250</v>
          </cell>
          <cell r="H335">
            <v>1158000</v>
          </cell>
        </row>
        <row r="336">
          <cell r="A336" t="str">
            <v>15.141</v>
          </cell>
          <cell r="B336" t="str">
            <v>Makine ile karıştırma(Kırmataş,kum,çakıl ve benzeri malzeme)</v>
          </cell>
          <cell r="C336" t="str">
            <v>M3</v>
          </cell>
          <cell r="E336">
            <v>153057</v>
          </cell>
          <cell r="F336">
            <v>201040</v>
          </cell>
          <cell r="G336">
            <v>360812</v>
          </cell>
          <cell r="H336">
            <v>493425</v>
          </cell>
        </row>
        <row r="337">
          <cell r="A337" t="str">
            <v>15.141/1</v>
          </cell>
          <cell r="B337" t="str">
            <v>El ile karıştırma (Kırmataş, kum, çakıl ve benzeri malzeme)</v>
          </cell>
          <cell r="C337" t="str">
            <v>M3</v>
          </cell>
          <cell r="E337">
            <v>493500</v>
          </cell>
          <cell r="F337">
            <v>666562</v>
          </cell>
          <cell r="G337">
            <v>1019062</v>
          </cell>
          <cell r="H337">
            <v>1447500</v>
          </cell>
        </row>
        <row r="338">
          <cell r="A338" t="str">
            <v>15.142</v>
          </cell>
          <cell r="B338" t="str">
            <v>Makine ile yükleme (Kırmataş, kum, çakıl ve benzeri malzeme)</v>
          </cell>
          <cell r="C338" t="str">
            <v>M3</v>
          </cell>
          <cell r="E338">
            <v>97885</v>
          </cell>
          <cell r="F338">
            <v>128280</v>
          </cell>
          <cell r="G338">
            <v>232325</v>
          </cell>
          <cell r="H338">
            <v>319470</v>
          </cell>
        </row>
        <row r="339">
          <cell r="A339" t="str">
            <v>15.145/K</v>
          </cell>
          <cell r="B339" t="str">
            <v>El ile yükleme, boşaltma ve figüre (Kum, çakıl, kil,kırmataş, tüvenan, stabilize ve benzeri malzeme)</v>
          </cell>
          <cell r="C339" t="str">
            <v>M3</v>
          </cell>
          <cell r="E339">
            <v>1151500</v>
          </cell>
          <cell r="F339">
            <v>1555312</v>
          </cell>
          <cell r="G339">
            <v>2377812</v>
          </cell>
          <cell r="H339">
            <v>3377500</v>
          </cell>
        </row>
        <row r="340">
          <cell r="A340" t="str">
            <v>15.146/K</v>
          </cell>
          <cell r="B340" t="str">
            <v>Makine ile yükleme boşaltma ve figüre (Kum, çakıl, kil, kırmataş, tüvenan, stabilize ve benzeri malzeme)</v>
          </cell>
          <cell r="C340" t="str">
            <v>M3</v>
          </cell>
          <cell r="E340">
            <v>295285</v>
          </cell>
          <cell r="F340">
            <v>394905</v>
          </cell>
          <cell r="G340">
            <v>639950</v>
          </cell>
          <cell r="H340">
            <v>898740</v>
          </cell>
        </row>
        <row r="341">
          <cell r="A341" t="str">
            <v>15.147/K</v>
          </cell>
          <cell r="B341" t="str">
            <v>El ile yükleme, boşaltma ve figüre (08.021/K ve 08.024/K daki moloz taş)</v>
          </cell>
          <cell r="C341" t="str">
            <v>M3</v>
          </cell>
          <cell r="E341">
            <v>987000</v>
          </cell>
          <cell r="F341">
            <v>1333125</v>
          </cell>
          <cell r="G341">
            <v>2038125</v>
          </cell>
          <cell r="H341">
            <v>2895000</v>
          </cell>
        </row>
        <row r="342">
          <cell r="A342" t="str">
            <v>15.148/K</v>
          </cell>
          <cell r="B342" t="str">
            <v>Makine ile yükleme, boşaltma ve figüre (08.021/K ve 08.024/K daki moloz taş)</v>
          </cell>
          <cell r="C342" t="str">
            <v>M3</v>
          </cell>
          <cell r="E342">
            <v>623227</v>
          </cell>
          <cell r="F342">
            <v>836572</v>
          </cell>
          <cell r="G342">
            <v>1326963</v>
          </cell>
          <cell r="H342">
            <v>1871252</v>
          </cell>
        </row>
        <row r="343">
          <cell r="A343" t="str">
            <v>15.150/K</v>
          </cell>
          <cell r="B343" t="str">
            <v>Figüre (Kum, çakıl, kırmataş, tüvenan, stabilize, kil ve benzeri malzeme)</v>
          </cell>
          <cell r="C343" t="str">
            <v>M3</v>
          </cell>
          <cell r="E343">
            <v>164500</v>
          </cell>
          <cell r="F343">
            <v>222187</v>
          </cell>
          <cell r="G343">
            <v>339687</v>
          </cell>
          <cell r="H343">
            <v>482500</v>
          </cell>
        </row>
        <row r="344">
          <cell r="A344" t="str">
            <v>15.151/K</v>
          </cell>
          <cell r="B344" t="str">
            <v>Figüre (08.021/K ve 08.024/K daki moloz taş)</v>
          </cell>
          <cell r="C344" t="str">
            <v>M3</v>
          </cell>
          <cell r="E344">
            <v>329000</v>
          </cell>
          <cell r="F344">
            <v>444375</v>
          </cell>
          <cell r="G344">
            <v>679375</v>
          </cell>
          <cell r="H344">
            <v>965000</v>
          </cell>
        </row>
        <row r="345">
          <cell r="A345" t="str">
            <v>15.200</v>
          </cell>
          <cell r="B345" t="str">
            <v>Tip II  servis yolu (Her cins ve klastaki zeminde)</v>
          </cell>
          <cell r="C345" t="str">
            <v>KM</v>
          </cell>
          <cell r="E345">
            <v>627584906</v>
          </cell>
          <cell r="F345">
            <v>820302312</v>
          </cell>
          <cell r="G345">
            <v>1506854437</v>
          </cell>
          <cell r="H345">
            <v>2066447125</v>
          </cell>
        </row>
        <row r="346">
          <cell r="A346" t="str">
            <v>16.002/K</v>
          </cell>
          <cell r="B346" t="str">
            <v>Her dozda demirsiz beton</v>
          </cell>
          <cell r="C346" t="str">
            <v>M3</v>
          </cell>
          <cell r="E346">
            <v>11951950</v>
          </cell>
          <cell r="F346">
            <v>16127452</v>
          </cell>
          <cell r="G346">
            <v>24798393</v>
          </cell>
          <cell r="H346">
            <v>35184145</v>
          </cell>
        </row>
        <row r="347">
          <cell r="A347" t="str">
            <v>16.002/K-1</v>
          </cell>
          <cell r="B347" t="str">
            <v>Her dozda demirsiz beton (Beton santralı ile)</v>
          </cell>
          <cell r="C347" t="str">
            <v>M3</v>
          </cell>
          <cell r="E347">
            <v>11707455</v>
          </cell>
          <cell r="F347">
            <v>15781677</v>
          </cell>
          <cell r="G347">
            <v>25001851</v>
          </cell>
          <cell r="H347">
            <v>35205173</v>
          </cell>
        </row>
        <row r="348">
          <cell r="A348" t="str">
            <v>16.023/K</v>
          </cell>
          <cell r="B348" t="str">
            <v>Her dozda demirli beton</v>
          </cell>
          <cell r="C348" t="str">
            <v>M3</v>
          </cell>
          <cell r="E348">
            <v>12733842</v>
          </cell>
          <cell r="F348">
            <v>17182467</v>
          </cell>
          <cell r="G348">
            <v>26419462</v>
          </cell>
          <cell r="H348">
            <v>37484683</v>
          </cell>
        </row>
        <row r="349">
          <cell r="A349" t="str">
            <v>16.023/K-1</v>
          </cell>
          <cell r="B349" t="str">
            <v>Her dozda demirli beton (Beton santralı ile)</v>
          </cell>
          <cell r="C349" t="str">
            <v>M3</v>
          </cell>
          <cell r="E349">
            <v>13555743</v>
          </cell>
          <cell r="F349">
            <v>18276445</v>
          </cell>
          <cell r="G349">
            <v>28830621</v>
          </cell>
          <cell r="H349">
            <v>40639900</v>
          </cell>
        </row>
        <row r="350">
          <cell r="A350" t="str">
            <v>16.068/K</v>
          </cell>
          <cell r="B350" t="str">
            <v>Köprülerde Ø 60 cm. çapında yerinde dökme kazık yapılması [0-16 m. (16 m. dahil) boydaki kazıklar için]</v>
          </cell>
          <cell r="C350" t="str">
            <v>MT</v>
          </cell>
          <cell r="E350">
            <v>28367052</v>
          </cell>
          <cell r="F350">
            <v>37606741</v>
          </cell>
          <cell r="G350">
            <v>64042411</v>
          </cell>
          <cell r="H350">
            <v>88779108</v>
          </cell>
        </row>
        <row r="351">
          <cell r="A351" t="str">
            <v>16.068/K-1</v>
          </cell>
          <cell r="B351" t="str">
            <v>Ø 60 cm. çapında yerinde dökme kazık yapılması [0-16 m. (16 m. dahil) boydaki kazıklar için] (Köprüler ve heyelanlı bölgeler hariç)</v>
          </cell>
          <cell r="C351" t="str">
            <v>MT</v>
          </cell>
          <cell r="E351">
            <v>18911368</v>
          </cell>
          <cell r="F351">
            <v>25071161</v>
          </cell>
          <cell r="G351">
            <v>42694941</v>
          </cell>
          <cell r="H351">
            <v>59186072</v>
          </cell>
        </row>
        <row r="352">
          <cell r="A352" t="str">
            <v>16.068/K-1B</v>
          </cell>
          <cell r="B352" t="str">
            <v>Köprülerde Ø 60 cm. çapında yerinde dökme kazık yapılması [0-16 m. (16 m. dahil) boydaki kazıklar için] (Beton santralı ile)</v>
          </cell>
          <cell r="C352" t="str">
            <v>MT</v>
          </cell>
          <cell r="E352">
            <v>28236862</v>
          </cell>
          <cell r="F352">
            <v>37421176</v>
          </cell>
          <cell r="G352">
            <v>64150852</v>
          </cell>
          <cell r="H352">
            <v>88785683</v>
          </cell>
        </row>
        <row r="353">
          <cell r="A353" t="str">
            <v>16.068/K-2</v>
          </cell>
          <cell r="B353" t="str">
            <v>Heyelanlı bölgelerde Ø 60 cm. çapında yerinde dökme kazık yapılması [0-16 m. (16 m. dahil) boydaki kazıklar için]</v>
          </cell>
          <cell r="C353" t="str">
            <v>MT</v>
          </cell>
          <cell r="E353">
            <v>28367052</v>
          </cell>
          <cell r="F353">
            <v>37606741</v>
          </cell>
          <cell r="G353">
            <v>64042411</v>
          </cell>
          <cell r="H353">
            <v>88779108</v>
          </cell>
        </row>
        <row r="354">
          <cell r="A354" t="str">
            <v>16.069/K</v>
          </cell>
          <cell r="B354" t="str">
            <v>Köprülerde Ø 60 cm. çapında yerinde dökme kazık yapılması [16,01-24 m. (24 m. dahil) boydaki kazıklar için]</v>
          </cell>
          <cell r="C354" t="str">
            <v>MT</v>
          </cell>
          <cell r="E354">
            <v>31414463</v>
          </cell>
          <cell r="F354">
            <v>41623785</v>
          </cell>
          <cell r="G354">
            <v>71109177</v>
          </cell>
          <cell r="H354">
            <v>98509902</v>
          </cell>
        </row>
        <row r="355">
          <cell r="A355" t="str">
            <v>16.069/K-1</v>
          </cell>
          <cell r="B355" t="str">
            <v>Ø 60 cm. çapında yerinde dökme kazık yapılması [16,01-24 m. (24 m. dahil) boydaki kazıklar için] (Köprüler ve heyelanlı bölgeler hariç)</v>
          </cell>
          <cell r="C355" t="str">
            <v>MT</v>
          </cell>
          <cell r="E355">
            <v>20942976</v>
          </cell>
          <cell r="F355">
            <v>27749190</v>
          </cell>
          <cell r="G355">
            <v>47406118</v>
          </cell>
          <cell r="H355">
            <v>65673268</v>
          </cell>
        </row>
        <row r="356">
          <cell r="A356" t="str">
            <v>16.069/K-1B</v>
          </cell>
          <cell r="B356" t="str">
            <v>Köprülerde Ø 60 cm. çapında yerinde dökme kazık yapılması [16,01-24 m. (24 m. dahil) boydaki kazıklar için] (Beton santralı ile)</v>
          </cell>
          <cell r="C356" t="str">
            <v>MT</v>
          </cell>
          <cell r="E356">
            <v>31284273</v>
          </cell>
          <cell r="F356">
            <v>41438220</v>
          </cell>
          <cell r="G356">
            <v>71217618</v>
          </cell>
          <cell r="H356">
            <v>98516478</v>
          </cell>
        </row>
        <row r="357">
          <cell r="A357" t="str">
            <v>16.069/K-2</v>
          </cell>
          <cell r="B357" t="str">
            <v>Heyelanlı bölgelerde Ø 60 cm. çapında yerinde dökme kazık yapılması [16,01-24 m. (24 m. dahil) boydaki kazıklar için]</v>
          </cell>
          <cell r="C357" t="str">
            <v>MT</v>
          </cell>
          <cell r="E357">
            <v>31414463</v>
          </cell>
          <cell r="F357">
            <v>41623785</v>
          </cell>
          <cell r="G357">
            <v>71109177</v>
          </cell>
          <cell r="H357">
            <v>98509902</v>
          </cell>
        </row>
        <row r="358">
          <cell r="A358" t="str">
            <v>16.070/K</v>
          </cell>
          <cell r="B358" t="str">
            <v>Köprülerde Ø 60 cm. çapında yerinde dökme kazık yapılması [24,01-32 m. (32 m. dahil) boydaki kazıklar için]</v>
          </cell>
          <cell r="C358" t="str">
            <v>MT</v>
          </cell>
          <cell r="E358">
            <v>33446071</v>
          </cell>
          <cell r="F358">
            <v>44301815</v>
          </cell>
          <cell r="G358">
            <v>75820357</v>
          </cell>
          <cell r="H358">
            <v>104997101</v>
          </cell>
        </row>
        <row r="359">
          <cell r="A359" t="str">
            <v>16.070/K-1</v>
          </cell>
          <cell r="B359" t="str">
            <v>Ø 60 cm. çapında yerinde dökme kazık yapılması [24,01-32 m. (32 m. dahil) boydaki kazıklar için] (Köprüler ve heyelanlı bölgeler hariç)</v>
          </cell>
          <cell r="C359" t="str">
            <v>MT</v>
          </cell>
          <cell r="E359">
            <v>22297381</v>
          </cell>
          <cell r="F359">
            <v>29534543</v>
          </cell>
          <cell r="G359">
            <v>50546905</v>
          </cell>
          <cell r="H359">
            <v>69998067</v>
          </cell>
        </row>
        <row r="360">
          <cell r="A360" t="str">
            <v>16.070/K-1B</v>
          </cell>
          <cell r="B360" t="str">
            <v>Köprülerde Ø 60 cm. çapında yerinde dökme kazık yapılması [24,01-32 m. (32 m. dahil) boydaki kazıklar için] (Beton santralı ile)</v>
          </cell>
          <cell r="C360" t="str">
            <v>MT</v>
          </cell>
          <cell r="E360">
            <v>33315881</v>
          </cell>
          <cell r="F360">
            <v>44116250</v>
          </cell>
          <cell r="G360">
            <v>75928797</v>
          </cell>
          <cell r="H360">
            <v>105003676</v>
          </cell>
        </row>
        <row r="361">
          <cell r="A361" t="str">
            <v>16.070/K-2</v>
          </cell>
          <cell r="B361" t="str">
            <v>Heyelanlı bölgelerde Ø 60 cm. çapında yerinde dökme kazık yapılması [24,01-32 m. (32 m. dahil) boydaki kazıklar için]</v>
          </cell>
          <cell r="C361" t="str">
            <v>MT</v>
          </cell>
          <cell r="E361">
            <v>33446071</v>
          </cell>
          <cell r="F361">
            <v>44301815</v>
          </cell>
          <cell r="G361">
            <v>75820357</v>
          </cell>
          <cell r="H361">
            <v>104997101</v>
          </cell>
        </row>
        <row r="362">
          <cell r="A362" t="str">
            <v>16.071/K</v>
          </cell>
          <cell r="B362" t="str">
            <v>Köprülerde Ø 80 cm. çapında yerinde dökme kazık yapılması [0-16 m. (16 m. dahil) boydaki kazıklar için]</v>
          </cell>
          <cell r="C362" t="str">
            <v>MT</v>
          </cell>
          <cell r="E362">
            <v>49307705</v>
          </cell>
          <cell r="F362">
            <v>65359185</v>
          </cell>
          <cell r="G362">
            <v>111386497</v>
          </cell>
          <cell r="H362">
            <v>154384950</v>
          </cell>
        </row>
        <row r="363">
          <cell r="A363" t="str">
            <v>16.071/K-1</v>
          </cell>
          <cell r="B363" t="str">
            <v>Ø 80 cm. çapında yerinde dökme kazık yapılması [0-16 m. (16 m. dahil) boydaki kazıklar için] (Köprüler ve heyelanlı bölgeler hariç)</v>
          </cell>
          <cell r="C363" t="str">
            <v>MT</v>
          </cell>
          <cell r="E363">
            <v>32871803</v>
          </cell>
          <cell r="F363">
            <v>43572790</v>
          </cell>
          <cell r="G363">
            <v>74257665</v>
          </cell>
          <cell r="H363">
            <v>102923300</v>
          </cell>
        </row>
        <row r="364">
          <cell r="A364" t="str">
            <v>16.071/K-1B</v>
          </cell>
          <cell r="B364" t="str">
            <v>Köprülerde Ø 80 cm. çapında yerinde dökme kazık yapılması [0-16 m. (16 m. dahil) boydaki kazıklar için] (Beton santralı ile)</v>
          </cell>
          <cell r="C364" t="str">
            <v>MT</v>
          </cell>
          <cell r="E364">
            <v>49340722</v>
          </cell>
          <cell r="F364">
            <v>65386625</v>
          </cell>
          <cell r="G364">
            <v>112116558</v>
          </cell>
          <cell r="H364">
            <v>155176940</v>
          </cell>
        </row>
        <row r="365">
          <cell r="A365" t="str">
            <v>16.071/K-2</v>
          </cell>
          <cell r="B365" t="str">
            <v>Heyelanlı bölgelerde Ø 80 cm. çapında yerinde dökme kazık yapılması [0-16 m. (16 m. dahil) boydaki kazıklar için]</v>
          </cell>
          <cell r="C365" t="str">
            <v>MT</v>
          </cell>
          <cell r="E365">
            <v>49307705</v>
          </cell>
          <cell r="F365">
            <v>65359185</v>
          </cell>
          <cell r="G365">
            <v>111386497</v>
          </cell>
          <cell r="H365">
            <v>154384950</v>
          </cell>
        </row>
        <row r="366">
          <cell r="A366" t="str">
            <v>16.072/K</v>
          </cell>
          <cell r="B366" t="str">
            <v>Köprülerde Ø 80 cm. çapında yerinde dökme kazık yapılması [16,01-24 m. (24 m. dahil) boydaki kazıklar için]</v>
          </cell>
          <cell r="C366" t="str">
            <v>MT</v>
          </cell>
          <cell r="E366">
            <v>52355116</v>
          </cell>
          <cell r="F366">
            <v>69376227</v>
          </cell>
          <cell r="G366">
            <v>118453263</v>
          </cell>
          <cell r="H366">
            <v>164115743</v>
          </cell>
        </row>
        <row r="367">
          <cell r="A367" t="str">
            <v>16.072/K-1</v>
          </cell>
          <cell r="B367" t="str">
            <v>Ø 80 cm. çapında yerinde dökme kazık yapılması [16,01-24 m. (24 m. dahil) boydaki kazıklar için] (Köprüler ve heyelanlı bölgeler hariç)</v>
          </cell>
          <cell r="C367" t="str">
            <v>MT</v>
          </cell>
          <cell r="E367">
            <v>34903411</v>
          </cell>
          <cell r="F367">
            <v>46250818</v>
          </cell>
          <cell r="G367">
            <v>78968842</v>
          </cell>
          <cell r="H367">
            <v>109410496</v>
          </cell>
        </row>
        <row r="368">
          <cell r="A368" t="str">
            <v>16.072/K-1B</v>
          </cell>
          <cell r="B368" t="str">
            <v>Köprülerde Ø 80 cm. çapında yerinde dökme kazık yapılması [16,01-24 m. (24 m. dahil) boydaki kazıklar için] (Beton santralı ile)</v>
          </cell>
          <cell r="C368" t="str">
            <v>MT</v>
          </cell>
          <cell r="E368">
            <v>52388133</v>
          </cell>
          <cell r="F368">
            <v>69403668</v>
          </cell>
          <cell r="G368">
            <v>119183325</v>
          </cell>
          <cell r="H368">
            <v>164907735</v>
          </cell>
        </row>
        <row r="369">
          <cell r="A369" t="str">
            <v>16.072/K-2</v>
          </cell>
          <cell r="B369" t="str">
            <v>Heyelanlı bölgelerde Ø 80 cm. çapında yerinde dökme kazık yapılması [16,01-24 m. (24 m. dahil) boydaki kazıklar için]</v>
          </cell>
          <cell r="C369" t="str">
            <v>MT</v>
          </cell>
          <cell r="E369">
            <v>52355116</v>
          </cell>
          <cell r="F369">
            <v>69376227</v>
          </cell>
          <cell r="G369">
            <v>118453263</v>
          </cell>
          <cell r="H369">
            <v>164115743</v>
          </cell>
        </row>
        <row r="370">
          <cell r="A370" t="str">
            <v>16.073/K</v>
          </cell>
          <cell r="B370" t="str">
            <v>Köprülerde Ø 80 cm. çapında yerinde dökme kazık yapılması [24,01-32 m. (32 m. dahil) boydaki kazıklar için]</v>
          </cell>
          <cell r="C370" t="str">
            <v>MT</v>
          </cell>
          <cell r="E370">
            <v>54386723</v>
          </cell>
          <cell r="F370">
            <v>72054258</v>
          </cell>
          <cell r="G370">
            <v>123164442</v>
          </cell>
          <cell r="H370">
            <v>170602942</v>
          </cell>
        </row>
        <row r="371">
          <cell r="A371" t="str">
            <v>16.073/K-1</v>
          </cell>
          <cell r="B371" t="str">
            <v>Ø 80 cm. çapında yerinde dökme kazık yapılması [24,01-32 m. (32 m. dahil) boydaki kazıklar için] (Köprüler ve heyelanlı bölgeler hariç)</v>
          </cell>
          <cell r="C371" t="str">
            <v>MT</v>
          </cell>
          <cell r="E371">
            <v>36257816</v>
          </cell>
          <cell r="F371">
            <v>48036172</v>
          </cell>
          <cell r="G371">
            <v>82109628</v>
          </cell>
          <cell r="H371">
            <v>113735295</v>
          </cell>
        </row>
        <row r="372">
          <cell r="A372" t="str">
            <v>16.073/K-1B</v>
          </cell>
          <cell r="B372" t="str">
            <v>Köprülerde Ø 80 cm. çapında yerinde dökme kazık yapılması [24,01-32 m. (32 m. dahil) boydaki kazıklar için] (Beton santralı ile)</v>
          </cell>
          <cell r="C372" t="str">
            <v>MT</v>
          </cell>
          <cell r="E372">
            <v>54419741</v>
          </cell>
          <cell r="F372">
            <v>72081698</v>
          </cell>
          <cell r="G372">
            <v>123894503</v>
          </cell>
          <cell r="H372">
            <v>171394932</v>
          </cell>
        </row>
        <row r="373">
          <cell r="A373" t="str">
            <v>16.073/K-2</v>
          </cell>
          <cell r="B373" t="str">
            <v>Heyelanlı bölgelerde Ø 80 cm. çapında yerinde dökme kazık yapılması [24,01-32 m. (32 m. dahil) boydaki kazıklar için]</v>
          </cell>
          <cell r="C373" t="str">
            <v>MT</v>
          </cell>
          <cell r="E373">
            <v>54386723</v>
          </cell>
          <cell r="F373">
            <v>72054258</v>
          </cell>
          <cell r="G373">
            <v>123164442</v>
          </cell>
          <cell r="H373">
            <v>170602942</v>
          </cell>
        </row>
        <row r="374">
          <cell r="A374" t="str">
            <v>16.074/K</v>
          </cell>
          <cell r="B374" t="str">
            <v>Köprülerde Ø 100 cm. çapında yerinde dökme kazık yapılması [0-16 m. (16 m. dahil) boydaki kazıklar için]</v>
          </cell>
          <cell r="C374" t="str">
            <v>MT</v>
          </cell>
          <cell r="E374">
            <v>69622842</v>
          </cell>
          <cell r="F374">
            <v>92342358</v>
          </cell>
          <cell r="G374">
            <v>156841351</v>
          </cell>
          <cell r="H374">
            <v>217541261</v>
          </cell>
        </row>
        <row r="375">
          <cell r="A375" t="str">
            <v>16.074/K-1</v>
          </cell>
          <cell r="B375" t="str">
            <v>Ø 100 cm. çapında yerinde dökme kazık yapılması [0-16 m. (16 m. dahil) boydaki kazıklar için] (Köprüler ve heyelanlı bölgeler hariç)</v>
          </cell>
          <cell r="C375" t="str">
            <v>MT</v>
          </cell>
          <cell r="E375">
            <v>46415228</v>
          </cell>
          <cell r="F375">
            <v>61561572</v>
          </cell>
          <cell r="G375">
            <v>104560901</v>
          </cell>
          <cell r="H375">
            <v>145027507</v>
          </cell>
        </row>
        <row r="376">
          <cell r="A376" t="str">
            <v>16.074/K-1B</v>
          </cell>
          <cell r="B376" t="str">
            <v>Köprülerde Ø 100 cm. çapında yerinde dökme kazık yapılması [0-16 m. (16 m. dahil) boydaki kazıklar için] (Beton santralı ile)</v>
          </cell>
          <cell r="C376" t="str">
            <v>MT</v>
          </cell>
          <cell r="E376">
            <v>69549380</v>
          </cell>
          <cell r="F376">
            <v>92217412</v>
          </cell>
          <cell r="G376">
            <v>157684972</v>
          </cell>
          <cell r="H376">
            <v>218362066</v>
          </cell>
        </row>
        <row r="377">
          <cell r="A377" t="str">
            <v>16.074/K-2</v>
          </cell>
          <cell r="B377" t="str">
            <v>Heyelanlı bölgelerde Ø 100 cm. çapında yerinde dökme kazık yapılması [0-16 m. (16 m. dahil) boydaki kazıklar için]</v>
          </cell>
          <cell r="C377" t="str">
            <v>MT</v>
          </cell>
          <cell r="E377">
            <v>69622842</v>
          </cell>
          <cell r="F377">
            <v>92342358</v>
          </cell>
          <cell r="G377">
            <v>156841351</v>
          </cell>
          <cell r="H377">
            <v>217541261</v>
          </cell>
        </row>
        <row r="378">
          <cell r="A378" t="str">
            <v>16.075/K</v>
          </cell>
          <cell r="B378" t="str">
            <v>Köprülerde Ø 100 cm. çapında yerinde dökme kazık yapılması [16,01-24 m. (24 m. dahil) boydaki kazıklar için]</v>
          </cell>
          <cell r="C378" t="str">
            <v>MT</v>
          </cell>
          <cell r="E378">
            <v>72670252</v>
          </cell>
          <cell r="F378">
            <v>96359401</v>
          </cell>
          <cell r="G378">
            <v>163908120</v>
          </cell>
          <cell r="H378">
            <v>227272055</v>
          </cell>
        </row>
        <row r="379">
          <cell r="A379" t="str">
            <v>16.075/K-1</v>
          </cell>
          <cell r="B379" t="str">
            <v>Ø 100 cm. çapında yerinde dökme kazık yapılması [16,01-24 m. (24 m. dahil) boydaki kazıklar için] (Köprüler ve heyelanlı bölgeler hariç)</v>
          </cell>
          <cell r="C379" t="str">
            <v>MT</v>
          </cell>
          <cell r="E379">
            <v>48446835</v>
          </cell>
          <cell r="F379">
            <v>64239601</v>
          </cell>
          <cell r="G379">
            <v>109272080</v>
          </cell>
          <cell r="H379">
            <v>151514703</v>
          </cell>
        </row>
        <row r="380">
          <cell r="A380" t="str">
            <v>16.075/K-1B</v>
          </cell>
          <cell r="B380" t="str">
            <v>Köprülerde Ø 100 cm. çapında yerinde dökme kazık yapılması [16,01-24 m. (24 m. dahil) boydaki kazıklar için] (Beton santralı ile)</v>
          </cell>
          <cell r="C380" t="str">
            <v>MT</v>
          </cell>
          <cell r="E380">
            <v>72596790</v>
          </cell>
          <cell r="F380">
            <v>96234455</v>
          </cell>
          <cell r="G380">
            <v>164751740</v>
          </cell>
          <cell r="H380">
            <v>228092861</v>
          </cell>
        </row>
        <row r="381">
          <cell r="A381" t="str">
            <v>16.075/K-2</v>
          </cell>
          <cell r="B381" t="str">
            <v>Heyelanlı bölgelerde Ø 100 cm. çapında yerinde dökme kazık yapılması [16,01-24 m. (24 m. dahil) boydaki kazıklar için]</v>
          </cell>
          <cell r="C381" t="str">
            <v>MT</v>
          </cell>
          <cell r="E381">
            <v>72670252</v>
          </cell>
          <cell r="F381">
            <v>96359401</v>
          </cell>
          <cell r="G381">
            <v>163908120</v>
          </cell>
          <cell r="H381">
            <v>227272055</v>
          </cell>
        </row>
        <row r="382">
          <cell r="A382" t="str">
            <v>16.076/K</v>
          </cell>
          <cell r="B382" t="str">
            <v>Köprülerde Ø 100 cm. çapında yerinde dökme kazık yapılması [24,01-32 m. (32 m. dahil) boydaki kazıklar için]</v>
          </cell>
          <cell r="C382" t="str">
            <v>MT</v>
          </cell>
          <cell r="E382">
            <v>74701860</v>
          </cell>
          <cell r="F382">
            <v>99037432</v>
          </cell>
          <cell r="G382">
            <v>168619297</v>
          </cell>
          <cell r="H382">
            <v>233759253</v>
          </cell>
        </row>
        <row r="383">
          <cell r="A383" t="str">
            <v>16.076/K-1</v>
          </cell>
          <cell r="B383" t="str">
            <v>Ø 100 cm. çapında yerinde dökme kazık yapılması [24,01-32 m. (32 m. dahil) boydaki kazıklar için] (Köprüler ve heyelanlı bölgeler hariç)</v>
          </cell>
          <cell r="C383" t="str">
            <v>MT</v>
          </cell>
          <cell r="E383">
            <v>49801240</v>
          </cell>
          <cell r="F383">
            <v>66024955</v>
          </cell>
          <cell r="G383">
            <v>112412865</v>
          </cell>
          <cell r="H383">
            <v>155839502</v>
          </cell>
        </row>
        <row r="384">
          <cell r="A384" t="str">
            <v>16.076/K-1B</v>
          </cell>
          <cell r="B384" t="str">
            <v>Köprülerde Ø 100 cm. çapında yerinde dökme kazık yapılması [24,01-32 m. (32 m. dahil) boydaki kazıklar için] (Beton santralı ile)</v>
          </cell>
          <cell r="C384" t="str">
            <v>MT</v>
          </cell>
          <cell r="E384">
            <v>74628397</v>
          </cell>
          <cell r="F384">
            <v>98912486</v>
          </cell>
          <cell r="G384">
            <v>169462917</v>
          </cell>
          <cell r="H384">
            <v>234580058</v>
          </cell>
        </row>
        <row r="385">
          <cell r="A385" t="str">
            <v>16.076/K-2</v>
          </cell>
          <cell r="B385" t="str">
            <v>Heyelanlı bölgelerde Ø 100 cm. çapında yerinde dökme kazık yapılması [24,01-32 m. (32 m. dahil) boydaki kazıklar için]</v>
          </cell>
          <cell r="C385" t="str">
            <v>MT</v>
          </cell>
          <cell r="E385">
            <v>74701860</v>
          </cell>
          <cell r="F385">
            <v>99037432</v>
          </cell>
          <cell r="G385">
            <v>168619297</v>
          </cell>
          <cell r="H385">
            <v>233759253</v>
          </cell>
        </row>
        <row r="386">
          <cell r="A386" t="str">
            <v>16.077/K</v>
          </cell>
          <cell r="B386" t="str">
            <v>Köprülerde Ø 120 cm. çapında yerinde dökme kazık yapılması [0-16 m. (16 m. dahil) boydaki kazıklar için]</v>
          </cell>
          <cell r="C386" t="str">
            <v>MT</v>
          </cell>
          <cell r="E386">
            <v>90967951</v>
          </cell>
          <cell r="F386">
            <v>120712327</v>
          </cell>
          <cell r="G386">
            <v>204449025</v>
          </cell>
          <cell r="H386">
            <v>283743360</v>
          </cell>
        </row>
        <row r="387">
          <cell r="A387" t="str">
            <v>16.077/K-1</v>
          </cell>
          <cell r="B387" t="str">
            <v>Ø 120 cm. çapında yerinde dökme kazık yapılması [0-16 m. (16 m. dahil) boydaki kazıklar için] (Köprüler ve heyelanlı bölgeler hariç)</v>
          </cell>
          <cell r="C387" t="str">
            <v>MT</v>
          </cell>
          <cell r="E387">
            <v>60645301</v>
          </cell>
          <cell r="F387">
            <v>80474885</v>
          </cell>
          <cell r="G387">
            <v>136299350</v>
          </cell>
          <cell r="H387">
            <v>189162240</v>
          </cell>
        </row>
        <row r="388">
          <cell r="A388" t="str">
            <v>16.077/K-1B</v>
          </cell>
          <cell r="B388" t="str">
            <v>Köprülerde Ø 120 cm. çapında yerinde dökme kazık yapılması [0-16 m. (16 m. dahil) boydaki kazıklar  için] (Beton santralı ile)</v>
          </cell>
          <cell r="C388" t="str">
            <v>MT</v>
          </cell>
          <cell r="E388">
            <v>90276727</v>
          </cell>
          <cell r="F388">
            <v>119743227</v>
          </cell>
          <cell r="G388">
            <v>204389190</v>
          </cell>
          <cell r="H388">
            <v>283153373</v>
          </cell>
        </row>
        <row r="389">
          <cell r="A389" t="str">
            <v>16.077/K-2</v>
          </cell>
          <cell r="B389" t="str">
            <v>Heyelanlı bölgelerde Ø 120 cm. çapında yerinde dökme kazık yapılması [0-16 m. (16 m. dahil) boydaki kazıklar için]</v>
          </cell>
          <cell r="C389" t="str">
            <v>MT</v>
          </cell>
          <cell r="E389">
            <v>90967951</v>
          </cell>
          <cell r="F389">
            <v>120712327</v>
          </cell>
          <cell r="G389">
            <v>204449025</v>
          </cell>
          <cell r="H389">
            <v>283743360</v>
          </cell>
        </row>
        <row r="390">
          <cell r="A390" t="str">
            <v>16.078/K</v>
          </cell>
          <cell r="B390" t="str">
            <v>Köprülerde Ø 120 cm. çapında yerinde dökme kazık yapılması (16,01-24 m. (24 m. dahil) boydaki kazıklar için]</v>
          </cell>
          <cell r="C390" t="str">
            <v>MT</v>
          </cell>
          <cell r="E390">
            <v>94015362</v>
          </cell>
          <cell r="F390">
            <v>124729370</v>
          </cell>
          <cell r="G390">
            <v>211515791</v>
          </cell>
          <cell r="H390">
            <v>293474153</v>
          </cell>
        </row>
        <row r="391">
          <cell r="A391" t="str">
            <v>16.078/K-1</v>
          </cell>
          <cell r="B391" t="str">
            <v>Ø 120 cm. çapında yerinde dökme kazık yapılması [16,01-24 m. (24 m. dahil) boydaki kazıklar için] (Köprüler ve heyelanlı bölgeler hariç)</v>
          </cell>
          <cell r="C391" t="str">
            <v>MT</v>
          </cell>
          <cell r="E391">
            <v>62676908</v>
          </cell>
          <cell r="F391">
            <v>83152913</v>
          </cell>
          <cell r="G391">
            <v>141010527</v>
          </cell>
          <cell r="H391">
            <v>195649436</v>
          </cell>
        </row>
        <row r="392">
          <cell r="A392" t="str">
            <v>16.078/K-1B</v>
          </cell>
          <cell r="B392" t="str">
            <v>Köprülerde Ø 120 cm. çapında yerinde dökme kazık yapılması [16,01-24 m. (24 m. dahil) boydaki kazıklar için] (Beton santralı ile)</v>
          </cell>
          <cell r="C392" t="str">
            <v>MT</v>
          </cell>
          <cell r="E392">
            <v>93324138</v>
          </cell>
          <cell r="F392">
            <v>123760271</v>
          </cell>
          <cell r="G392">
            <v>211455956</v>
          </cell>
          <cell r="H392">
            <v>292884168</v>
          </cell>
        </row>
        <row r="393">
          <cell r="A393" t="str">
            <v>16.078/K-2</v>
          </cell>
          <cell r="B393" t="str">
            <v>Heyelanlı bölgelerde Ø 120 cm. çapında yerinde dökme kazık yapılması [16,01-24 m. (24 m. dahil) boydaki kazıklar için]</v>
          </cell>
          <cell r="C393" t="str">
            <v>MT</v>
          </cell>
          <cell r="E393">
            <v>94015362</v>
          </cell>
          <cell r="F393">
            <v>124729370</v>
          </cell>
          <cell r="G393">
            <v>211515791</v>
          </cell>
          <cell r="H393">
            <v>293474153</v>
          </cell>
        </row>
        <row r="394">
          <cell r="A394" t="str">
            <v>16.079/K</v>
          </cell>
          <cell r="B394" t="str">
            <v>Köprülerde Ø 120 cm. çapında yerinde dökme kazık yapılması [24,01-32 m. (32 m. dahil) boydaki kazıklar için]</v>
          </cell>
          <cell r="C394" t="str">
            <v>MT</v>
          </cell>
          <cell r="E394">
            <v>96046970</v>
          </cell>
          <cell r="F394">
            <v>127407401</v>
          </cell>
          <cell r="G394">
            <v>216226970</v>
          </cell>
          <cell r="H394">
            <v>299961352</v>
          </cell>
        </row>
        <row r="395">
          <cell r="A395" t="str">
            <v>16.079/K-1</v>
          </cell>
          <cell r="B395" t="str">
            <v>Ø 120 cm. çapında yerinde dökme kazık yapılması [24,01-32 m. (32 m. dahil) boydaki kazıklar için] (Köprüler ve heyelanlı bölgeler hariç)</v>
          </cell>
          <cell r="C395" t="str">
            <v>MT</v>
          </cell>
          <cell r="E395">
            <v>64031313</v>
          </cell>
          <cell r="F395">
            <v>84938267</v>
          </cell>
          <cell r="G395">
            <v>144151313</v>
          </cell>
          <cell r="H395">
            <v>199974235</v>
          </cell>
        </row>
        <row r="396">
          <cell r="A396" t="str">
            <v>16.079/K-1B</v>
          </cell>
          <cell r="B396" t="str">
            <v>Köprülerde Ø 120 cm. çapında yerinde dökme kazık yapılması [24,01-32 m. (32 m. dahil) boydaki kazıklar için] (Beton santralı ile)</v>
          </cell>
          <cell r="C396" t="str">
            <v>MT</v>
          </cell>
          <cell r="E396">
            <v>95355746</v>
          </cell>
          <cell r="F396">
            <v>126438301</v>
          </cell>
          <cell r="G396">
            <v>216167135</v>
          </cell>
          <cell r="H396">
            <v>299371366</v>
          </cell>
        </row>
        <row r="397">
          <cell r="A397" t="str">
            <v>16.079/K-2</v>
          </cell>
          <cell r="B397" t="str">
            <v>Heyelanlı bölgelerde Ø 120 cm. çapında yerinde dökme kazık yapılması [24,01-32 m. (32 m. dahil) boydaki kazıklar için]</v>
          </cell>
          <cell r="C397" t="str">
            <v>MT</v>
          </cell>
          <cell r="E397">
            <v>96046970</v>
          </cell>
          <cell r="F397">
            <v>127407401</v>
          </cell>
          <cell r="G397">
            <v>216226970</v>
          </cell>
          <cell r="H397">
            <v>299961352</v>
          </cell>
        </row>
        <row r="398">
          <cell r="A398" t="str">
            <v>16.080/K</v>
          </cell>
          <cell r="B398" t="str">
            <v>Köprülerde yerinde dökme kazıkların alt uçlarına soğanbaşı yapılması</v>
          </cell>
          <cell r="C398" t="str">
            <v>M2</v>
          </cell>
          <cell r="E398">
            <v>56615921</v>
          </cell>
          <cell r="F398">
            <v>74960757</v>
          </cell>
          <cell r="G398">
            <v>128545912</v>
          </cell>
          <cell r="H398">
            <v>177930990</v>
          </cell>
        </row>
        <row r="399">
          <cell r="A399" t="str">
            <v>16.100/K</v>
          </cell>
          <cell r="B399" t="str">
            <v>Her türlü inşaat temellerinde (Köprü temelleri hariç) kuruda veya suda her dozda demirsiz beton</v>
          </cell>
          <cell r="C399" t="str">
            <v>M3</v>
          </cell>
          <cell r="E399">
            <v>12926710</v>
          </cell>
          <cell r="F399">
            <v>17353826</v>
          </cell>
          <cell r="G399">
            <v>26938147</v>
          </cell>
          <cell r="H399">
            <v>37990555</v>
          </cell>
        </row>
        <row r="400">
          <cell r="A400" t="str">
            <v>16.100/K-1</v>
          </cell>
          <cell r="B400" t="str">
            <v>Her türlü inşaat temellerinde (Köprü temelleri hariç) kuruda veya suda her dozda demirsiz beton (Beton santralı ile)</v>
          </cell>
          <cell r="C400" t="str">
            <v>M3</v>
          </cell>
          <cell r="E400">
            <v>12682211</v>
          </cell>
          <cell r="F400">
            <v>17008047</v>
          </cell>
          <cell r="G400">
            <v>27141601</v>
          </cell>
          <cell r="H400">
            <v>38011580</v>
          </cell>
        </row>
        <row r="401">
          <cell r="A401" t="str">
            <v>16.101/K</v>
          </cell>
          <cell r="B401" t="str">
            <v>Köprü temellerinde kuruda veya suda her dozda demirsiz beton</v>
          </cell>
          <cell r="C401" t="str">
            <v>M3</v>
          </cell>
          <cell r="E401">
            <v>15201146</v>
          </cell>
          <cell r="F401">
            <v>20215361</v>
          </cell>
          <cell r="G401">
            <v>31930900</v>
          </cell>
          <cell r="H401">
            <v>44538838</v>
          </cell>
        </row>
        <row r="402">
          <cell r="A402" t="str">
            <v>16.101/K-1</v>
          </cell>
          <cell r="B402" t="str">
            <v>Köprü temellerinde kuruda veya suda her dozda demirsiz beton (Beton santralı ile)</v>
          </cell>
          <cell r="C402" t="str">
            <v>M3</v>
          </cell>
          <cell r="E402">
            <v>14956645</v>
          </cell>
          <cell r="F402">
            <v>19869580</v>
          </cell>
          <cell r="G402">
            <v>32134351</v>
          </cell>
          <cell r="H402">
            <v>44559861</v>
          </cell>
        </row>
        <row r="403">
          <cell r="A403" t="str">
            <v>16.120/K</v>
          </cell>
          <cell r="B403" t="str">
            <v>Her türlü inşaatta (Köprüler hariç) temel dışında kuruda veya suda her dozda demirsiz beton</v>
          </cell>
          <cell r="C403" t="str">
            <v>M3</v>
          </cell>
          <cell r="E403">
            <v>18837206</v>
          </cell>
          <cell r="F403">
            <v>24814202</v>
          </cell>
          <cell r="G403">
            <v>39879022</v>
          </cell>
          <cell r="H403">
            <v>55022038</v>
          </cell>
        </row>
        <row r="404">
          <cell r="A404" t="str">
            <v>16.120/K-1</v>
          </cell>
          <cell r="B404" t="str">
            <v>Her türlü inşaatta (Köprüler hariç) temel dışında kuruda veya suda her dozda demirsiz beton (Beton santralı ile)</v>
          </cell>
          <cell r="C404" t="str">
            <v>M3</v>
          </cell>
          <cell r="E404">
            <v>18592707</v>
          </cell>
          <cell r="F404">
            <v>24468423</v>
          </cell>
          <cell r="G404">
            <v>40082476</v>
          </cell>
          <cell r="H404">
            <v>55043063</v>
          </cell>
        </row>
        <row r="405">
          <cell r="A405" t="str">
            <v>16.120/K-A</v>
          </cell>
          <cell r="B405" t="str">
            <v>Hendeklerin betonla kaplanması (Orta refüj ve yarma hendeği) (Beton santralı ile)</v>
          </cell>
          <cell r="C405" t="str">
            <v>M3</v>
          </cell>
          <cell r="E405">
            <v>14863250</v>
          </cell>
          <cell r="F405">
            <v>19782527</v>
          </cell>
          <cell r="G405">
            <v>31886501</v>
          </cell>
          <cell r="H405">
            <v>44308751</v>
          </cell>
        </row>
        <row r="406">
          <cell r="A406" t="str">
            <v>16.120/K-A1</v>
          </cell>
          <cell r="B406" t="str">
            <v>Hendeklerin betonla kaplanması (Orta refüj ve yarma hendeği) (Betoniyer ile)</v>
          </cell>
          <cell r="C406" t="str">
            <v>M3</v>
          </cell>
          <cell r="E406">
            <v>15107745</v>
          </cell>
          <cell r="F406">
            <v>20128302</v>
          </cell>
          <cell r="G406">
            <v>31683043</v>
          </cell>
          <cell r="H406">
            <v>44287722</v>
          </cell>
        </row>
        <row r="407">
          <cell r="A407" t="str">
            <v>16.121/K</v>
          </cell>
          <cell r="B407" t="str">
            <v>Köprülerde temel dışında kuruda veya suda her dozda demirsiz beton</v>
          </cell>
          <cell r="C407" t="str">
            <v>M3</v>
          </cell>
          <cell r="E407">
            <v>21001145</v>
          </cell>
          <cell r="F407">
            <v>27544325</v>
          </cell>
          <cell r="G407">
            <v>44618650</v>
          </cell>
          <cell r="H407">
            <v>61256807</v>
          </cell>
        </row>
        <row r="408">
          <cell r="A408" t="str">
            <v>16.121/K-1</v>
          </cell>
          <cell r="B408" t="str">
            <v>Köprülerde temel dışında kuruda veya suda her dozda demirsiz beton (Beton santralı ile)</v>
          </cell>
          <cell r="C408" t="str">
            <v>M3</v>
          </cell>
          <cell r="E408">
            <v>20756643</v>
          </cell>
          <cell r="F408">
            <v>27198543</v>
          </cell>
          <cell r="G408">
            <v>44822101</v>
          </cell>
          <cell r="H408">
            <v>61277830</v>
          </cell>
        </row>
        <row r="409">
          <cell r="A409" t="str">
            <v>16.130/K</v>
          </cell>
          <cell r="B409" t="str">
            <v>Kirişli menfezlerde kuruda veya suda her dozda demirli beton</v>
          </cell>
          <cell r="C409" t="str">
            <v>M3</v>
          </cell>
          <cell r="E409">
            <v>30376926</v>
          </cell>
          <cell r="F409">
            <v>39411701</v>
          </cell>
          <cell r="G409">
            <v>65101966</v>
          </cell>
          <cell r="H409">
            <v>88300937</v>
          </cell>
        </row>
        <row r="410">
          <cell r="A410" t="str">
            <v>16.130/K-1</v>
          </cell>
          <cell r="B410" t="str">
            <v>Kirişli menfezlerde kuruda veya suda her dozda demirli beton (Beton santralı ile)</v>
          </cell>
          <cell r="C410" t="str">
            <v>M3</v>
          </cell>
          <cell r="E410">
            <v>31198823</v>
          </cell>
          <cell r="F410">
            <v>40505675</v>
          </cell>
          <cell r="G410">
            <v>67513121</v>
          </cell>
          <cell r="H410">
            <v>91456150</v>
          </cell>
        </row>
        <row r="411">
          <cell r="A411" t="str">
            <v>16.131/K</v>
          </cell>
          <cell r="B411" t="str">
            <v>Her türlü inşaatta (Kirişli ve kutu menfezler, köprüler ve betonarme kazık hariç, plak ve kompozit menfezler dahil) kuruda veya suda her dozda demirli beton</v>
          </cell>
          <cell r="C411" t="str">
            <v>M3</v>
          </cell>
          <cell r="E411">
            <v>23760771</v>
          </cell>
          <cell r="F411">
            <v>31075740</v>
          </cell>
          <cell r="G411">
            <v>50596028</v>
          </cell>
          <cell r="H411">
            <v>69244843</v>
          </cell>
        </row>
        <row r="412">
          <cell r="A412" t="str">
            <v>16.131/K-1</v>
          </cell>
          <cell r="B412" t="str">
            <v>Her türlü inşaatta (Kirişli ve kutu menfezler, köprüler ve betonarme kazık hariç, plak ve kompozit menfezler dahil) kuruda veya suda her dozda demirli beton (Beton santralı ile)</v>
          </cell>
          <cell r="C412" t="str">
            <v>M3</v>
          </cell>
          <cell r="E412">
            <v>24582668</v>
          </cell>
          <cell r="F412">
            <v>32169713</v>
          </cell>
          <cell r="G412">
            <v>53007183</v>
          </cell>
          <cell r="H412">
            <v>72400056</v>
          </cell>
        </row>
        <row r="413">
          <cell r="A413" t="str">
            <v>16.132/K</v>
          </cell>
          <cell r="B413" t="str">
            <v>Köprülerde[Plak, kompozit ve I kirişli köprülerin tabliyeleri hariç öngerilmeli (Önçekim-artçekim) kirişli köprülerin döşeme betonları dahil] kuruda veya suda her dozda demirli beton</v>
          </cell>
          <cell r="C413" t="str">
            <v>M3</v>
          </cell>
          <cell r="E413">
            <v>44030806</v>
          </cell>
          <cell r="F413">
            <v>56750156</v>
          </cell>
          <cell r="G413">
            <v>94849466</v>
          </cell>
          <cell r="H413">
            <v>127704687</v>
          </cell>
        </row>
        <row r="414">
          <cell r="A414" t="str">
            <v>16.132/K-1</v>
          </cell>
          <cell r="B414" t="str">
            <v>I Kirişli köprülerin tabliyelerinde kuruda veya suda her dozda demirli beton</v>
          </cell>
          <cell r="C414" t="str">
            <v>M3</v>
          </cell>
          <cell r="E414">
            <v>59679286</v>
          </cell>
          <cell r="F414">
            <v>76533998</v>
          </cell>
          <cell r="G414">
            <v>129064466</v>
          </cell>
          <cell r="H414">
            <v>172814687</v>
          </cell>
        </row>
        <row r="415">
          <cell r="A415" t="str">
            <v>16.132/K-1/1</v>
          </cell>
          <cell r="B415" t="str">
            <v>I Kirişli köprülerin tabliyelerinde kuruda veya suda her dozda demirli beton (Beton santralı ile)</v>
          </cell>
          <cell r="C415" t="str">
            <v>M3</v>
          </cell>
          <cell r="E415">
            <v>60501183</v>
          </cell>
          <cell r="F415">
            <v>77627972</v>
          </cell>
          <cell r="G415">
            <v>131475621</v>
          </cell>
          <cell r="H415">
            <v>175969900</v>
          </cell>
        </row>
        <row r="416">
          <cell r="A416" t="str">
            <v>16.132/K-2</v>
          </cell>
          <cell r="B416" t="str">
            <v>Köprülerde [Plak,kompozit ve I kirişli köprülerin tabliyeleri hariç,öngerilmeli (Önçekim-artçekim) kirişli köprülerin döşeme betonları dahil] kuruda veya suda her dozda demirli beton (Beton santralı ile)</v>
          </cell>
          <cell r="C416" t="str">
            <v>M3</v>
          </cell>
          <cell r="E416">
            <v>44852703</v>
          </cell>
          <cell r="F416">
            <v>57844130</v>
          </cell>
          <cell r="G416">
            <v>97260621</v>
          </cell>
          <cell r="H416">
            <v>130859900</v>
          </cell>
        </row>
        <row r="417">
          <cell r="A417" t="str">
            <v>16.133/K</v>
          </cell>
          <cell r="B417" t="str">
            <v>Plak ve kompozit köprülerin tabliyelerinde, betonarme kazıkta kuruda veya suda her dozda demirli beton</v>
          </cell>
          <cell r="C417" t="str">
            <v>M3</v>
          </cell>
          <cell r="E417">
            <v>34641717</v>
          </cell>
          <cell r="F417">
            <v>44879850</v>
          </cell>
          <cell r="G417">
            <v>74320466</v>
          </cell>
          <cell r="H417">
            <v>100638687</v>
          </cell>
        </row>
        <row r="418">
          <cell r="A418" t="str">
            <v>16.133/K-1</v>
          </cell>
          <cell r="B418" t="str">
            <v>Plak ve kompozit köprülerin tabliyelerinde, betonarme kazıkta kuruda veya suda her dozda demirli beton (Beton santralı ile)</v>
          </cell>
          <cell r="C418" t="str">
            <v>M3</v>
          </cell>
          <cell r="E418">
            <v>35463615</v>
          </cell>
          <cell r="F418">
            <v>45973823</v>
          </cell>
          <cell r="G418">
            <v>76731621</v>
          </cell>
          <cell r="H418">
            <v>103793900</v>
          </cell>
        </row>
        <row r="419">
          <cell r="A419" t="str">
            <v>16.134</v>
          </cell>
          <cell r="B419" t="str">
            <v>Kutu menfezlerde kuruda veya suda her dozda demirli beton</v>
          </cell>
          <cell r="C419" t="str">
            <v>M3</v>
          </cell>
          <cell r="E419">
            <v>34787696</v>
          </cell>
          <cell r="F419">
            <v>44969008</v>
          </cell>
          <cell r="G419">
            <v>74772591</v>
          </cell>
          <cell r="H419">
            <v>101005000</v>
          </cell>
        </row>
        <row r="420">
          <cell r="A420" t="str">
            <v>16.134/1</v>
          </cell>
          <cell r="B420" t="str">
            <v>Kutu menfezlerde kuruda veya suda her dozda demirli beton (Beton santralı ile)</v>
          </cell>
          <cell r="C420" t="str">
            <v>M3</v>
          </cell>
          <cell r="E420">
            <v>35609593</v>
          </cell>
          <cell r="F420">
            <v>46062982</v>
          </cell>
          <cell r="G420">
            <v>77183746</v>
          </cell>
          <cell r="H420">
            <v>104160212</v>
          </cell>
        </row>
        <row r="421">
          <cell r="A421" t="str">
            <v>16.135/K</v>
          </cell>
          <cell r="B421" t="str">
            <v>Beton yol ve tretuvar</v>
          </cell>
          <cell r="C421" t="str">
            <v>M3</v>
          </cell>
          <cell r="E421">
            <v>14939937</v>
          </cell>
          <cell r="F421">
            <v>20159315</v>
          </cell>
          <cell r="G421">
            <v>30997991</v>
          </cell>
          <cell r="H421">
            <v>43980181</v>
          </cell>
        </row>
        <row r="422">
          <cell r="A422" t="str">
            <v>16.135/K-1</v>
          </cell>
          <cell r="B422" t="str">
            <v>Beton yol ve tretuvar (Beton santralı ile)</v>
          </cell>
          <cell r="C422" t="str">
            <v>M3</v>
          </cell>
          <cell r="E422">
            <v>14634318</v>
          </cell>
          <cell r="F422">
            <v>19727096</v>
          </cell>
          <cell r="G422">
            <v>31252313</v>
          </cell>
          <cell r="H422">
            <v>44006466</v>
          </cell>
        </row>
        <row r="423">
          <cell r="A423" t="str">
            <v>16.136/K-1</v>
          </cell>
          <cell r="B423" t="str">
            <v>Prefabrik kirişlerin yerlerine konulması</v>
          </cell>
          <cell r="C423" t="str">
            <v>TN</v>
          </cell>
          <cell r="E423">
            <v>14865521</v>
          </cell>
          <cell r="F423">
            <v>19457491</v>
          </cell>
          <cell r="G423">
            <v>35484187</v>
          </cell>
          <cell r="H423">
            <v>48727996</v>
          </cell>
        </row>
        <row r="424">
          <cell r="A424" t="str">
            <v>16.137/K-1-A</v>
          </cell>
          <cell r="B424" t="str">
            <v>Köprülerin öngerilmeli (Önçekim-Artçekim) boyuna ve enine kirişlerinde her dozda demirli beton (Beton santralı ile)</v>
          </cell>
          <cell r="C424" t="str">
            <v>M3</v>
          </cell>
          <cell r="E424">
            <v>104208966</v>
          </cell>
          <cell r="F424">
            <v>133468580</v>
          </cell>
          <cell r="G424">
            <v>230238746</v>
          </cell>
          <cell r="H424">
            <v>309113946</v>
          </cell>
        </row>
        <row r="425">
          <cell r="A425" t="str">
            <v>16.581/1</v>
          </cell>
          <cell r="B425" t="str">
            <v>Püskürtme betonu (Shotcrete) yapılması</v>
          </cell>
          <cell r="C425" t="str">
            <v>TN</v>
          </cell>
          <cell r="E425">
            <v>12632667</v>
          </cell>
          <cell r="F425">
            <v>16970715</v>
          </cell>
          <cell r="G425">
            <v>26801570</v>
          </cell>
          <cell r="H425">
            <v>37767105</v>
          </cell>
        </row>
        <row r="426">
          <cell r="A426" t="str">
            <v>17.001/K</v>
          </cell>
          <cell r="B426" t="str">
            <v>Ocak taşı ile kuru moloz  duvar</v>
          </cell>
          <cell r="C426" t="str">
            <v>M3</v>
          </cell>
          <cell r="E426">
            <v>10623060</v>
          </cell>
          <cell r="F426">
            <v>14316198</v>
          </cell>
          <cell r="G426">
            <v>22309001</v>
          </cell>
          <cell r="H426">
            <v>31540918</v>
          </cell>
        </row>
        <row r="427">
          <cell r="A427" t="str">
            <v>17.002/K</v>
          </cell>
          <cell r="B427" t="str">
            <v>Ocak taşı ile moloz taş inşaat</v>
          </cell>
          <cell r="C427" t="str">
            <v>M3</v>
          </cell>
          <cell r="E427">
            <v>14428981</v>
          </cell>
          <cell r="F427">
            <v>19458772</v>
          </cell>
          <cell r="G427">
            <v>30147141</v>
          </cell>
          <cell r="H427">
            <v>42680433</v>
          </cell>
        </row>
        <row r="428">
          <cell r="A428" t="str">
            <v>17.011/K</v>
          </cell>
          <cell r="B428" t="str">
            <v>Kazı taşı ile kuru moloz duvar</v>
          </cell>
          <cell r="C428" t="str">
            <v>M3</v>
          </cell>
          <cell r="E428">
            <v>8703577</v>
          </cell>
          <cell r="F428">
            <v>11775797</v>
          </cell>
          <cell r="G428">
            <v>17959090</v>
          </cell>
          <cell r="H428">
            <v>25561216</v>
          </cell>
        </row>
        <row r="429">
          <cell r="A429" t="str">
            <v>17.012/K</v>
          </cell>
          <cell r="B429" t="str">
            <v>Kazı taşı ile moloz taş inşaat</v>
          </cell>
          <cell r="C429" t="str">
            <v>M3</v>
          </cell>
          <cell r="E429">
            <v>12586278</v>
          </cell>
          <cell r="F429">
            <v>17019987</v>
          </cell>
          <cell r="G429">
            <v>25971227</v>
          </cell>
          <cell r="H429">
            <v>36939920</v>
          </cell>
        </row>
        <row r="430">
          <cell r="A430" t="str">
            <v>17.021/K</v>
          </cell>
          <cell r="B430" t="str">
            <v>Ocak taşı ile moloz taş kemer inşaatı (Kalıp hariç)</v>
          </cell>
          <cell r="C430" t="str">
            <v>M3</v>
          </cell>
          <cell r="E430">
            <v>19308060</v>
          </cell>
          <cell r="F430">
            <v>26041983</v>
          </cell>
          <cell r="G430">
            <v>40266722</v>
          </cell>
          <cell r="H430">
            <v>57036017</v>
          </cell>
        </row>
        <row r="431">
          <cell r="A431" t="str">
            <v>17.025/K</v>
          </cell>
          <cell r="B431" t="str">
            <v>Kazı taşı ile moloz taş kemer inşaatı (Kalıp hariç)</v>
          </cell>
          <cell r="C431" t="str">
            <v>M3</v>
          </cell>
          <cell r="E431">
            <v>17235018</v>
          </cell>
          <cell r="F431">
            <v>23298350</v>
          </cell>
          <cell r="G431">
            <v>35568820</v>
          </cell>
          <cell r="H431">
            <v>50577940</v>
          </cell>
        </row>
        <row r="432">
          <cell r="A432" t="str">
            <v>17.031/K</v>
          </cell>
          <cell r="B432" t="str">
            <v>Ocak taşı ile çaplanmış moloz taş inşaat</v>
          </cell>
          <cell r="C432" t="str">
            <v>M3</v>
          </cell>
          <cell r="E432">
            <v>23181250</v>
          </cell>
          <cell r="F432">
            <v>31262190</v>
          </cell>
          <cell r="G432">
            <v>48368600</v>
          </cell>
          <cell r="H432">
            <v>68501528</v>
          </cell>
        </row>
        <row r="433">
          <cell r="A433" t="str">
            <v>17.036/K</v>
          </cell>
          <cell r="B433" t="str">
            <v>Kazı taşı ile çaplanmış moloz taş inşaat</v>
          </cell>
          <cell r="C433" t="str">
            <v>M3</v>
          </cell>
          <cell r="E433">
            <v>20695048</v>
          </cell>
          <cell r="F433">
            <v>27965792</v>
          </cell>
          <cell r="G433">
            <v>42718103</v>
          </cell>
          <cell r="H433">
            <v>60720708</v>
          </cell>
        </row>
        <row r="434">
          <cell r="A434" t="str">
            <v>17.041/K</v>
          </cell>
          <cell r="B434" t="str">
            <v>Ocak taşı ile çaplanmış moloz taş kemer inşaatı (Kalıp hariç)</v>
          </cell>
          <cell r="C434" t="str">
            <v>M3</v>
          </cell>
          <cell r="E434">
            <v>33589203</v>
          </cell>
          <cell r="F434">
            <v>45309523</v>
          </cell>
          <cell r="G434">
            <v>69942677</v>
          </cell>
          <cell r="H434">
            <v>99114090</v>
          </cell>
        </row>
        <row r="435">
          <cell r="A435" t="str">
            <v>17.046/K</v>
          </cell>
          <cell r="B435" t="str">
            <v>Kazı taşı ile çaplanmış moloz taş kemer inşaatı (Kalıp hariç)</v>
          </cell>
          <cell r="C435" t="str">
            <v>M3</v>
          </cell>
          <cell r="E435">
            <v>30203267</v>
          </cell>
          <cell r="F435">
            <v>40804356</v>
          </cell>
          <cell r="G435">
            <v>62353380</v>
          </cell>
          <cell r="H435">
            <v>88607701</v>
          </cell>
        </row>
        <row r="436">
          <cell r="A436" t="str">
            <v>17.051/K</v>
          </cell>
          <cell r="B436" t="str">
            <v>Ocak taşı ile kaba yonu taş inşaat</v>
          </cell>
          <cell r="C436" t="str">
            <v>M3</v>
          </cell>
          <cell r="E436">
            <v>43827968</v>
          </cell>
          <cell r="F436">
            <v>59106501</v>
          </cell>
          <cell r="G436">
            <v>91371797</v>
          </cell>
          <cell r="H436">
            <v>129428753</v>
          </cell>
        </row>
        <row r="437">
          <cell r="A437" t="str">
            <v>17.056/K</v>
          </cell>
          <cell r="B437" t="str">
            <v>Ocak taşı ile özel kaba yonu taş inşaat</v>
          </cell>
          <cell r="C437" t="str">
            <v>M3</v>
          </cell>
          <cell r="E437">
            <v>56397093</v>
          </cell>
          <cell r="F437">
            <v>76071793</v>
          </cell>
          <cell r="G437">
            <v>117394992</v>
          </cell>
          <cell r="H437">
            <v>166361287</v>
          </cell>
        </row>
        <row r="438">
          <cell r="A438" t="str">
            <v>17.061/K</v>
          </cell>
          <cell r="B438" t="str">
            <v>Ocak taşı ile ince yonu taş inşaat</v>
          </cell>
          <cell r="C438" t="str">
            <v>M3</v>
          </cell>
          <cell r="E438">
            <v>61575641</v>
          </cell>
          <cell r="F438">
            <v>83063608</v>
          </cell>
          <cell r="G438">
            <v>128090220</v>
          </cell>
          <cell r="H438">
            <v>181550712</v>
          </cell>
        </row>
        <row r="439">
          <cell r="A439" t="str">
            <v>17.066/K</v>
          </cell>
          <cell r="B439" t="str">
            <v>Ocak taşı ile özel ince yonu taş inşaat</v>
          </cell>
          <cell r="C439" t="str">
            <v>M3</v>
          </cell>
          <cell r="E439">
            <v>79671563</v>
          </cell>
          <cell r="F439">
            <v>107496905</v>
          </cell>
          <cell r="G439">
            <v>165460075</v>
          </cell>
          <cell r="H439">
            <v>234624473</v>
          </cell>
        </row>
        <row r="440">
          <cell r="A440" t="str">
            <v>17.071/K</v>
          </cell>
          <cell r="B440" t="str">
            <v>Ocak taşı ile kesme taş inşaat</v>
          </cell>
          <cell r="C440" t="str">
            <v>M3</v>
          </cell>
          <cell r="E440">
            <v>104227330</v>
          </cell>
          <cell r="F440">
            <v>140589548</v>
          </cell>
          <cell r="G440">
            <v>216453530</v>
          </cell>
          <cell r="H440">
            <v>306813247</v>
          </cell>
        </row>
        <row r="441">
          <cell r="A441" t="str">
            <v>17.081/K</v>
          </cell>
          <cell r="B441" t="str">
            <v>Ocak taşı ile istifsiz taş dolgu</v>
          </cell>
          <cell r="C441" t="str">
            <v>M3</v>
          </cell>
          <cell r="E441">
            <v>6218541</v>
          </cell>
          <cell r="F441">
            <v>8374253</v>
          </cell>
          <cell r="G441">
            <v>13129630</v>
          </cell>
          <cell r="H441">
            <v>18536176</v>
          </cell>
        </row>
        <row r="442">
          <cell r="A442" t="str">
            <v>17.081/K-1/A</v>
          </cell>
          <cell r="B442" t="str">
            <v>Dolgu altına ocak taşından makine ile istifsiz taş dolgu yapılması</v>
          </cell>
          <cell r="C442" t="str">
            <v>M3</v>
          </cell>
          <cell r="E442">
            <v>3463047</v>
          </cell>
          <cell r="F442">
            <v>4650502</v>
          </cell>
          <cell r="G442">
            <v>7456427</v>
          </cell>
          <cell r="H442">
            <v>10472116</v>
          </cell>
        </row>
        <row r="443">
          <cell r="A443" t="str">
            <v>17.082/K</v>
          </cell>
          <cell r="B443" t="str">
            <v>Kazı taşı ile istifsiz taş dolgu</v>
          </cell>
          <cell r="C443" t="str">
            <v>M3</v>
          </cell>
          <cell r="E443">
            <v>4727681</v>
          </cell>
          <cell r="F443">
            <v>6401126</v>
          </cell>
          <cell r="G443">
            <v>9751058</v>
          </cell>
          <cell r="H443">
            <v>13891747</v>
          </cell>
        </row>
        <row r="444">
          <cell r="A444" t="str">
            <v>17.082/K-1/A</v>
          </cell>
          <cell r="B444" t="str">
            <v>Dolgu altına kazı taşından makine ile istifsiz taş dolgu yapılması</v>
          </cell>
          <cell r="C444" t="str">
            <v>M3</v>
          </cell>
          <cell r="E444">
            <v>1972187</v>
          </cell>
          <cell r="F444">
            <v>2677375</v>
          </cell>
          <cell r="G444">
            <v>4077856</v>
          </cell>
          <cell r="H444">
            <v>5827687</v>
          </cell>
        </row>
        <row r="445">
          <cell r="A445" t="str">
            <v>17.084/K</v>
          </cell>
          <cell r="B445" t="str">
            <v>Ocak taşı ile istifli  taş dolgu</v>
          </cell>
          <cell r="C445" t="str">
            <v>M3</v>
          </cell>
          <cell r="E445">
            <v>7956225</v>
          </cell>
          <cell r="F445">
            <v>10718991</v>
          </cell>
          <cell r="G445">
            <v>16747592</v>
          </cell>
          <cell r="H445">
            <v>23663106</v>
          </cell>
        </row>
        <row r="446">
          <cell r="A446" t="str">
            <v>17.085/K</v>
          </cell>
          <cell r="B446" t="str">
            <v>Kazı taşı ile istifli  taş dolgu</v>
          </cell>
          <cell r="C446" t="str">
            <v>M3</v>
          </cell>
          <cell r="E446">
            <v>6316278</v>
          </cell>
          <cell r="F446">
            <v>8548551</v>
          </cell>
          <cell r="G446">
            <v>13031163</v>
          </cell>
          <cell r="H446">
            <v>18554233</v>
          </cell>
        </row>
        <row r="447">
          <cell r="A447" t="str">
            <v>17.101/K</v>
          </cell>
          <cell r="B447" t="str">
            <v>20 cm. kalınlıkta ocak taşı ile kuru pere</v>
          </cell>
          <cell r="C447" t="str">
            <v>M2</v>
          </cell>
          <cell r="E447">
            <v>3886210</v>
          </cell>
          <cell r="F447">
            <v>5242468</v>
          </cell>
          <cell r="G447">
            <v>8097720</v>
          </cell>
          <cell r="H447">
            <v>11472950</v>
          </cell>
        </row>
        <row r="448">
          <cell r="A448" t="str">
            <v>17.102/K</v>
          </cell>
          <cell r="B448" t="str">
            <v>20 cm. kalınlıkta kazı taşı ile kuru pere</v>
          </cell>
          <cell r="C448" t="str">
            <v>M2</v>
          </cell>
          <cell r="E448">
            <v>3513495</v>
          </cell>
          <cell r="F448">
            <v>4749187</v>
          </cell>
          <cell r="G448">
            <v>7253076</v>
          </cell>
          <cell r="H448">
            <v>10311842</v>
          </cell>
        </row>
        <row r="449">
          <cell r="A449" t="str">
            <v>17.103/K</v>
          </cell>
          <cell r="B449" t="str">
            <v>30 cm. kalınlıkta ocak taşı ile kuru pere</v>
          </cell>
          <cell r="C449" t="str">
            <v>M2</v>
          </cell>
          <cell r="E449">
            <v>4912293</v>
          </cell>
          <cell r="F449">
            <v>6625957</v>
          </cell>
          <cell r="G449">
            <v>10245682</v>
          </cell>
          <cell r="H449">
            <v>14512380</v>
          </cell>
        </row>
        <row r="450">
          <cell r="A450" t="str">
            <v>17.104/K</v>
          </cell>
          <cell r="B450" t="str">
            <v>30 cm. kalınlıkta kazı taşı ile kuru pere</v>
          </cell>
          <cell r="C450" t="str">
            <v>M2</v>
          </cell>
          <cell r="E450">
            <v>4390492</v>
          </cell>
          <cell r="F450">
            <v>5935362</v>
          </cell>
          <cell r="G450">
            <v>9063182</v>
          </cell>
          <cell r="H450">
            <v>12886830</v>
          </cell>
        </row>
        <row r="451">
          <cell r="A451" t="str">
            <v>17.105/K</v>
          </cell>
          <cell r="B451" t="str">
            <v>40 cm. kalınlıkta ocak taşı ile kuru pere</v>
          </cell>
          <cell r="C451" t="str">
            <v>M2</v>
          </cell>
          <cell r="E451">
            <v>6940720</v>
          </cell>
          <cell r="F451">
            <v>9361813</v>
          </cell>
          <cell r="G451">
            <v>14477940</v>
          </cell>
          <cell r="H451">
            <v>20506525</v>
          </cell>
        </row>
        <row r="452">
          <cell r="A452" t="str">
            <v>17.106/K</v>
          </cell>
          <cell r="B452" t="str">
            <v>40 cm. kalınlıkta kazı taşı ile kuru pere</v>
          </cell>
          <cell r="C452" t="str">
            <v>M2</v>
          </cell>
          <cell r="E452">
            <v>6195290</v>
          </cell>
          <cell r="F452">
            <v>8375250</v>
          </cell>
          <cell r="G452">
            <v>12788653</v>
          </cell>
          <cell r="H452">
            <v>18184311</v>
          </cell>
        </row>
        <row r="453">
          <cell r="A453" t="str">
            <v>17.107/K</v>
          </cell>
          <cell r="B453" t="str">
            <v>20 cm. kalınlıkta ocak taşı ile harçlı pere</v>
          </cell>
          <cell r="C453" t="str">
            <v>M2</v>
          </cell>
          <cell r="E453">
            <v>4724840</v>
          </cell>
          <cell r="F453">
            <v>6375372</v>
          </cell>
          <cell r="G453">
            <v>9828438</v>
          </cell>
          <cell r="H453">
            <v>13931318</v>
          </cell>
        </row>
        <row r="454">
          <cell r="A454" t="str">
            <v>17.111/K</v>
          </cell>
          <cell r="B454" t="str">
            <v>20 cm. kalınlıkta kazı taşı ile harçlı pere</v>
          </cell>
          <cell r="C454" t="str">
            <v>M2</v>
          </cell>
          <cell r="E454">
            <v>4352125</v>
          </cell>
          <cell r="F454">
            <v>5882091</v>
          </cell>
          <cell r="G454">
            <v>8983795</v>
          </cell>
          <cell r="H454">
            <v>12770211</v>
          </cell>
        </row>
        <row r="455">
          <cell r="A455" t="str">
            <v>17.116/K</v>
          </cell>
          <cell r="B455" t="str">
            <v>30 cm. kalınlıkta ocak taşı ile harçlı pere</v>
          </cell>
          <cell r="C455" t="str">
            <v>M2</v>
          </cell>
          <cell r="E455">
            <v>6066958</v>
          </cell>
          <cell r="F455">
            <v>8185838</v>
          </cell>
          <cell r="G455">
            <v>12628296</v>
          </cell>
          <cell r="H455">
            <v>17896743</v>
          </cell>
        </row>
        <row r="456">
          <cell r="A456" t="str">
            <v>17.121/K</v>
          </cell>
          <cell r="B456" t="str">
            <v>30 cm. kalınlıkta kazı taşı ile harçlı pere</v>
          </cell>
          <cell r="C456" t="str">
            <v>M2</v>
          </cell>
          <cell r="E456">
            <v>5545157</v>
          </cell>
          <cell r="F456">
            <v>7495243</v>
          </cell>
          <cell r="G456">
            <v>11445796</v>
          </cell>
          <cell r="H456">
            <v>16271193</v>
          </cell>
        </row>
        <row r="457">
          <cell r="A457" t="str">
            <v>17.126/K</v>
          </cell>
          <cell r="B457" t="str">
            <v>40 cm. kalınlıkta ocak taşı ile harçlı pere</v>
          </cell>
          <cell r="C457" t="str">
            <v>M2</v>
          </cell>
          <cell r="E457">
            <v>8360141</v>
          </cell>
          <cell r="F457">
            <v>11279371</v>
          </cell>
          <cell r="G457">
            <v>17407002</v>
          </cell>
          <cell r="H457">
            <v>24667012</v>
          </cell>
        </row>
        <row r="458">
          <cell r="A458" t="str">
            <v>17.131/K</v>
          </cell>
          <cell r="B458" t="str">
            <v>40 cm. kalınlıkta kazı taşı ile harçlı pere</v>
          </cell>
          <cell r="C458" t="str">
            <v>M2</v>
          </cell>
          <cell r="E458">
            <v>7614711</v>
          </cell>
          <cell r="F458">
            <v>10292807</v>
          </cell>
          <cell r="G458">
            <v>15717716</v>
          </cell>
          <cell r="H458">
            <v>22344798</v>
          </cell>
        </row>
        <row r="459">
          <cell r="A459" t="str">
            <v>17.136/K</v>
          </cell>
          <cell r="B459" t="str">
            <v>Ocak taşı ile blokaj</v>
          </cell>
          <cell r="C459" t="str">
            <v>M3</v>
          </cell>
          <cell r="E459">
            <v>8396925</v>
          </cell>
          <cell r="F459">
            <v>11313366</v>
          </cell>
          <cell r="G459">
            <v>17656967</v>
          </cell>
          <cell r="H459">
            <v>24954981</v>
          </cell>
        </row>
        <row r="460">
          <cell r="A460" t="str">
            <v>17.137/K</v>
          </cell>
          <cell r="B460" t="str">
            <v>Kazı taşı ile blokaj</v>
          </cell>
          <cell r="C460" t="str">
            <v>M3</v>
          </cell>
          <cell r="E460">
            <v>6756978</v>
          </cell>
          <cell r="F460">
            <v>9142926</v>
          </cell>
          <cell r="G460">
            <v>13940538</v>
          </cell>
          <cell r="H460">
            <v>19846108</v>
          </cell>
        </row>
        <row r="461">
          <cell r="A461" t="str">
            <v>17.139/K</v>
          </cell>
          <cell r="B461" t="str">
            <v>Ocak taşı ile kaldırım döşeme</v>
          </cell>
          <cell r="C461" t="str">
            <v>M2</v>
          </cell>
          <cell r="E461">
            <v>3356150</v>
          </cell>
          <cell r="F461">
            <v>4527433</v>
          </cell>
          <cell r="G461">
            <v>6995835</v>
          </cell>
          <cell r="H461">
            <v>9910065</v>
          </cell>
        </row>
        <row r="462">
          <cell r="A462" t="str">
            <v>17.141/K-1</v>
          </cell>
          <cell r="B462" t="str">
            <v>Doğal büyük parke taşı ile döşeme kaplaması yapılması (Yol, meydan, park ve benzeri yerlerde)</v>
          </cell>
          <cell r="C462" t="str">
            <v>M2</v>
          </cell>
          <cell r="E462">
            <v>9475876</v>
          </cell>
          <cell r="F462">
            <v>13218610</v>
          </cell>
          <cell r="G462">
            <v>19946950</v>
          </cell>
          <cell r="H462">
            <v>28757293</v>
          </cell>
        </row>
        <row r="463">
          <cell r="A463" t="str">
            <v>17.143/K-1</v>
          </cell>
          <cell r="B463" t="str">
            <v>Doğal mozaik parke taşı ile döşeme kaplaması yapılması (Yol, meydan, park ve benzeri yerlerde)</v>
          </cell>
          <cell r="C463" t="str">
            <v>M2</v>
          </cell>
          <cell r="E463">
            <v>14609126</v>
          </cell>
          <cell r="F463">
            <v>20447797</v>
          </cell>
          <cell r="G463">
            <v>30832512</v>
          </cell>
          <cell r="H463">
            <v>44552168</v>
          </cell>
        </row>
        <row r="464">
          <cell r="A464" t="str">
            <v>17.144/K</v>
          </cell>
          <cell r="B464" t="str">
            <v>Doğal küçük parke taşı ile döşeme kaplaması yapılması (Yol, meydan, park ve benzeri yerlerde)</v>
          </cell>
          <cell r="C464" t="str">
            <v>M2</v>
          </cell>
          <cell r="E464">
            <v>11127526</v>
          </cell>
          <cell r="F464">
            <v>15706547</v>
          </cell>
          <cell r="G464">
            <v>24016575</v>
          </cell>
          <cell r="H464">
            <v>34667481</v>
          </cell>
        </row>
        <row r="465">
          <cell r="A465" t="str">
            <v>18.181</v>
          </cell>
          <cell r="B465" t="str">
            <v>Patlayıcı madde kullanmadan harçsız kagir inşaatın yıkılması</v>
          </cell>
          <cell r="C465" t="str">
            <v>M3</v>
          </cell>
          <cell r="E465">
            <v>2303000</v>
          </cell>
          <cell r="F465">
            <v>3110625</v>
          </cell>
          <cell r="G465">
            <v>4755625</v>
          </cell>
          <cell r="H465">
            <v>6755000</v>
          </cell>
        </row>
        <row r="466">
          <cell r="A466" t="str">
            <v>18.182</v>
          </cell>
          <cell r="B466" t="str">
            <v>Patlayıcı madde kullanmadan kireç ve melez harçlı kagir inşaatın yıkılması</v>
          </cell>
          <cell r="C466" t="str">
            <v>M3</v>
          </cell>
          <cell r="E466">
            <v>3290000</v>
          </cell>
          <cell r="F466">
            <v>4443750</v>
          </cell>
          <cell r="G466">
            <v>6793750</v>
          </cell>
          <cell r="H466">
            <v>9650000</v>
          </cell>
        </row>
        <row r="467">
          <cell r="A467" t="str">
            <v>18.183</v>
          </cell>
          <cell r="B467" t="str">
            <v>Patlayıcı madde kullanmadan çimento harçlı kagir ve horasan inşaatın yıkılması</v>
          </cell>
          <cell r="C467" t="str">
            <v>M3</v>
          </cell>
          <cell r="E467">
            <v>4935000</v>
          </cell>
          <cell r="F467">
            <v>6665625</v>
          </cell>
          <cell r="G467">
            <v>10190625</v>
          </cell>
          <cell r="H467">
            <v>14475000</v>
          </cell>
        </row>
        <row r="468">
          <cell r="A468" t="str">
            <v>18.184</v>
          </cell>
          <cell r="B468" t="str">
            <v>Her türlü yıkımdan çıkan taş ve tuğlanın ayrılması</v>
          </cell>
          <cell r="C468" t="str">
            <v>M3</v>
          </cell>
          <cell r="E468">
            <v>1974000</v>
          </cell>
          <cell r="F468">
            <v>2666250</v>
          </cell>
          <cell r="G468">
            <v>4076250</v>
          </cell>
          <cell r="H468">
            <v>5790000</v>
          </cell>
        </row>
        <row r="469">
          <cell r="A469" t="str">
            <v>18.185</v>
          </cell>
          <cell r="B469" t="str">
            <v>Patlayıcı madde kullanmadan demirli ve demirsiz beton inşaatın yıkılması</v>
          </cell>
          <cell r="C469" t="str">
            <v>M3</v>
          </cell>
          <cell r="E469">
            <v>10199000</v>
          </cell>
          <cell r="F469">
            <v>13775625</v>
          </cell>
          <cell r="G469">
            <v>21060625</v>
          </cell>
          <cell r="H469">
            <v>29915000</v>
          </cell>
        </row>
        <row r="470">
          <cell r="A470" t="str">
            <v>18.186</v>
          </cell>
          <cell r="B470" t="str">
            <v>Demirli beton inşaatın yıkılmasından çıkan demirlerin ayrılması</v>
          </cell>
          <cell r="C470" t="str">
            <v>KG</v>
          </cell>
          <cell r="E470">
            <v>32900</v>
          </cell>
          <cell r="F470">
            <v>44437</v>
          </cell>
          <cell r="G470">
            <v>67937</v>
          </cell>
          <cell r="H470">
            <v>96500</v>
          </cell>
        </row>
        <row r="471">
          <cell r="A471" t="str">
            <v>18.187</v>
          </cell>
          <cell r="B471" t="str">
            <v>Patlayıcı madde kullanılarak her cins harçlı kagir ve horasan inşaatın yıkılması</v>
          </cell>
          <cell r="C471" t="str">
            <v>M3</v>
          </cell>
          <cell r="E471">
            <v>4316075</v>
          </cell>
          <cell r="F471">
            <v>5823375</v>
          </cell>
          <cell r="G471">
            <v>9029500</v>
          </cell>
          <cell r="H471">
            <v>12789000</v>
          </cell>
        </row>
        <row r="472">
          <cell r="A472" t="str">
            <v>18.188</v>
          </cell>
          <cell r="B472" t="str">
            <v>Patlayıcı madde kullanılarak demirli ve demirsiz beton inşaatın yıkılması</v>
          </cell>
          <cell r="C472" t="str">
            <v>M3</v>
          </cell>
          <cell r="E472">
            <v>6554800</v>
          </cell>
          <cell r="F472">
            <v>8842500</v>
          </cell>
          <cell r="G472">
            <v>13705625</v>
          </cell>
          <cell r="H472">
            <v>19408125</v>
          </cell>
        </row>
        <row r="473">
          <cell r="A473" t="str">
            <v>18.189</v>
          </cell>
          <cell r="B473" t="str">
            <v>Parke, beton plak, adi kaldırım ve blokaj sökülmesi</v>
          </cell>
          <cell r="C473" t="str">
            <v>M2</v>
          </cell>
          <cell r="E473">
            <v>658000</v>
          </cell>
          <cell r="F473">
            <v>888750</v>
          </cell>
          <cell r="G473">
            <v>1358750</v>
          </cell>
          <cell r="H473">
            <v>1930000</v>
          </cell>
        </row>
        <row r="474">
          <cell r="A474" t="str">
            <v>18.190</v>
          </cell>
          <cell r="B474" t="str">
            <v>Kırmataş, şose ve asfalt sökülmesi</v>
          </cell>
          <cell r="C474" t="str">
            <v>M3</v>
          </cell>
          <cell r="E474">
            <v>3619000</v>
          </cell>
          <cell r="F474">
            <v>4888125</v>
          </cell>
          <cell r="G474">
            <v>7473125</v>
          </cell>
          <cell r="H474">
            <v>10615000</v>
          </cell>
        </row>
        <row r="475">
          <cell r="A475" t="str">
            <v>18.191</v>
          </cell>
          <cell r="B475" t="str">
            <v>Bordür sökülmesi</v>
          </cell>
          <cell r="C475" t="str">
            <v>MT</v>
          </cell>
          <cell r="E475">
            <v>164500</v>
          </cell>
          <cell r="F475">
            <v>222187</v>
          </cell>
          <cell r="G475">
            <v>339687</v>
          </cell>
          <cell r="H475">
            <v>482500</v>
          </cell>
        </row>
        <row r="476">
          <cell r="A476" t="str">
            <v>18.401/K</v>
          </cell>
          <cell r="B476" t="str">
            <v>Ø 10 cm. iç çapında 400 dozlu beton büz döşenmesi (Mecra veya kanalizasyon için) (Cidar kalınlığı 2,5 cm.)</v>
          </cell>
          <cell r="C476" t="str">
            <v>MT</v>
          </cell>
          <cell r="E476">
            <v>1502867</v>
          </cell>
          <cell r="F476">
            <v>2029373</v>
          </cell>
          <cell r="G476">
            <v>3105603</v>
          </cell>
          <cell r="H476">
            <v>4410333</v>
          </cell>
        </row>
        <row r="477">
          <cell r="A477" t="str">
            <v>18.405/K</v>
          </cell>
          <cell r="B477" t="str">
            <v>Ø 15 cm. iç çapında 400 dozlu beton büz döşenmesi (Mecra veya kanalizasyon için) (Cidar kalınlığı 3 cm.)</v>
          </cell>
          <cell r="C477" t="str">
            <v>MT</v>
          </cell>
          <cell r="E477">
            <v>1790005</v>
          </cell>
          <cell r="F477">
            <v>2417198</v>
          </cell>
          <cell r="G477">
            <v>3698387</v>
          </cell>
          <cell r="H477">
            <v>5252326</v>
          </cell>
        </row>
        <row r="478">
          <cell r="A478" t="str">
            <v>18.409/K</v>
          </cell>
          <cell r="B478" t="str">
            <v>Ø 20 cm. iç çapında 400 dozlu beton büz döşenmesi (Mecra veya kanalizasyon için) (Cidar kalınlığı 3,5 cm.)</v>
          </cell>
          <cell r="C478" t="str">
            <v>MT</v>
          </cell>
          <cell r="D478">
            <v>15524</v>
          </cell>
          <cell r="E478">
            <v>2073932</v>
          </cell>
          <cell r="F478">
            <v>2800603</v>
          </cell>
          <cell r="G478">
            <v>4285091</v>
          </cell>
          <cell r="H478">
            <v>6085493</v>
          </cell>
        </row>
        <row r="479">
          <cell r="A479" t="str">
            <v>18.413/K</v>
          </cell>
          <cell r="B479" t="str">
            <v>Ø 25 cm. iç çapında 400 dozlu beton büz döşenmesi (Mecra veya kanalizasyon için) (Cidar kalınlığı 4 cm.)</v>
          </cell>
          <cell r="C479" t="str">
            <v>MT</v>
          </cell>
          <cell r="E479">
            <v>2366050</v>
          </cell>
          <cell r="F479">
            <v>3195038</v>
          </cell>
          <cell r="G479">
            <v>4888896</v>
          </cell>
          <cell r="H479">
            <v>6942871</v>
          </cell>
        </row>
        <row r="480">
          <cell r="A480" t="str">
            <v>18.417/K</v>
          </cell>
          <cell r="B480" t="str">
            <v>Ø 30 cm. iç çapında 400 dozlu beton büz döşenmesi (Mecra veya kanalizasyon için) (Cidar kalınlığı 4,5 cm.)</v>
          </cell>
          <cell r="C480" t="str">
            <v>MT</v>
          </cell>
          <cell r="E480">
            <v>2960158</v>
          </cell>
          <cell r="F480">
            <v>3997383</v>
          </cell>
          <cell r="G480">
            <v>6116272</v>
          </cell>
          <cell r="H480">
            <v>8685987</v>
          </cell>
        </row>
        <row r="481">
          <cell r="A481" t="str">
            <v>18.421/K</v>
          </cell>
          <cell r="B481" t="str">
            <v>Ø 35 cm. iç çapında 400 dozlu beton büz döşenmesi (Mecra veya kanalizasyon için) (Cidar kalınlığı 5 cm.)</v>
          </cell>
          <cell r="C481" t="str">
            <v>MT</v>
          </cell>
          <cell r="E481">
            <v>3441032</v>
          </cell>
          <cell r="F481">
            <v>4646772</v>
          </cell>
          <cell r="G481">
            <v>7109806</v>
          </cell>
          <cell r="H481">
            <v>10096955</v>
          </cell>
        </row>
        <row r="482">
          <cell r="A482" t="str">
            <v>18.425/K</v>
          </cell>
          <cell r="B482" t="str">
            <v>Ø 40 cm. iç çapında 400 dozlu beton büz döşenmesi (Mecra veya kanalizasyon için) (Cidar kalınlığı 5,5 cm.)</v>
          </cell>
          <cell r="C482" t="str">
            <v>MT</v>
          </cell>
          <cell r="E482">
            <v>3914592</v>
          </cell>
          <cell r="F482">
            <v>5286272</v>
          </cell>
          <cell r="G482">
            <v>8088168</v>
          </cell>
          <cell r="H482">
            <v>11486355</v>
          </cell>
        </row>
        <row r="483">
          <cell r="A483" t="str">
            <v>18.429/K</v>
          </cell>
          <cell r="B483" t="str">
            <v>Ø 50 cm. iç çapında 400 dozlu beton büz döşenmesi (Mecra veya kanalizasyon için) (Cidar kalınlığı 6,5 cm.)</v>
          </cell>
          <cell r="C483" t="str">
            <v>MT</v>
          </cell>
          <cell r="E483">
            <v>4890281</v>
          </cell>
          <cell r="F483">
            <v>6604037</v>
          </cell>
          <cell r="G483">
            <v>10102873</v>
          </cell>
          <cell r="H483">
            <v>14347840</v>
          </cell>
        </row>
        <row r="484">
          <cell r="A484" t="str">
            <v>18.433/K</v>
          </cell>
          <cell r="B484" t="str">
            <v>Ø 60 cm. iç çapında 400 dozlu beton büz döşenmesi (Mecra veya kanalizasyon için) (Cidar kalınlığı 7,5 cm.)</v>
          </cell>
          <cell r="C484" t="str">
            <v>MT</v>
          </cell>
          <cell r="E484">
            <v>6276943</v>
          </cell>
          <cell r="F484">
            <v>8476922</v>
          </cell>
          <cell r="G484">
            <v>12966086</v>
          </cell>
          <cell r="H484">
            <v>18414576</v>
          </cell>
        </row>
        <row r="485">
          <cell r="A485" t="str">
            <v>18.437/K</v>
          </cell>
          <cell r="B485" t="str">
            <v>Ø 80 cm. iç çapında 400 dozlu beton büz döşenmesi (Mecra veya kanalizasyon için) (Cidar kalınlığı 9,5 cm.)</v>
          </cell>
          <cell r="C485" t="str">
            <v>MT</v>
          </cell>
          <cell r="E485">
            <v>9665241</v>
          </cell>
          <cell r="F485">
            <v>13053352</v>
          </cell>
          <cell r="G485">
            <v>19962186</v>
          </cell>
          <cell r="H485">
            <v>28351555</v>
          </cell>
        </row>
        <row r="486">
          <cell r="A486" t="str">
            <v>18.441/K</v>
          </cell>
          <cell r="B486" t="str">
            <v>Ø 60 cm. iç çapında 400 dozlu özel beton büz döşenmesi (Menfez için) (Cidar kalınlığı 9 cm.)</v>
          </cell>
          <cell r="C486" t="str">
            <v>MT</v>
          </cell>
          <cell r="E486">
            <v>7696677</v>
          </cell>
          <cell r="F486">
            <v>10394317</v>
          </cell>
          <cell r="G486">
            <v>15898426</v>
          </cell>
          <cell r="H486">
            <v>22579226</v>
          </cell>
        </row>
        <row r="487">
          <cell r="A487" t="str">
            <v>18.445/K</v>
          </cell>
          <cell r="B487" t="str">
            <v>Ø 80 cm. iç çapında 400 dozlu özel beton büz döşenmesi (Menfez için) (Cidar kalınlığı 11 cm.)</v>
          </cell>
          <cell r="C487" t="str">
            <v>MT</v>
          </cell>
          <cell r="E487">
            <v>11211152</v>
          </cell>
          <cell r="F487">
            <v>15141231</v>
          </cell>
          <cell r="G487">
            <v>23154676</v>
          </cell>
          <cell r="H487">
            <v>32885740</v>
          </cell>
        </row>
        <row r="488">
          <cell r="A488" t="str">
            <v>18.449/K</v>
          </cell>
          <cell r="B488" t="str">
            <v>Ø 120 cm. iç çapında 400 dozlu özel beton büz döşenmesi (Menfez için)(Cidar kalınlığı 15 cm.)</v>
          </cell>
          <cell r="C488" t="str">
            <v>MT</v>
          </cell>
          <cell r="E488">
            <v>20759593</v>
          </cell>
          <cell r="F488">
            <v>28037997</v>
          </cell>
          <cell r="G488">
            <v>42867852</v>
          </cell>
          <cell r="H488">
            <v>60885830</v>
          </cell>
        </row>
        <row r="489">
          <cell r="A489" t="str">
            <v>18.450/K</v>
          </cell>
          <cell r="B489" t="str">
            <v>Ø 10 cm. iç çapında 400 dozlu beton büz döşenmesi (Drenaj için) (Cidar kalınlığı 2,5 cm.)</v>
          </cell>
          <cell r="C489" t="str">
            <v>MT</v>
          </cell>
          <cell r="E489">
            <v>1322842</v>
          </cell>
          <cell r="F489">
            <v>1785286</v>
          </cell>
          <cell r="G489">
            <v>2733605</v>
          </cell>
          <cell r="H489">
            <v>3881563</v>
          </cell>
        </row>
        <row r="490">
          <cell r="A490" t="str">
            <v>18.451/K</v>
          </cell>
          <cell r="B490" t="str">
            <v>Ø 15 cm. iç çapında 400 dozlu beton büz döşenmesi (Drenaj için) (Cidar kalınlığı 3 cm.)</v>
          </cell>
          <cell r="C490" t="str">
            <v>MT</v>
          </cell>
          <cell r="E490">
            <v>1605418</v>
          </cell>
          <cell r="F490">
            <v>2166622</v>
          </cell>
          <cell r="G490">
            <v>3316888</v>
          </cell>
          <cell r="H490">
            <v>4709923</v>
          </cell>
        </row>
        <row r="491">
          <cell r="A491" t="str">
            <v>18.452/K</v>
          </cell>
          <cell r="B491" t="str">
            <v>Ø 20 cm. iç çapında 400 dozlu beton büz döşenmesi (Drenaj için) (Cidar kalınlığı 3,5 cm.)</v>
          </cell>
          <cell r="C491" t="str">
            <v>MT</v>
          </cell>
          <cell r="E491">
            <v>1802602</v>
          </cell>
          <cell r="F491">
            <v>2432452</v>
          </cell>
          <cell r="G491">
            <v>3724355</v>
          </cell>
          <cell r="H491">
            <v>5288333</v>
          </cell>
        </row>
        <row r="492">
          <cell r="A492" t="str">
            <v>18.453/K</v>
          </cell>
          <cell r="B492" t="str">
            <v>Ø 25 cm. iç çapında 400 dozlu beton büz döşenmesi (Drenaj için) (Cidar kalınlığı 4 cm.)</v>
          </cell>
          <cell r="C492" t="str">
            <v>MT</v>
          </cell>
          <cell r="E492">
            <v>2090157</v>
          </cell>
          <cell r="F492">
            <v>2820400</v>
          </cell>
          <cell r="G492">
            <v>4318660</v>
          </cell>
          <cell r="H492">
            <v>6132080</v>
          </cell>
        </row>
        <row r="493">
          <cell r="A493" t="str">
            <v>18.454/K</v>
          </cell>
          <cell r="B493" t="str">
            <v>Ø 30 cm. iç çapında 400 dozlu beton büz döşenmesi (Drenaj için) (Cidar kalınlığı 4,5 cm.)</v>
          </cell>
          <cell r="C493" t="str">
            <v>MT</v>
          </cell>
          <cell r="E493">
            <v>2680692</v>
          </cell>
          <cell r="F493">
            <v>3617482</v>
          </cell>
          <cell r="G493">
            <v>5538550</v>
          </cell>
          <cell r="H493">
            <v>7864376</v>
          </cell>
        </row>
        <row r="494">
          <cell r="A494" t="str">
            <v>18.455/K</v>
          </cell>
          <cell r="B494" t="str">
            <v>Ø 35 cm. iç çapında 400 dozlu beton büz döşenmesi (Drenaj için) (Cidar kalınlığı 5 cm.)</v>
          </cell>
          <cell r="C494" t="str">
            <v>MT</v>
          </cell>
          <cell r="E494">
            <v>3157003</v>
          </cell>
          <cell r="F494">
            <v>4260382</v>
          </cell>
          <cell r="G494">
            <v>6522583</v>
          </cell>
          <cell r="H494">
            <v>9261711</v>
          </cell>
        </row>
        <row r="495">
          <cell r="A495" t="str">
            <v>18.456/K</v>
          </cell>
          <cell r="B495" t="str">
            <v>Ø 40 cm. iç çapında 400 dozlu beton büz döşenmesi (Drenaj için) (Cidar kalınlığı 5,5 cm.)</v>
          </cell>
          <cell r="C495" t="str">
            <v>MT</v>
          </cell>
          <cell r="E495">
            <v>3626990</v>
          </cell>
          <cell r="F495">
            <v>4894620</v>
          </cell>
          <cell r="G495">
            <v>7493458</v>
          </cell>
          <cell r="H495">
            <v>10640292</v>
          </cell>
        </row>
        <row r="496">
          <cell r="A496" t="str">
            <v>18.457/K</v>
          </cell>
          <cell r="B496" t="str">
            <v>Ø 50 cm. iç çapında 400 dozlu beton büz döşenmesi (Drenaj için) (Cidar kalınlığı 6,5 cm.)</v>
          </cell>
          <cell r="C496" t="str">
            <v>MT</v>
          </cell>
          <cell r="E496">
            <v>4602067</v>
          </cell>
          <cell r="F496">
            <v>6210797</v>
          </cell>
          <cell r="G496">
            <v>9506713</v>
          </cell>
          <cell r="H496">
            <v>13499395</v>
          </cell>
        </row>
        <row r="497">
          <cell r="A497" t="str">
            <v>18.458/K</v>
          </cell>
          <cell r="B497" t="str">
            <v>Ø 60 cm. iç çapında 400 dozlu beton büz döşenmesi (Drenaj için) (Cidar kalınlığı 7,5 cm.)</v>
          </cell>
          <cell r="C497" t="str">
            <v>MT</v>
          </cell>
          <cell r="E497">
            <v>5988117</v>
          </cell>
          <cell r="F497">
            <v>8082093</v>
          </cell>
          <cell r="G497">
            <v>12368476</v>
          </cell>
          <cell r="H497">
            <v>17563748</v>
          </cell>
        </row>
        <row r="498">
          <cell r="A498" t="str">
            <v>18.459/K</v>
          </cell>
          <cell r="B498" t="str">
            <v>Ø 80 cm. iç çapında 400 dozlu beton büz döşenmesi (Drenaj için) (Cidar kalınlığı 9,5 cm.)</v>
          </cell>
          <cell r="C498" t="str">
            <v>MT</v>
          </cell>
          <cell r="E498">
            <v>9275986</v>
          </cell>
          <cell r="F498">
            <v>12521485</v>
          </cell>
          <cell r="G498">
            <v>19156840</v>
          </cell>
          <cell r="H498">
            <v>27205075</v>
          </cell>
        </row>
        <row r="499">
          <cell r="A499" t="str">
            <v>1901</v>
          </cell>
          <cell r="B499" t="str">
            <v>Lastik tekerlekli traktörün 1 saatlik ücreti (Takriben 45 HP gücünde)</v>
          </cell>
          <cell r="C499" t="str">
            <v>SA</v>
          </cell>
          <cell r="D499">
            <v>32082</v>
          </cell>
          <cell r="E499">
            <v>3712464</v>
          </cell>
          <cell r="F499">
            <v>4882636</v>
          </cell>
          <cell r="G499">
            <v>8634097</v>
          </cell>
          <cell r="H499">
            <v>12084312</v>
          </cell>
        </row>
        <row r="500">
          <cell r="A500" t="str">
            <v>1902</v>
          </cell>
          <cell r="B500" t="str">
            <v>Plentmiks karışım imaline mahsus agrega silosunun 1 saatlik ücreti (4 bölmeli, 100 ton/saat kapasiteli)</v>
          </cell>
          <cell r="C500" t="str">
            <v>SA</v>
          </cell>
          <cell r="D500">
            <v>20754</v>
          </cell>
          <cell r="E500">
            <v>2281966</v>
          </cell>
          <cell r="F500">
            <v>2987905</v>
          </cell>
          <cell r="G500">
            <v>5423928</v>
          </cell>
          <cell r="H500">
            <v>7519010</v>
          </cell>
        </row>
        <row r="501">
          <cell r="A501" t="str">
            <v>1902/1</v>
          </cell>
          <cell r="B501" t="str">
            <v>Plentmiks karışım imaline mahsus agrega silosunun 1 saatlik ücreti (4 bölmeli, 50 ton/saat kapasiteli)</v>
          </cell>
          <cell r="C501" t="str">
            <v>SA</v>
          </cell>
          <cell r="D501">
            <v>13247</v>
          </cell>
          <cell r="E501">
            <v>1490887</v>
          </cell>
          <cell r="F501">
            <v>1966540</v>
          </cell>
          <cell r="G501">
            <v>3440904</v>
          </cell>
          <cell r="H501">
            <v>4770680</v>
          </cell>
        </row>
        <row r="502">
          <cell r="A502" t="str">
            <v>1903</v>
          </cell>
          <cell r="B502" t="str">
            <v>Plentmiks karışım imaline mahsus küçük eleme tesisinin 1 saatlik ücreti(40 ton/saat kapasiteli)</v>
          </cell>
          <cell r="C502" t="str">
            <v>SA</v>
          </cell>
          <cell r="D502">
            <v>83047</v>
          </cell>
          <cell r="E502">
            <v>9707378</v>
          </cell>
          <cell r="F502">
            <v>12978480</v>
          </cell>
          <cell r="G502">
            <v>21169528</v>
          </cell>
          <cell r="H502">
            <v>29298160</v>
          </cell>
        </row>
        <row r="503">
          <cell r="A503" t="str">
            <v>1904</v>
          </cell>
          <cell r="B503" t="str">
            <v>Plentmiks karışım imaline mahsus büyük eleme tesisinin 1 saatlik ücreti(100 ton/saat kapasiteli)</v>
          </cell>
          <cell r="C503" t="str">
            <v>SA</v>
          </cell>
          <cell r="D503">
            <v>113748</v>
          </cell>
          <cell r="E503">
            <v>12857336</v>
          </cell>
          <cell r="F503">
            <v>17284115</v>
          </cell>
          <cell r="G503">
            <v>27507744</v>
          </cell>
          <cell r="H503">
            <v>37521430</v>
          </cell>
        </row>
        <row r="504">
          <cell r="A504" t="str">
            <v>1905</v>
          </cell>
          <cell r="B504" t="str">
            <v>Treyler distribütörün 1 saatlik ücreti (500 ABD galonluk)</v>
          </cell>
          <cell r="C504" t="str">
            <v>SA</v>
          </cell>
          <cell r="D504">
            <v>38943</v>
          </cell>
          <cell r="E504">
            <v>4460580</v>
          </cell>
          <cell r="F504">
            <v>5840825</v>
          </cell>
          <cell r="G504">
            <v>10554848</v>
          </cell>
          <cell r="H504">
            <v>14784690</v>
          </cell>
        </row>
        <row r="505">
          <cell r="A505" t="str">
            <v>1906</v>
          </cell>
          <cell r="B505" t="str">
            <v>Distribütörün 1 saatlik ücreti (1500 ABD galonluk, kamyona monte edilmiş)</v>
          </cell>
          <cell r="C505" t="str">
            <v>SA</v>
          </cell>
          <cell r="D505">
            <v>101133</v>
          </cell>
          <cell r="E505">
            <v>11539510</v>
          </cell>
          <cell r="F505">
            <v>15138592</v>
          </cell>
          <cell r="G505">
            <v>27124570</v>
          </cell>
          <cell r="H505">
            <v>37901184</v>
          </cell>
        </row>
        <row r="506">
          <cell r="A506" t="str">
            <v>1907</v>
          </cell>
          <cell r="B506" t="str">
            <v>Plentmiks soğuk karışımlar için küçük kurutma makinesinin 1 saatlik ücreti (Max.75 C) (Takriben 60-80 HP gücünde, 40 ton/saat kapasiteli)</v>
          </cell>
          <cell r="C506" t="str">
            <v>SA</v>
          </cell>
          <cell r="D506">
            <v>277757</v>
          </cell>
          <cell r="E506">
            <v>30898466</v>
          </cell>
          <cell r="F506">
            <v>39900380</v>
          </cell>
          <cell r="G506">
            <v>77014928</v>
          </cell>
          <cell r="H506">
            <v>108200760</v>
          </cell>
        </row>
        <row r="507">
          <cell r="A507" t="str">
            <v>1908</v>
          </cell>
          <cell r="B507" t="str">
            <v>Plentmiks sıcak karışımlar için küçük kurutma makinesinin 1 saatlik ücreti (Max.175 C) (Takriben 60-80 HP gücünde, 40 ton/saat kapasiteli)</v>
          </cell>
          <cell r="C507" t="str">
            <v>SA</v>
          </cell>
          <cell r="D507">
            <v>470057</v>
          </cell>
          <cell r="E507">
            <v>52138466</v>
          </cell>
          <cell r="F507">
            <v>67020380</v>
          </cell>
          <cell r="G507">
            <v>132034928</v>
          </cell>
          <cell r="H507">
            <v>185960760</v>
          </cell>
        </row>
        <row r="508">
          <cell r="A508" t="str">
            <v>1909</v>
          </cell>
          <cell r="B508" t="str">
            <v>Plentmiks soğuk karışımlar için büyük kurutma makinesinin 1 saatlik ücreti (Max. 75 C) (Takriben 100-120 HP gücünde, 100 ton/saat kapasiteli)</v>
          </cell>
          <cell r="C508" t="str">
            <v>SA</v>
          </cell>
          <cell r="D508">
            <v>577467</v>
          </cell>
          <cell r="E508">
            <v>63116479</v>
          </cell>
          <cell r="F508">
            <v>81296807</v>
          </cell>
          <cell r="G508">
            <v>158946914</v>
          </cell>
          <cell r="H508">
            <v>222745614</v>
          </cell>
        </row>
        <row r="509">
          <cell r="A509" t="str">
            <v>1910</v>
          </cell>
          <cell r="B509" t="str">
            <v>Plentmiks sıcak karışımlar için büyük kurutma makinesinin 1 saatlik ücreti (Max.175 C) (Takriben 100-120 HP gücünde, 100 ton/saat kapasiteli)</v>
          </cell>
          <cell r="C509" t="str">
            <v>SA</v>
          </cell>
          <cell r="D509">
            <v>1138342</v>
          </cell>
          <cell r="E509">
            <v>125066479</v>
          </cell>
          <cell r="F509">
            <v>160396807</v>
          </cell>
          <cell r="G509">
            <v>319421914</v>
          </cell>
          <cell r="H509">
            <v>449545614</v>
          </cell>
        </row>
        <row r="510">
          <cell r="A510" t="str">
            <v>1911</v>
          </cell>
          <cell r="B510" t="str">
            <v>Asfalt tankının 1 günlük ücreti (40 tonluk,ısıtma tertibatlı)</v>
          </cell>
          <cell r="C510" t="str">
            <v>GN</v>
          </cell>
          <cell r="D510">
            <v>17618</v>
          </cell>
          <cell r="E510">
            <v>1558972</v>
          </cell>
          <cell r="F510">
            <v>2105200</v>
          </cell>
          <cell r="G510">
            <v>3366800</v>
          </cell>
          <cell r="H510">
            <v>4208500</v>
          </cell>
        </row>
        <row r="511">
          <cell r="A511" t="str">
            <v>1911/1</v>
          </cell>
          <cell r="B511" t="str">
            <v>Su tankının 1 günlük ücreti (40 m3 hacminde)</v>
          </cell>
          <cell r="C511" t="str">
            <v>GN</v>
          </cell>
          <cell r="D511">
            <v>11326</v>
          </cell>
          <cell r="E511">
            <v>1001862</v>
          </cell>
          <cell r="F511">
            <v>1352800</v>
          </cell>
          <cell r="G511">
            <v>2164100</v>
          </cell>
          <cell r="H511">
            <v>2705600</v>
          </cell>
        </row>
        <row r="512">
          <cell r="A512" t="str">
            <v>1912</v>
          </cell>
          <cell r="B512" t="str">
            <v>Süpürge makinesinin 1 saatlik ücreti (9 feet'lik, motorsuz, çekilir tip, döner tamburlu)</v>
          </cell>
          <cell r="C512" t="str">
            <v>SA</v>
          </cell>
          <cell r="D512">
            <v>20225</v>
          </cell>
          <cell r="E512">
            <v>2614547</v>
          </cell>
          <cell r="F512">
            <v>3525532</v>
          </cell>
          <cell r="G512">
            <v>5450884</v>
          </cell>
          <cell r="H512">
            <v>7686504</v>
          </cell>
        </row>
        <row r="513">
          <cell r="A513" t="str">
            <v>1913</v>
          </cell>
          <cell r="B513" t="str">
            <v>Mıcır serici makinesinin 1 saatlik ücreti (12 feet'lik, motorsuz, çekilir tip, yayıcı merdaneli)</v>
          </cell>
          <cell r="C513" t="str">
            <v>SA</v>
          </cell>
          <cell r="D513">
            <v>52184</v>
          </cell>
          <cell r="E513">
            <v>6878623</v>
          </cell>
          <cell r="F513">
            <v>9288155</v>
          </cell>
          <cell r="G513">
            <v>14243756</v>
          </cell>
          <cell r="H513">
            <v>20162550</v>
          </cell>
        </row>
        <row r="514">
          <cell r="A514" t="str">
            <v>1914</v>
          </cell>
          <cell r="B514" t="str">
            <v>Rodmikser makinesinin 1 saatlik ücreti (Takriben 100 HP gücünde, 50 m3/saat kapasiteli)</v>
          </cell>
          <cell r="C514" t="str">
            <v>SA</v>
          </cell>
          <cell r="D514">
            <v>102771</v>
          </cell>
          <cell r="E514">
            <v>11579654</v>
          </cell>
          <cell r="F514">
            <v>15245669</v>
          </cell>
          <cell r="G514">
            <v>26898036</v>
          </cell>
          <cell r="H514">
            <v>37356295</v>
          </cell>
        </row>
        <row r="515">
          <cell r="A515" t="str">
            <v>1915</v>
          </cell>
          <cell r="B515" t="str">
            <v>Pulvomikser makinesinin 1 saatlik ücreti (Takriben 50 HP gücünde, 25 m3/saat kapasiteli, çekilir tip)</v>
          </cell>
          <cell r="C515" t="str">
            <v>SA</v>
          </cell>
          <cell r="D515">
            <v>46970</v>
          </cell>
          <cell r="E515">
            <v>5461546</v>
          </cell>
          <cell r="F515">
            <v>7166086</v>
          </cell>
          <cell r="G515">
            <v>12808249</v>
          </cell>
          <cell r="H515">
            <v>17979372</v>
          </cell>
        </row>
        <row r="516">
          <cell r="A516" t="str">
            <v>1916</v>
          </cell>
          <cell r="B516" t="str">
            <v>Plentmiks soğuk karışımlar için çekilir tip mikserin 1 saatlik ücreti (Max.75 C) (Takriben 22 HP gücünde, 5 ton/saat kapasiteli)</v>
          </cell>
          <cell r="C516" t="str">
            <v>SA</v>
          </cell>
          <cell r="E516">
            <v>8854500</v>
          </cell>
          <cell r="F516">
            <v>11514325</v>
          </cell>
          <cell r="G516">
            <v>21488848</v>
          </cell>
          <cell r="H516">
            <v>30249690</v>
          </cell>
        </row>
        <row r="517">
          <cell r="A517" t="str">
            <v>1917</v>
          </cell>
          <cell r="B517" t="str">
            <v>Plentmiks sıcak karışımlar için çekilir tip mikserin 1 saatlik ücreti (Max.175 C) (Takriben 22 HP gücünde, 5 ton/saat kapasiteli)</v>
          </cell>
          <cell r="C517" t="str">
            <v>SA</v>
          </cell>
          <cell r="E517">
            <v>15934500</v>
          </cell>
          <cell r="F517">
            <v>20554325</v>
          </cell>
          <cell r="G517">
            <v>39828848</v>
          </cell>
          <cell r="H517">
            <v>56169690</v>
          </cell>
        </row>
        <row r="518">
          <cell r="A518" t="str">
            <v>1918</v>
          </cell>
          <cell r="B518" t="str">
            <v>Plentmiks karışımlar için sıcak tip küçük mikserin 1 saatlik ücreti(Takriben 60-80 HP gücünde, 40 ton/saat kapasiteli)</v>
          </cell>
          <cell r="C518" t="str">
            <v>SA</v>
          </cell>
          <cell r="E518">
            <v>11397716</v>
          </cell>
          <cell r="F518">
            <v>15077943</v>
          </cell>
          <cell r="G518">
            <v>25895283</v>
          </cell>
          <cell r="H518">
            <v>36215643</v>
          </cell>
        </row>
        <row r="519">
          <cell r="A519" t="str">
            <v>1919</v>
          </cell>
          <cell r="B519" t="str">
            <v>Plentmiks karışımlar için sıcak tip büyük mikserin 1 saatlik ücreti (Takriben 110 HP gücünde, 100 ton/saat kapasiteli)</v>
          </cell>
          <cell r="C519" t="str">
            <v>SA</v>
          </cell>
          <cell r="D519">
            <v>144553</v>
          </cell>
          <cell r="E519">
            <v>15865009</v>
          </cell>
          <cell r="F519">
            <v>21083370</v>
          </cell>
          <cell r="G519">
            <v>35643512</v>
          </cell>
          <cell r="H519">
            <v>48750740</v>
          </cell>
        </row>
        <row r="520">
          <cell r="A520" t="str">
            <v>1921</v>
          </cell>
          <cell r="B520" t="str">
            <v>Plentmiks karışımlar için küçük finişerin 1 saatlik ücreti (Takriben 30-50 HP gücünde, 100 ton/saat kapasiteli)</v>
          </cell>
          <cell r="C520" t="str">
            <v>SA</v>
          </cell>
          <cell r="E520">
            <v>8357564</v>
          </cell>
          <cell r="F520">
            <v>11101919</v>
          </cell>
          <cell r="G520">
            <v>18727796</v>
          </cell>
          <cell r="H520">
            <v>25907595</v>
          </cell>
        </row>
        <row r="521">
          <cell r="A521" t="str">
            <v>1922</v>
          </cell>
          <cell r="B521" t="str">
            <v>Plentmiks karışımlar için büyük finişerin 1 saatlik ücreti (Takriben 80-100 HP gücünde, 200 ton/saat kapasiteli)</v>
          </cell>
          <cell r="C521" t="str">
            <v>SA</v>
          </cell>
          <cell r="D521">
            <v>116302</v>
          </cell>
          <cell r="E521">
            <v>12667146</v>
          </cell>
          <cell r="F521">
            <v>16738687</v>
          </cell>
          <cell r="G521">
            <v>29103322</v>
          </cell>
          <cell r="H521">
            <v>39925374</v>
          </cell>
        </row>
        <row r="522">
          <cell r="A522" t="str">
            <v>1922/1</v>
          </cell>
          <cell r="B522" t="str">
            <v>Plentmiks karışımlar için elektronik duyargalı finişerin 1 saatlik ücreti (Takriben 60-100 HP gücünde, 300 ton/saat kapasiteli ve 5-10 m3 hazneli)</v>
          </cell>
          <cell r="C522" t="str">
            <v>SA</v>
          </cell>
          <cell r="D522">
            <v>130529</v>
          </cell>
          <cell r="E522">
            <v>13924525</v>
          </cell>
          <cell r="F522">
            <v>18436042</v>
          </cell>
          <cell r="G522">
            <v>31819090</v>
          </cell>
          <cell r="H522">
            <v>43320084</v>
          </cell>
        </row>
        <row r="523">
          <cell r="A523" t="str">
            <v>1923</v>
          </cell>
          <cell r="B523" t="str">
            <v>Agrega serme makinesinin 1 saatlik ücreti (Takriben 23 HP gücünde, 25 m3/saat kapasiteli)</v>
          </cell>
          <cell r="C523" t="str">
            <v>SA</v>
          </cell>
          <cell r="E523">
            <v>10633898</v>
          </cell>
          <cell r="F523">
            <v>14230945</v>
          </cell>
          <cell r="G523">
            <v>22935568</v>
          </cell>
          <cell r="H523">
            <v>32377890</v>
          </cell>
        </row>
        <row r="524">
          <cell r="A524" t="str">
            <v>1924</v>
          </cell>
          <cell r="B524" t="str">
            <v>Buhar jeneratörünün 1 saatlik ücreti (Takriben 30 HP gücünde, buhar istihsal eden, 40 tonluk 3 tankı paralel ısıtabilen, hortumları ile birlikte)</v>
          </cell>
          <cell r="C524" t="str">
            <v>SA</v>
          </cell>
          <cell r="D524">
            <v>92749</v>
          </cell>
          <cell r="E524">
            <v>10634391</v>
          </cell>
          <cell r="F524">
            <v>13865826</v>
          </cell>
          <cell r="G524">
            <v>25559651</v>
          </cell>
          <cell r="H524">
            <v>35928192</v>
          </cell>
        </row>
        <row r="525">
          <cell r="A525" t="str">
            <v>1925</v>
          </cell>
          <cell r="B525" t="str">
            <v>Asfalt pompasının 1 saatlik  ücreti (Takriben 25 HP gücünde, 50 ton/saat kapasiteli, 2-3" lik-3" dahil-hortumları ile birlikte)</v>
          </cell>
          <cell r="C525" t="str">
            <v>SA</v>
          </cell>
          <cell r="D525">
            <v>41984</v>
          </cell>
          <cell r="E525">
            <v>5018716</v>
          </cell>
          <cell r="F525">
            <v>6595076</v>
          </cell>
          <cell r="G525">
            <v>11680001</v>
          </cell>
          <cell r="H525">
            <v>16491192</v>
          </cell>
        </row>
        <row r="526">
          <cell r="A526" t="str">
            <v>1926</v>
          </cell>
          <cell r="B526" t="str">
            <v>Figüre tanzim makinesinin 1 saatlik ücreti (0,50 m2 figüre kesitli, çekilir tip)</v>
          </cell>
          <cell r="C526" t="str">
            <v>SA</v>
          </cell>
          <cell r="E526">
            <v>1801057</v>
          </cell>
          <cell r="F526">
            <v>2430252</v>
          </cell>
          <cell r="G526">
            <v>3744435</v>
          </cell>
          <cell r="H526">
            <v>5295457</v>
          </cell>
        </row>
        <row r="527">
          <cell r="A527" t="str">
            <v>1927</v>
          </cell>
          <cell r="B527" t="str">
            <v>Agrega yıkama makinesinin 1 saatlik  ücreti (Takriben 30 HP gücünde, 25 m3/saat kapasiteli)</v>
          </cell>
          <cell r="C527" t="str">
            <v>SA</v>
          </cell>
          <cell r="E527">
            <v>4870945</v>
          </cell>
          <cell r="F527">
            <v>6447170</v>
          </cell>
          <cell r="G527">
            <v>11036545</v>
          </cell>
          <cell r="H527">
            <v>15461300</v>
          </cell>
        </row>
        <row r="528">
          <cell r="A528" t="str">
            <v>1930</v>
          </cell>
          <cell r="B528" t="str">
            <v>Elevatörün 1 saatlik ücreti (Takriben 15 HP gücünde, 10-18 m. boyunda ve 60 cm. bant genişliğinde)</v>
          </cell>
          <cell r="C528" t="str">
            <v>SA</v>
          </cell>
          <cell r="E528">
            <v>1479342</v>
          </cell>
          <cell r="F528">
            <v>1927361</v>
          </cell>
          <cell r="G528">
            <v>3579789</v>
          </cell>
          <cell r="H528">
            <v>4979122</v>
          </cell>
        </row>
        <row r="529">
          <cell r="A529" t="str">
            <v>1932</v>
          </cell>
          <cell r="B529" t="str">
            <v>Çimento silosunun 1 saatlik ücreti (Basınçlı hava tertibatlı, 10 HP gücünde, takriben 80-100 m3 hacminde, 10-14 ton/saat kapasiteli)</v>
          </cell>
          <cell r="C529" t="str">
            <v>SA</v>
          </cell>
          <cell r="E529">
            <v>2480652</v>
          </cell>
          <cell r="F529">
            <v>3302899</v>
          </cell>
          <cell r="G529">
            <v>5492284</v>
          </cell>
          <cell r="H529">
            <v>7656155</v>
          </cell>
        </row>
        <row r="530">
          <cell r="A530" t="str">
            <v>1934</v>
          </cell>
          <cell r="B530" t="str">
            <v>Mineral filler besleyicisinin 1 saatlik ücreti(15 HP gücünde)</v>
          </cell>
          <cell r="C530" t="str">
            <v>SA</v>
          </cell>
          <cell r="E530">
            <v>1741229</v>
          </cell>
          <cell r="F530">
            <v>2281243</v>
          </cell>
          <cell r="G530">
            <v>4118703</v>
          </cell>
          <cell r="H530">
            <v>5752643</v>
          </cell>
        </row>
        <row r="531">
          <cell r="A531" t="str">
            <v>1936</v>
          </cell>
          <cell r="B531" t="str">
            <v>Stabilizasyon karıştırıcısının 1 saatlik ücreti (100-200 ton/saat kapasiteli, 80-120 HP gücünde)</v>
          </cell>
          <cell r="C531" t="str">
            <v>SA</v>
          </cell>
          <cell r="E531">
            <v>13403302</v>
          </cell>
          <cell r="F531">
            <v>17631192</v>
          </cell>
          <cell r="G531">
            <v>31162170</v>
          </cell>
          <cell r="H531">
            <v>43627584</v>
          </cell>
        </row>
        <row r="532">
          <cell r="A532" t="str">
            <v>1940</v>
          </cell>
          <cell r="B532" t="str">
            <v>Mastik asfalt yapımı için ısıtma ve karıştırma makinesinin 1 saatlik ücreti (1 ton /saat kapasiteli)</v>
          </cell>
          <cell r="C532" t="str">
            <v>SA</v>
          </cell>
          <cell r="E532">
            <v>13547184</v>
          </cell>
          <cell r="F532">
            <v>17512488</v>
          </cell>
          <cell r="G532">
            <v>33630640</v>
          </cell>
          <cell r="H532">
            <v>47282016</v>
          </cell>
        </row>
        <row r="533">
          <cell r="A533" t="str">
            <v>1941</v>
          </cell>
          <cell r="B533" t="str">
            <v>Bordür yapma makinesinin bir saatlik ücreti</v>
          </cell>
          <cell r="C533" t="str">
            <v>SA</v>
          </cell>
          <cell r="E533">
            <v>4379971</v>
          </cell>
          <cell r="F533">
            <v>5820248</v>
          </cell>
          <cell r="G533">
            <v>9789400</v>
          </cell>
          <cell r="H533">
            <v>13590256</v>
          </cell>
        </row>
        <row r="534">
          <cell r="A534" t="str">
            <v>204-609</v>
          </cell>
          <cell r="B534" t="str">
            <v>Yumuşak polietilen basınçlı boru (dış çapı =50 mm)</v>
          </cell>
          <cell r="C534" t="str">
            <v>MT</v>
          </cell>
          <cell r="G534">
            <v>1752000</v>
          </cell>
        </row>
        <row r="535">
          <cell r="A535" t="str">
            <v>204-611</v>
          </cell>
          <cell r="B535" t="str">
            <v>Yumuşak polietilen basınçlı boru (dış çapı =63 mm)</v>
          </cell>
          <cell r="C535" t="str">
            <v>MT</v>
          </cell>
          <cell r="G535">
            <v>2648000</v>
          </cell>
        </row>
        <row r="536">
          <cell r="A536" t="str">
            <v>21.001</v>
          </cell>
          <cell r="B536" t="str">
            <v>Ahşaptan yapılan seri kalıp</v>
          </cell>
          <cell r="C536" t="str">
            <v>M2</v>
          </cell>
          <cell r="E536">
            <v>1339245</v>
          </cell>
          <cell r="F536">
            <v>1682818</v>
          </cell>
          <cell r="G536">
            <v>2943625</v>
          </cell>
          <cell r="H536">
            <v>3856812</v>
          </cell>
        </row>
        <row r="537">
          <cell r="A537" t="str">
            <v>21.011</v>
          </cell>
          <cell r="B537" t="str">
            <v>Düz yüzeyli beton ve betonarme kalıbı</v>
          </cell>
          <cell r="C537" t="str">
            <v>M2</v>
          </cell>
          <cell r="E537">
            <v>3249190</v>
          </cell>
          <cell r="F537">
            <v>4087902</v>
          </cell>
          <cell r="G537">
            <v>7132500</v>
          </cell>
          <cell r="H537">
            <v>9354687</v>
          </cell>
        </row>
        <row r="538">
          <cell r="A538" t="str">
            <v>21.013</v>
          </cell>
          <cell r="B538" t="str">
            <v>Rendeli, düz yüzeyli beton, betonarme kalıbı</v>
          </cell>
          <cell r="C538" t="str">
            <v>M2</v>
          </cell>
          <cell r="E538">
            <v>3934430</v>
          </cell>
          <cell r="F538">
            <v>4963855</v>
          </cell>
          <cell r="G538">
            <v>8617500</v>
          </cell>
          <cell r="H538">
            <v>11335937</v>
          </cell>
        </row>
        <row r="539">
          <cell r="A539" t="str">
            <v>21.031</v>
          </cell>
          <cell r="B539" t="str">
            <v>Eğri yüzeyli kagir inşaat kalıbı</v>
          </cell>
          <cell r="C539" t="str">
            <v>M2</v>
          </cell>
          <cell r="E539">
            <v>5168120</v>
          </cell>
          <cell r="F539">
            <v>6578870</v>
          </cell>
          <cell r="G539">
            <v>11236875</v>
          </cell>
          <cell r="H539">
            <v>14924062</v>
          </cell>
        </row>
        <row r="540">
          <cell r="A540" t="str">
            <v>21.040</v>
          </cell>
          <cell r="B540" t="str">
            <v>Menfezlerde düz yüzeyli, rendeli, beton ve betonarme kalıbı</v>
          </cell>
          <cell r="C540" t="str">
            <v>M2</v>
          </cell>
          <cell r="E540">
            <v>4410770</v>
          </cell>
          <cell r="F540">
            <v>5557307</v>
          </cell>
          <cell r="G540">
            <v>9670625</v>
          </cell>
          <cell r="H540">
            <v>12704062</v>
          </cell>
        </row>
        <row r="541">
          <cell r="A541" t="str">
            <v>21.042</v>
          </cell>
          <cell r="B541" t="str">
            <v>Köprülerde düz yüzeyli, rendeli ve lamba zıvanalı beton ve betonarme kalıbı</v>
          </cell>
          <cell r="C541" t="str">
            <v>M2</v>
          </cell>
          <cell r="D541">
            <v>60844</v>
          </cell>
          <cell r="E541">
            <v>7824240</v>
          </cell>
          <cell r="F541">
            <v>9891921</v>
          </cell>
          <cell r="G541">
            <v>17107500</v>
          </cell>
          <cell r="H541">
            <v>22555000</v>
          </cell>
        </row>
        <row r="542">
          <cell r="A542" t="str">
            <v>21.051</v>
          </cell>
          <cell r="B542" t="str">
            <v>Menfezlerde 6 m. ve daha küçük göz açıklıkları için döşeme, kiriş ve kemer taşıyıcı iskeleleri (Kompozit menfezler hariç)</v>
          </cell>
          <cell r="C542" t="str">
            <v>M3</v>
          </cell>
          <cell r="E542">
            <v>1339418</v>
          </cell>
          <cell r="F542">
            <v>1691002</v>
          </cell>
          <cell r="G542">
            <v>2930850</v>
          </cell>
          <cell r="H542">
            <v>3856562</v>
          </cell>
        </row>
        <row r="543">
          <cell r="A543" t="str">
            <v>21.052</v>
          </cell>
          <cell r="B543" t="str">
            <v>Menfezlerde 6 m.den büyük göz açıklıkları için döşeme, kiriş ve kemer taşıyıcı iskeleleri (Kompozit menfezler hariç)</v>
          </cell>
          <cell r="C543" t="str">
            <v>M3</v>
          </cell>
          <cell r="E543">
            <v>2827165</v>
          </cell>
          <cell r="F543">
            <v>3527207</v>
          </cell>
          <cell r="G543">
            <v>6245850</v>
          </cell>
          <cell r="H543">
            <v>8118018</v>
          </cell>
        </row>
        <row r="544">
          <cell r="A544" t="str">
            <v>21.053</v>
          </cell>
          <cell r="B544" t="str">
            <v>Köprülerde döşeme, kiriş ve kemer taşıyıcı iskeleleri (Kompozit köprüler hariç)</v>
          </cell>
          <cell r="C544" t="str">
            <v>M3</v>
          </cell>
          <cell r="E544">
            <v>3494838</v>
          </cell>
          <cell r="F544">
            <v>4380768</v>
          </cell>
          <cell r="G544">
            <v>7692050</v>
          </cell>
          <cell r="H544">
            <v>10047556</v>
          </cell>
        </row>
        <row r="545">
          <cell r="A545" t="str">
            <v>21.057</v>
          </cell>
          <cell r="B545" t="str">
            <v>Tünel iskelesi (Serbest açıklığı 10 m.ve daha küçük)</v>
          </cell>
          <cell r="C545" t="str">
            <v>M3</v>
          </cell>
          <cell r="E545">
            <v>1187180</v>
          </cell>
          <cell r="F545">
            <v>1491387</v>
          </cell>
          <cell r="G545">
            <v>2608672</v>
          </cell>
          <cell r="H545">
            <v>3414757</v>
          </cell>
        </row>
        <row r="546">
          <cell r="A546" t="str">
            <v>21.060</v>
          </cell>
          <cell r="B546" t="str">
            <v>Tünel iskelesi (Serbest açıklığı 10 m.den büyük)</v>
          </cell>
          <cell r="C546" t="str">
            <v>M3</v>
          </cell>
          <cell r="E546">
            <v>1828960</v>
          </cell>
          <cell r="F546">
            <v>2317382</v>
          </cell>
          <cell r="G546">
            <v>3991112</v>
          </cell>
          <cell r="H546">
            <v>5272650</v>
          </cell>
        </row>
        <row r="547">
          <cell r="A547" t="str">
            <v>21.101</v>
          </cell>
          <cell r="B547" t="str">
            <v>Ahşap menfez ve köprülerde "Döşeme, baskı kirişi, izlik ve korkuluk"</v>
          </cell>
          <cell r="C547" t="str">
            <v>M3</v>
          </cell>
          <cell r="E547">
            <v>206430000</v>
          </cell>
          <cell r="F547">
            <v>249897687</v>
          </cell>
          <cell r="G547">
            <v>467053125</v>
          </cell>
          <cell r="H547">
            <v>588525000</v>
          </cell>
        </row>
        <row r="548">
          <cell r="A548" t="str">
            <v>21.111</v>
          </cell>
          <cell r="B548" t="str">
            <v>Ahşap menfez ve köprülerde "Kiriş, başlık ve bağlantılar"</v>
          </cell>
          <cell r="C548" t="str">
            <v>M3</v>
          </cell>
          <cell r="E548">
            <v>207322800</v>
          </cell>
          <cell r="F548">
            <v>251480187</v>
          </cell>
          <cell r="G548">
            <v>468203125</v>
          </cell>
          <cell r="H548">
            <v>591548750</v>
          </cell>
        </row>
        <row r="549">
          <cell r="A549" t="str">
            <v>21.116</v>
          </cell>
          <cell r="B549" t="str">
            <v>Ahşaptan "2 veya 3 katlı kamalı, dişli, tokmaklı kirişler"</v>
          </cell>
          <cell r="C549" t="str">
            <v>M3</v>
          </cell>
          <cell r="E549">
            <v>199633000</v>
          </cell>
          <cell r="F549">
            <v>244810625</v>
          </cell>
          <cell r="G549">
            <v>447096875</v>
          </cell>
          <cell r="H549">
            <v>571150000</v>
          </cell>
        </row>
        <row r="550">
          <cell r="A550" t="str">
            <v>21.121</v>
          </cell>
          <cell r="B550" t="str">
            <v>Her tip ahşap "Kafes kiriş"</v>
          </cell>
          <cell r="C550" t="str">
            <v>M3</v>
          </cell>
          <cell r="E550">
            <v>265845000</v>
          </cell>
          <cell r="F550">
            <v>329268375</v>
          </cell>
          <cell r="G550">
            <v>590796875</v>
          </cell>
          <cell r="H550">
            <v>762475000</v>
          </cell>
        </row>
        <row r="551">
          <cell r="A551" t="str">
            <v>2204</v>
          </cell>
          <cell r="B551" t="str">
            <v>Dolgu altlarındaki her cins zayıf (Bitkisel toprak vs) ve oynak (Batak ve balçık)zeminlerin kazılması ve kullanılması</v>
          </cell>
          <cell r="C551" t="str">
            <v>M3</v>
          </cell>
          <cell r="E551">
            <v>0</v>
          </cell>
          <cell r="F551">
            <v>0</v>
          </cell>
          <cell r="G551">
            <v>0</v>
          </cell>
        </row>
        <row r="552">
          <cell r="A552" t="str">
            <v>2205</v>
          </cell>
          <cell r="B552" t="str">
            <v>Her cins toprağın sulanması ve sıkıştırılması</v>
          </cell>
          <cell r="C552" t="str">
            <v>M3</v>
          </cell>
          <cell r="D552">
            <v>2200</v>
          </cell>
          <cell r="E552">
            <v>239402</v>
          </cell>
          <cell r="F552">
            <v>311833</v>
          </cell>
          <cell r="G552">
            <v>580143</v>
          </cell>
          <cell r="H552">
            <v>805317</v>
          </cell>
        </row>
        <row r="553">
          <cell r="A553" t="str">
            <v>2206</v>
          </cell>
          <cell r="B553" t="str">
            <v>Her cins küskülüğün sulanması ve sıkıştırılması</v>
          </cell>
          <cell r="C553" t="str">
            <v>M3</v>
          </cell>
          <cell r="D553">
            <v>1194</v>
          </cell>
          <cell r="E553">
            <v>129672</v>
          </cell>
          <cell r="F553">
            <v>168908</v>
          </cell>
          <cell r="G553">
            <v>314256</v>
          </cell>
          <cell r="H553">
            <v>436020</v>
          </cell>
        </row>
        <row r="554">
          <cell r="A554" t="str">
            <v>2207</v>
          </cell>
          <cell r="B554" t="str">
            <v>Her cins kayanın sıkıştırılması</v>
          </cell>
          <cell r="C554" t="str">
            <v>M3</v>
          </cell>
          <cell r="D554">
            <v>375</v>
          </cell>
          <cell r="E554">
            <v>39883</v>
          </cell>
          <cell r="F554">
            <v>51968</v>
          </cell>
          <cell r="G554">
            <v>96737</v>
          </cell>
          <cell r="H554">
            <v>133448</v>
          </cell>
        </row>
        <row r="555">
          <cell r="A555" t="str">
            <v>2209</v>
          </cell>
          <cell r="B555" t="str">
            <v>Dolguya gelen her cins ve klastaki kazı malzemesinin sulanması ve sıkıştırılması</v>
          </cell>
          <cell r="C555" t="str">
            <v>M3</v>
          </cell>
          <cell r="E555">
            <v>0</v>
          </cell>
          <cell r="F555">
            <v>0</v>
          </cell>
        </row>
        <row r="556">
          <cell r="A556" t="str">
            <v>2210</v>
          </cell>
          <cell r="B556" t="str">
            <v>Her cins toprağın kazılması ve kullanılması ( Ariyet ocağı kazısı için)</v>
          </cell>
          <cell r="C556" t="str">
            <v>M3</v>
          </cell>
          <cell r="E556">
            <v>0</v>
          </cell>
          <cell r="F556">
            <v>0</v>
          </cell>
          <cell r="G556">
            <v>783207</v>
          </cell>
          <cell r="H556">
            <v>1041089</v>
          </cell>
          <cell r="I556">
            <v>1160341</v>
          </cell>
        </row>
        <row r="557">
          <cell r="A557" t="str">
            <v>2220</v>
          </cell>
          <cell r="B557" t="str">
            <v>Her cins küskülüğün kazılması ve kullanılması  ( Ariyet ocağı kazısı için)</v>
          </cell>
          <cell r="C557" t="str">
            <v>M3</v>
          </cell>
          <cell r="E557">
            <v>0</v>
          </cell>
          <cell r="F557">
            <v>0</v>
          </cell>
          <cell r="G557">
            <v>1272556</v>
          </cell>
          <cell r="H557">
            <v>1708317</v>
          </cell>
          <cell r="I557">
            <v>1889745</v>
          </cell>
        </row>
        <row r="558">
          <cell r="A558" t="str">
            <v>2230/1</v>
          </cell>
          <cell r="B558" t="str">
            <v>Yumuşak kayanın kazılması ve kullanılması  ( Ariyet ocağı kazısı için)</v>
          </cell>
          <cell r="C558" t="str">
            <v>M3</v>
          </cell>
          <cell r="E558">
            <v>0</v>
          </cell>
          <cell r="F558">
            <v>0</v>
          </cell>
          <cell r="G558">
            <v>3589174</v>
          </cell>
          <cell r="H558">
            <v>4924113</v>
          </cell>
          <cell r="I558">
            <v>5243849</v>
          </cell>
        </row>
        <row r="559">
          <cell r="A559" t="str">
            <v>2230/2</v>
          </cell>
          <cell r="B559" t="str">
            <v>Sert kaya kazılması ve kullanılması  ( Ariyet ocağı kazısı için)</v>
          </cell>
          <cell r="C559" t="str">
            <v>M3</v>
          </cell>
          <cell r="E559">
            <v>0</v>
          </cell>
          <cell r="F559">
            <v>0</v>
          </cell>
          <cell r="G559">
            <v>4444376</v>
          </cell>
          <cell r="H559">
            <v>6109131</v>
          </cell>
          <cell r="I559">
            <v>6538253</v>
          </cell>
        </row>
        <row r="560">
          <cell r="A560" t="str">
            <v>2230/3</v>
          </cell>
          <cell r="B560" t="str">
            <v>Çok sert kayanın kazılması ve kullanılması  ( Ariyet ocağı kazısı için)</v>
          </cell>
          <cell r="C560" t="str">
            <v>M3</v>
          </cell>
          <cell r="E560">
            <v>0</v>
          </cell>
          <cell r="F560">
            <v>0</v>
          </cell>
          <cell r="G560">
            <v>5785995</v>
          </cell>
          <cell r="H560">
            <v>7967534</v>
          </cell>
          <cell r="I560">
            <v>8593619</v>
          </cell>
        </row>
        <row r="561">
          <cell r="A561" t="str">
            <v>2240</v>
          </cell>
          <cell r="B561" t="str">
            <v>Ağaç kesme (Her çapta)</v>
          </cell>
          <cell r="C561" t="str">
            <v>AD</v>
          </cell>
          <cell r="E561">
            <v>0</v>
          </cell>
          <cell r="F561">
            <v>0</v>
          </cell>
          <cell r="G561">
            <v>0</v>
          </cell>
        </row>
        <row r="562">
          <cell r="A562" t="str">
            <v>2240/1</v>
          </cell>
          <cell r="B562" t="str">
            <v>Ağaç kökü sökme (Her çapta)</v>
          </cell>
          <cell r="C562" t="str">
            <v>AD</v>
          </cell>
          <cell r="E562">
            <v>0</v>
          </cell>
          <cell r="F562">
            <v>0</v>
          </cell>
          <cell r="G562">
            <v>0</v>
          </cell>
        </row>
        <row r="563">
          <cell r="A563" t="str">
            <v>23.001/K</v>
          </cell>
          <cell r="B563" t="str">
            <v>Betonarme için Ø 6- Ø 12 mm.lik yuvarlak demir işçiliği</v>
          </cell>
          <cell r="C563" t="str">
            <v>TN</v>
          </cell>
          <cell r="E563">
            <v>94151000</v>
          </cell>
          <cell r="F563">
            <v>127162500</v>
          </cell>
          <cell r="G563">
            <v>194456250</v>
          </cell>
          <cell r="H563">
            <v>276168750</v>
          </cell>
        </row>
        <row r="564">
          <cell r="A564" t="str">
            <v>23.002/K</v>
          </cell>
          <cell r="B564" t="str">
            <v>Betonarme için Ø 14 mm. ve daha büyük çaptaki yuvarlak demir işçiliği</v>
          </cell>
          <cell r="C564" t="str">
            <v>TN</v>
          </cell>
          <cell r="E564">
            <v>64486000</v>
          </cell>
          <cell r="F564">
            <v>87093750</v>
          </cell>
          <cell r="G564">
            <v>133181250</v>
          </cell>
          <cell r="H564">
            <v>189150000</v>
          </cell>
        </row>
        <row r="565">
          <cell r="A565" t="str">
            <v>23.002/K-1</v>
          </cell>
          <cell r="B565" t="str">
            <v>Öngerilmeli beton için özel çelikle kablo teşkili işçiliği</v>
          </cell>
          <cell r="C565" t="str">
            <v>TN</v>
          </cell>
          <cell r="E565">
            <v>284760000</v>
          </cell>
          <cell r="F565">
            <v>384581250</v>
          </cell>
          <cell r="G565">
            <v>588068750</v>
          </cell>
          <cell r="H565">
            <v>835200000</v>
          </cell>
        </row>
        <row r="566">
          <cell r="A566" t="str">
            <v>23.002/K-2</v>
          </cell>
          <cell r="B566" t="str">
            <v>Boyuna kablo gerilmesi</v>
          </cell>
          <cell r="C566" t="str">
            <v>AD</v>
          </cell>
          <cell r="E566">
            <v>22902998</v>
          </cell>
          <cell r="F566">
            <v>30778482</v>
          </cell>
          <cell r="G566">
            <v>49089426</v>
          </cell>
          <cell r="H566">
            <v>68262625</v>
          </cell>
        </row>
        <row r="567">
          <cell r="A567" t="str">
            <v>23.002/K-3</v>
          </cell>
          <cell r="B567" t="str">
            <v>Enine kablo gerilmesi</v>
          </cell>
          <cell r="C567" t="str">
            <v>AD</v>
          </cell>
          <cell r="E567">
            <v>11451498</v>
          </cell>
          <cell r="F567">
            <v>15389241</v>
          </cell>
          <cell r="G567">
            <v>24544712</v>
          </cell>
          <cell r="H567">
            <v>34131312</v>
          </cell>
        </row>
        <row r="568">
          <cell r="A568" t="str">
            <v>23.002/K-6</v>
          </cell>
          <cell r="B568" t="str">
            <v>Boyuna ve enine önçekim, öngerme çeliğinin (Tel, demet, çubuk) yerlerine konulması, gerilmesi, gevşetilmesi ve kesilmesi işçiliği</v>
          </cell>
          <cell r="C568" t="str">
            <v>TN</v>
          </cell>
          <cell r="E568">
            <v>1274075962</v>
          </cell>
          <cell r="F568">
            <v>1727659312</v>
          </cell>
          <cell r="G568">
            <v>2832385600</v>
          </cell>
          <cell r="H568">
            <v>3724439812</v>
          </cell>
        </row>
        <row r="569">
          <cell r="A569" t="str">
            <v>23.003/10</v>
          </cell>
          <cell r="B569" t="str">
            <v>20 mm. çapındaki yuvarlak demirlerin 25 cm. uzunlukta bindirmeli olarak kaynakla eklenmesi, 20 mm. çapındaki ankraj demirinin ucuna ve 32 mm.lik yuvarlak demirin içine diş açılarak montajının yapılması</v>
          </cell>
          <cell r="C569" t="str">
            <v>AD</v>
          </cell>
          <cell r="E569">
            <v>4422158</v>
          </cell>
          <cell r="F569">
            <v>5956570</v>
          </cell>
          <cell r="G569">
            <v>9302632</v>
          </cell>
          <cell r="H569">
            <v>13246218</v>
          </cell>
        </row>
        <row r="570">
          <cell r="A570" t="str">
            <v>23.004/1</v>
          </cell>
          <cell r="B570" t="str">
            <v>Betonarme için Ø28 mm.lik yuvarlak demirin manşonla eklenmesi (Manşon İdareden)</v>
          </cell>
          <cell r="C570" t="str">
            <v>AD</v>
          </cell>
          <cell r="E570">
            <v>2727502</v>
          </cell>
          <cell r="F570">
            <v>3683190</v>
          </cell>
          <cell r="G570">
            <v>5632752</v>
          </cell>
          <cell r="H570">
            <v>79998777</v>
          </cell>
        </row>
        <row r="571">
          <cell r="A571" t="str">
            <v>23.004/K</v>
          </cell>
          <cell r="B571" t="str">
            <v>Betonarme için Ø28 mm.lik yuvarlak demirin manşonla eklenmesi</v>
          </cell>
          <cell r="C571" t="str">
            <v>AD</v>
          </cell>
          <cell r="E571">
            <v>4701845</v>
          </cell>
          <cell r="F571">
            <v>6319815</v>
          </cell>
          <cell r="G571">
            <v>9853377</v>
          </cell>
          <cell r="H571">
            <v>14097440</v>
          </cell>
        </row>
        <row r="572">
          <cell r="A572" t="str">
            <v>23.005/1</v>
          </cell>
          <cell r="B572" t="str">
            <v>Betonarme için Ø30 mm.lik yuvarlak demirin manşonla eklenmesi (Manşon İdareden)</v>
          </cell>
          <cell r="C572" t="str">
            <v>AD</v>
          </cell>
          <cell r="E572">
            <v>3015273</v>
          </cell>
          <cell r="F572">
            <v>4071816</v>
          </cell>
          <cell r="G572">
            <v>6227066</v>
          </cell>
          <cell r="H572">
            <v>8843941</v>
          </cell>
        </row>
        <row r="573">
          <cell r="A573" t="str">
            <v>23.005/K</v>
          </cell>
          <cell r="B573" t="str">
            <v>Betonarme için Ø30 mm.lik yuvarlak demirin manşonla eklenmesi</v>
          </cell>
          <cell r="C573" t="str">
            <v>AD</v>
          </cell>
          <cell r="E573">
            <v>5351190</v>
          </cell>
          <cell r="F573">
            <v>7189191</v>
          </cell>
          <cell r="G573">
            <v>11231066</v>
          </cell>
          <cell r="H573">
            <v>16080503</v>
          </cell>
        </row>
        <row r="574">
          <cell r="A574" t="str">
            <v>23.006/1</v>
          </cell>
          <cell r="B574" t="str">
            <v>Betonarme için Ø32 mm.lik yuvarlak demirin manşonla eklenmesi (Manşon İdareden)</v>
          </cell>
          <cell r="C574" t="str">
            <v>AD</v>
          </cell>
          <cell r="E574">
            <v>3184295</v>
          </cell>
          <cell r="F574">
            <v>4300067</v>
          </cell>
          <cell r="G574">
            <v>6576130</v>
          </cell>
          <cell r="H574">
            <v>9339692</v>
          </cell>
        </row>
        <row r="575">
          <cell r="A575" t="str">
            <v>23.006/K</v>
          </cell>
          <cell r="B575" t="str">
            <v>Betonarme için Ø32 mm.lik yuvarlak demirin manşonla eklenmesi</v>
          </cell>
          <cell r="C575" t="str">
            <v>AD</v>
          </cell>
          <cell r="E575">
            <v>5769743</v>
          </cell>
          <cell r="F575">
            <v>7746192</v>
          </cell>
          <cell r="G575">
            <v>12135442</v>
          </cell>
          <cell r="H575">
            <v>17393755</v>
          </cell>
        </row>
        <row r="576">
          <cell r="A576" t="str">
            <v>23.007/1</v>
          </cell>
          <cell r="B576" t="str">
            <v>Betonarme için Ø36 mm.lik yuvarlak demirin manşonla eklenmesi (Manşon İdareden)</v>
          </cell>
          <cell r="C576" t="str">
            <v>AD</v>
          </cell>
          <cell r="E576">
            <v>3878586</v>
          </cell>
          <cell r="F576">
            <v>5237693</v>
          </cell>
          <cell r="G576">
            <v>8010006</v>
          </cell>
          <cell r="H576">
            <v>11376131</v>
          </cell>
        </row>
        <row r="577">
          <cell r="A577" t="str">
            <v>23.007/K</v>
          </cell>
          <cell r="B577" t="str">
            <v>Betonarme için Ø36 mm.lik yuvarlak demirin manşonla eklenmesi</v>
          </cell>
          <cell r="C577" t="str">
            <v>AD</v>
          </cell>
          <cell r="E577">
            <v>7031580</v>
          </cell>
          <cell r="F577">
            <v>9433818</v>
          </cell>
          <cell r="G577">
            <v>14821381</v>
          </cell>
          <cell r="H577">
            <v>21266068</v>
          </cell>
        </row>
        <row r="578">
          <cell r="A578" t="str">
            <v>23.008/1</v>
          </cell>
          <cell r="B578" t="str">
            <v>Betonarme için Ø40 mm.lik yuvarlak demirin manşonla eklenmesi (Manşon İdareden)</v>
          </cell>
          <cell r="C578" t="str">
            <v>AD</v>
          </cell>
          <cell r="E578">
            <v>4454127</v>
          </cell>
          <cell r="F578">
            <v>6014945</v>
          </cell>
          <cell r="G578">
            <v>9198632</v>
          </cell>
          <cell r="H578">
            <v>13064257</v>
          </cell>
        </row>
        <row r="579">
          <cell r="A579" t="str">
            <v>23.008/K</v>
          </cell>
          <cell r="B579" t="str">
            <v>Betonarme için Ø40 mm.lik yuvarlak demirin manşonla eklenmesi</v>
          </cell>
          <cell r="C579" t="str">
            <v>AD</v>
          </cell>
          <cell r="E579">
            <v>8255178</v>
          </cell>
          <cell r="F579">
            <v>11061570</v>
          </cell>
          <cell r="G579">
            <v>17468320</v>
          </cell>
          <cell r="H579">
            <v>25111820</v>
          </cell>
        </row>
        <row r="580">
          <cell r="A580" t="str">
            <v>23.009/1</v>
          </cell>
          <cell r="B580" t="str">
            <v>Betonarme için Ø50 mm.lik yuvarlak demirin manşonla eklenmesi (Manşon İdareden)</v>
          </cell>
          <cell r="C580" t="str">
            <v>AD</v>
          </cell>
          <cell r="E580">
            <v>5317440</v>
          </cell>
          <cell r="F580">
            <v>7180822</v>
          </cell>
          <cell r="G580">
            <v>10981572</v>
          </cell>
          <cell r="H580">
            <v>15596447</v>
          </cell>
        </row>
        <row r="581">
          <cell r="A581" t="str">
            <v>23.009/K</v>
          </cell>
          <cell r="B581" t="str">
            <v>Betonarme için Ø50 mm.lik yuvarlak demirin manşonla eklenmesi</v>
          </cell>
          <cell r="C581" t="str">
            <v>AD</v>
          </cell>
          <cell r="E581">
            <v>10397230</v>
          </cell>
          <cell r="F581">
            <v>13865197</v>
          </cell>
          <cell r="G581">
            <v>22325197</v>
          </cell>
          <cell r="H581">
            <v>32322010</v>
          </cell>
        </row>
        <row r="582">
          <cell r="A582" t="str">
            <v>23.014/K</v>
          </cell>
          <cell r="B582" t="str">
            <v>Betonarme için Ø 5-Ø 12 mm.lik ince nervürlü çelik işçiliği</v>
          </cell>
          <cell r="C582" t="str">
            <v>TN</v>
          </cell>
          <cell r="E582">
            <v>88504000</v>
          </cell>
          <cell r="F582">
            <v>119531250</v>
          </cell>
          <cell r="G582">
            <v>182787500</v>
          </cell>
          <cell r="H582">
            <v>259600000</v>
          </cell>
        </row>
        <row r="583">
          <cell r="A583" t="str">
            <v>23.015/K</v>
          </cell>
          <cell r="B583" t="str">
            <v>Betonarme için Ø 14-Ø 28 mm.lik kalın nervürlü çelik işçiliği</v>
          </cell>
          <cell r="C583" t="str">
            <v>TN</v>
          </cell>
          <cell r="E583">
            <v>73071000</v>
          </cell>
          <cell r="F583">
            <v>98687500</v>
          </cell>
          <cell r="G583">
            <v>150912500</v>
          </cell>
          <cell r="H583">
            <v>214331250</v>
          </cell>
        </row>
        <row r="584">
          <cell r="A584" t="str">
            <v>23.061</v>
          </cell>
          <cell r="B584" t="str">
            <v>Münferit olarak kullanılan hertürlü profil demirlerinin hazıırlanması ve yerine tespiti. (34 Kg/m ye kadar ağırlıktaki)</v>
          </cell>
          <cell r="C584" t="str">
            <v>TN</v>
          </cell>
          <cell r="G584">
            <v>760737500</v>
          </cell>
        </row>
        <row r="585">
          <cell r="A585" t="str">
            <v>23.081</v>
          </cell>
          <cell r="B585" t="str">
            <v>Profil demirlerinden çatı makası yapılması ve yerine konulması.</v>
          </cell>
          <cell r="C585" t="str">
            <v>TN</v>
          </cell>
          <cell r="G585">
            <v>1244543750</v>
          </cell>
        </row>
        <row r="586">
          <cell r="A586" t="str">
            <v>23.101/K</v>
          </cell>
          <cell r="B586" t="str">
            <v>Profilli demirden kirişler, başlıklar, bağlantılar işçiliği (Boyama hariç)</v>
          </cell>
          <cell r="C586" t="str">
            <v>TN</v>
          </cell>
          <cell r="E586">
            <v>328073125</v>
          </cell>
          <cell r="F586">
            <v>445818750</v>
          </cell>
          <cell r="G586">
            <v>699393750</v>
          </cell>
          <cell r="H586">
            <v>982818750</v>
          </cell>
        </row>
        <row r="587">
          <cell r="A587" t="str">
            <v>23.176/K</v>
          </cell>
          <cell r="B587" t="str">
            <v>Profilli demirden korkuluk işçiliği (Boyama hariç)</v>
          </cell>
          <cell r="C587" t="str">
            <v>TN</v>
          </cell>
          <cell r="E587">
            <v>557216875</v>
          </cell>
          <cell r="F587">
            <v>753918750</v>
          </cell>
          <cell r="G587">
            <v>1162156250</v>
          </cell>
          <cell r="H587">
            <v>1645093750</v>
          </cell>
        </row>
        <row r="588">
          <cell r="A588" t="str">
            <v>23.245/1</v>
          </cell>
          <cell r="B588" t="str">
            <v>0-10 m. uzunlukta kaya bulonu tesis edilmesi</v>
          </cell>
          <cell r="C588" t="str">
            <v>KG</v>
          </cell>
          <cell r="E588">
            <v>619326</v>
          </cell>
          <cell r="F588">
            <v>802792</v>
          </cell>
          <cell r="G588">
            <v>1361010</v>
          </cell>
          <cell r="H588">
            <v>1968127</v>
          </cell>
        </row>
        <row r="589">
          <cell r="A589" t="str">
            <v>23.245/2</v>
          </cell>
          <cell r="B589" t="str">
            <v>Hasır çelikten iksa yapılması</v>
          </cell>
          <cell r="C589" t="str">
            <v>KG</v>
          </cell>
          <cell r="E589">
            <v>427490</v>
          </cell>
          <cell r="F589">
            <v>566062</v>
          </cell>
          <cell r="G589">
            <v>947687</v>
          </cell>
          <cell r="H589">
            <v>1388750</v>
          </cell>
        </row>
        <row r="590">
          <cell r="A590" t="str">
            <v>23.250</v>
          </cell>
          <cell r="B590" t="str">
            <v>Yüksek vasıflı çelikten özel dökümlü köprü mesnedinin temini ve yerine konulması</v>
          </cell>
          <cell r="C590" t="str">
            <v>KG</v>
          </cell>
          <cell r="E590">
            <v>1394200</v>
          </cell>
          <cell r="F590">
            <v>1935625</v>
          </cell>
          <cell r="G590">
            <v>3217500</v>
          </cell>
          <cell r="H590">
            <v>4839375</v>
          </cell>
        </row>
        <row r="591">
          <cell r="A591" t="str">
            <v>23.251</v>
          </cell>
          <cell r="B591" t="str">
            <v>Yüksek vasıflı çelikten özel dökümlü köprü mesnedinin yerine konulması (Mesnet idarece verilecektir)</v>
          </cell>
          <cell r="C591" t="str">
            <v>KG</v>
          </cell>
          <cell r="E591">
            <v>831700</v>
          </cell>
          <cell r="F591">
            <v>1123125</v>
          </cell>
          <cell r="G591">
            <v>1717500</v>
          </cell>
          <cell r="H591">
            <v>2439375</v>
          </cell>
        </row>
        <row r="592">
          <cell r="A592" t="str">
            <v>23.252</v>
          </cell>
          <cell r="B592" t="str">
            <v>Menfez-köprülerde bakır levha işleri</v>
          </cell>
          <cell r="C592" t="str">
            <v>KG</v>
          </cell>
          <cell r="E592">
            <v>2789380</v>
          </cell>
          <cell r="F592">
            <v>3947375</v>
          </cell>
          <cell r="G592">
            <v>6529500</v>
          </cell>
          <cell r="H592">
            <v>8402625</v>
          </cell>
        </row>
        <row r="593">
          <cell r="A593" t="str">
            <v>23.253</v>
          </cell>
          <cell r="B593" t="str">
            <v>Menfez-köprülerde galvanizli sac levha işleri</v>
          </cell>
          <cell r="C593" t="str">
            <v>KG</v>
          </cell>
          <cell r="E593">
            <v>1040360</v>
          </cell>
          <cell r="F593">
            <v>1398500</v>
          </cell>
          <cell r="G593">
            <v>2274000</v>
          </cell>
          <cell r="H593">
            <v>3201500</v>
          </cell>
        </row>
        <row r="594">
          <cell r="A594" t="str">
            <v>23.254</v>
          </cell>
          <cell r="B594" t="str">
            <v>Menfez-köprülerde kurşun levha işleri</v>
          </cell>
          <cell r="C594" t="str">
            <v>KG</v>
          </cell>
          <cell r="E594">
            <v>901780</v>
          </cell>
          <cell r="F594">
            <v>1195750</v>
          </cell>
          <cell r="G594">
            <v>1896250</v>
          </cell>
          <cell r="H594">
            <v>2580500</v>
          </cell>
        </row>
        <row r="595">
          <cell r="A595" t="str">
            <v>23.255</v>
          </cell>
          <cell r="B595" t="str">
            <v>Fonttan;ızgara, kapak, garguy yapılması</v>
          </cell>
          <cell r="C595" t="str">
            <v>KG</v>
          </cell>
          <cell r="E595">
            <v>407140</v>
          </cell>
          <cell r="F595">
            <v>551000</v>
          </cell>
          <cell r="G595">
            <v>866875</v>
          </cell>
          <cell r="H595">
            <v>1168375</v>
          </cell>
        </row>
        <row r="596">
          <cell r="A596" t="str">
            <v>2300</v>
          </cell>
          <cell r="B596" t="str">
            <v>Her cins ve klastaki zeminin röprizi ve kullanılması (15.040/K, 15.041/K Poz No.lu birim fiyatlara göre bulunacak bedeller toplamının toplam hacme bölünmesi ile bulunur.) (Cebrik ortalama)</v>
          </cell>
          <cell r="C596" t="str">
            <v>M3</v>
          </cell>
          <cell r="E596">
            <v>0</v>
          </cell>
          <cell r="F596">
            <v>0</v>
          </cell>
          <cell r="G596">
            <v>0</v>
          </cell>
        </row>
        <row r="597">
          <cell r="A597" t="str">
            <v>2400</v>
          </cell>
          <cell r="B597" t="str">
            <v>Heyelan eden her cins ve klastaki zeminin kazılması ve kullanılması (15.042/K, 15.043/K Poz No.lu birim fiyatlara göre bulunacak bedeller toplamının toplam hacme bölünmesi ile bulunur.) (Cebrik ortalama)</v>
          </cell>
          <cell r="C597" t="str">
            <v>M3</v>
          </cell>
          <cell r="E597">
            <v>0</v>
          </cell>
          <cell r="F597">
            <v>0</v>
          </cell>
          <cell r="G597">
            <v>0</v>
          </cell>
        </row>
        <row r="598">
          <cell r="A598" t="str">
            <v>25.016</v>
          </cell>
          <cell r="B598" t="str">
            <v>Demir imalatın boyanması</v>
          </cell>
          <cell r="C598" t="str">
            <v>M2</v>
          </cell>
          <cell r="D598">
            <v>23991</v>
          </cell>
          <cell r="E598">
            <v>2754977</v>
          </cell>
          <cell r="F598">
            <v>3580650</v>
          </cell>
          <cell r="G598">
            <v>5942275</v>
          </cell>
          <cell r="H598">
            <v>8129850</v>
          </cell>
        </row>
        <row r="599">
          <cell r="A599" t="str">
            <v>25.051</v>
          </cell>
          <cell r="B599" t="str">
            <v>Çimento badana</v>
          </cell>
          <cell r="C599" t="str">
            <v>M2</v>
          </cell>
          <cell r="E599">
            <v>168313</v>
          </cell>
          <cell r="F599">
            <v>227291</v>
          </cell>
          <cell r="G599">
            <v>347576</v>
          </cell>
          <cell r="H599">
            <v>493665</v>
          </cell>
        </row>
        <row r="600">
          <cell r="A600" t="str">
            <v>25.052</v>
          </cell>
          <cell r="B600" t="str">
            <v>Katran badana</v>
          </cell>
          <cell r="C600" t="str">
            <v>M2</v>
          </cell>
          <cell r="E600">
            <v>361920</v>
          </cell>
          <cell r="F600">
            <v>492750</v>
          </cell>
          <cell r="G600">
            <v>758750</v>
          </cell>
          <cell r="H600">
            <v>1097000</v>
          </cell>
        </row>
        <row r="601">
          <cell r="A601" t="str">
            <v>2500</v>
          </cell>
          <cell r="B601" t="str">
            <v>Her cins ve klastaki zeminde reglaj</v>
          </cell>
          <cell r="C601" t="str">
            <v>KM</v>
          </cell>
          <cell r="E601">
            <v>0</v>
          </cell>
          <cell r="F601">
            <v>0</v>
          </cell>
          <cell r="G601">
            <v>0</v>
          </cell>
        </row>
        <row r="602">
          <cell r="A602" t="str">
            <v>2540</v>
          </cell>
          <cell r="B602" t="str">
            <v>Şevlerde bitkisel toprak tabakası teşkili (Ocak veya depo malzemesinden)</v>
          </cell>
          <cell r="C602" t="str">
            <v>M3</v>
          </cell>
          <cell r="E602">
            <v>2869390</v>
          </cell>
          <cell r="F602">
            <v>3852587</v>
          </cell>
          <cell r="G602">
            <v>5941668</v>
          </cell>
          <cell r="H602">
            <v>8376831</v>
          </cell>
        </row>
        <row r="603">
          <cell r="A603" t="str">
            <v>2540/K-1</v>
          </cell>
          <cell r="B603" t="str">
            <v>Bordürle çevrilmiş refüjlerde ve düz sahalarda işbaşına getirilmiş 1 m3 toprağın serilmesi ve düzeltilmesi.</v>
          </cell>
          <cell r="C603" t="str">
            <v>M3</v>
          </cell>
          <cell r="G603">
            <v>543500</v>
          </cell>
        </row>
        <row r="604">
          <cell r="A604" t="str">
            <v>2541</v>
          </cell>
          <cell r="B604" t="str">
            <v>Şevlerde bitkisel toprak tabakası teşkili (Mevcut bitkisel toprak kazısından)</v>
          </cell>
          <cell r="C604" t="str">
            <v>M3</v>
          </cell>
          <cell r="E604">
            <v>2632000</v>
          </cell>
          <cell r="F604">
            <v>3555000</v>
          </cell>
          <cell r="G604">
            <v>5435000</v>
          </cell>
          <cell r="H604">
            <v>7720000</v>
          </cell>
        </row>
        <row r="605">
          <cell r="A605" t="str">
            <v>26.021/K</v>
          </cell>
          <cell r="B605" t="str">
            <v>Yivli karo siman kaplama (Tesviye betonsuz)</v>
          </cell>
          <cell r="C605" t="str">
            <v>M2</v>
          </cell>
          <cell r="E605">
            <v>3430613</v>
          </cell>
          <cell r="F605">
            <v>4411757</v>
          </cell>
          <cell r="G605">
            <v>6958072</v>
          </cell>
          <cell r="H605">
            <v>9678202</v>
          </cell>
        </row>
        <row r="606">
          <cell r="A606" t="str">
            <v>26.021/K-1</v>
          </cell>
          <cell r="B606" t="str">
            <v>Yivli karo siman kaplama (Tesviye betonlu)</v>
          </cell>
          <cell r="C606" t="str">
            <v>M2</v>
          </cell>
          <cell r="E606">
            <v>4012748</v>
          </cell>
          <cell r="F606">
            <v>5198021</v>
          </cell>
          <cell r="G606">
            <v>8159618</v>
          </cell>
          <cell r="H606">
            <v>11384886</v>
          </cell>
        </row>
        <row r="607">
          <cell r="A607" t="str">
            <v>26.030/K</v>
          </cell>
          <cell r="B607" t="str">
            <v>Renkli ve yivli karo siman kaplama (Tesviye betonsuz)</v>
          </cell>
          <cell r="C607" t="str">
            <v>M2</v>
          </cell>
          <cell r="E607">
            <v>3504113</v>
          </cell>
          <cell r="F607">
            <v>4499695</v>
          </cell>
          <cell r="G607">
            <v>7103760</v>
          </cell>
          <cell r="H607">
            <v>9875077</v>
          </cell>
        </row>
        <row r="608">
          <cell r="A608" t="str">
            <v>26.030/K-1</v>
          </cell>
          <cell r="B608" t="str">
            <v>Renkli ve yivli karo siman kaplama (Tesviye betonlu)</v>
          </cell>
          <cell r="C608" t="str">
            <v>M2</v>
          </cell>
          <cell r="E608">
            <v>4086248</v>
          </cell>
          <cell r="F608">
            <v>5285958</v>
          </cell>
          <cell r="G608">
            <v>8305306</v>
          </cell>
          <cell r="H608">
            <v>11581761</v>
          </cell>
        </row>
        <row r="609">
          <cell r="A609" t="str">
            <v>26.041/K</v>
          </cell>
          <cell r="B609" t="str">
            <v>Karo mozaik kaplama (Tesviye betonsuz)</v>
          </cell>
          <cell r="C609" t="str">
            <v>M2</v>
          </cell>
          <cell r="E609">
            <v>4585613</v>
          </cell>
          <cell r="F609">
            <v>5797757</v>
          </cell>
          <cell r="G609">
            <v>9245760</v>
          </cell>
          <cell r="H609">
            <v>12837390</v>
          </cell>
        </row>
        <row r="610">
          <cell r="A610" t="str">
            <v>26.041/K-1</v>
          </cell>
          <cell r="B610" t="str">
            <v>Karo mozaik kaplama (Tesviye betonlu)</v>
          </cell>
          <cell r="C610" t="str">
            <v>M2</v>
          </cell>
          <cell r="E610">
            <v>5167748</v>
          </cell>
          <cell r="F610">
            <v>6584021</v>
          </cell>
          <cell r="G610">
            <v>10447306</v>
          </cell>
          <cell r="H610">
            <v>14544073</v>
          </cell>
        </row>
        <row r="611">
          <cell r="A611" t="str">
            <v>2640</v>
          </cell>
          <cell r="B611" t="str">
            <v>Elenmemiş malzeme ile sanat yapıları ve köprü temel tabanına, beton yol ve tretuvar altlarına kum, çakıl tabakası serilmesi ve drenaj hendekleri ile her türlü büz yanlarında kum, çakıl dolgu yapılması</v>
          </cell>
          <cell r="C611" t="str">
            <v>M3</v>
          </cell>
          <cell r="E611">
            <v>1734855</v>
          </cell>
          <cell r="F611">
            <v>2334938</v>
          </cell>
          <cell r="G611">
            <v>3647385</v>
          </cell>
          <cell r="H611">
            <v>5154140</v>
          </cell>
        </row>
        <row r="612">
          <cell r="A612" t="str">
            <v>2641</v>
          </cell>
          <cell r="B612" t="str">
            <v>Elenmiş malzeme ile sanat yapıları ve köprü temel tabanına, beton yol ve tretuvar altlarına kum, çakıl tabakası serilmesi ve drenaj hendekleri ile her türlü büz yanlarında kum, çakıl dolgu yapılması</v>
          </cell>
          <cell r="C612" t="str">
            <v>M3</v>
          </cell>
          <cell r="E612">
            <v>2518413</v>
          </cell>
          <cell r="F612">
            <v>3374835</v>
          </cell>
          <cell r="G612">
            <v>5401428</v>
          </cell>
          <cell r="H612">
            <v>7612880</v>
          </cell>
        </row>
        <row r="613">
          <cell r="A613" t="str">
            <v>2641-1</v>
          </cell>
          <cell r="B613" t="str">
            <v>Ocak taşından konkasörde kırılmış ve elenmiş malzeme ile drenaj hendeklerine filitre dolgusu</v>
          </cell>
          <cell r="C613" t="str">
            <v>M3</v>
          </cell>
          <cell r="G613">
            <v>13047119</v>
          </cell>
          <cell r="H613">
            <v>18269574</v>
          </cell>
        </row>
        <row r="614">
          <cell r="A614" t="str">
            <v>2644</v>
          </cell>
          <cell r="B614" t="str">
            <v>İmla altına elenmemiş kum şilte malzemesi hazırlanması</v>
          </cell>
          <cell r="C614" t="str">
            <v>M3</v>
          </cell>
          <cell r="E614">
            <v>418855</v>
          </cell>
          <cell r="F614">
            <v>557438</v>
          </cell>
          <cell r="G614">
            <v>929885</v>
          </cell>
          <cell r="H614">
            <v>1294140</v>
          </cell>
        </row>
        <row r="615">
          <cell r="A615" t="str">
            <v>2645</v>
          </cell>
          <cell r="B615" t="str">
            <v>İmla altına elenmiş kum şilte malzemesi hazırlanması</v>
          </cell>
          <cell r="C615" t="str">
            <v>M3</v>
          </cell>
          <cell r="E615">
            <v>1202413</v>
          </cell>
          <cell r="F615">
            <v>1597335</v>
          </cell>
          <cell r="G615">
            <v>2683928</v>
          </cell>
          <cell r="H615">
            <v>3752880</v>
          </cell>
        </row>
        <row r="616">
          <cell r="A616" t="str">
            <v>2649</v>
          </cell>
          <cell r="B616" t="str">
            <v>Geçirimsiz  kil tabakası teşkili (El ile hazırlanmış kil ile)</v>
          </cell>
          <cell r="C616" t="str">
            <v>M3</v>
          </cell>
          <cell r="E616">
            <v>5658800</v>
          </cell>
          <cell r="F616">
            <v>7643250</v>
          </cell>
          <cell r="G616">
            <v>11685250</v>
          </cell>
          <cell r="H616">
            <v>16598000</v>
          </cell>
        </row>
        <row r="617">
          <cell r="A617" t="str">
            <v>2649/1</v>
          </cell>
          <cell r="B617" t="str">
            <v>Geçirimsiz kil tabakası teşkili (Makine ile hazırlanmış kil ile)</v>
          </cell>
          <cell r="C617" t="str">
            <v>M3</v>
          </cell>
          <cell r="E617">
            <v>1584910</v>
          </cell>
          <cell r="F617">
            <v>2130631</v>
          </cell>
          <cell r="G617">
            <v>3351672</v>
          </cell>
          <cell r="H617">
            <v>4728383</v>
          </cell>
        </row>
        <row r="618">
          <cell r="A618" t="str">
            <v>27.101/K</v>
          </cell>
          <cell r="B618" t="str">
            <v>Moloz ve çaplanmış moloz taş inşaat yüzlerine gömme oluklu derz yapılması</v>
          </cell>
          <cell r="C618" t="str">
            <v>M2</v>
          </cell>
          <cell r="E618">
            <v>689031</v>
          </cell>
          <cell r="F618">
            <v>930583</v>
          </cell>
          <cell r="G618">
            <v>1422941</v>
          </cell>
          <cell r="H618">
            <v>2021020</v>
          </cell>
        </row>
        <row r="619">
          <cell r="A619" t="str">
            <v>27.104/K</v>
          </cell>
          <cell r="B619" t="str">
            <v>Yonma ve kesme taş inşaat yüzlerine derz yapılması</v>
          </cell>
          <cell r="C619" t="str">
            <v>M2</v>
          </cell>
          <cell r="E619">
            <v>889910</v>
          </cell>
          <cell r="F619">
            <v>1201770</v>
          </cell>
          <cell r="G619">
            <v>1837817</v>
          </cell>
          <cell r="H619">
            <v>2610172</v>
          </cell>
        </row>
        <row r="620">
          <cell r="A620" t="str">
            <v>27.501/K</v>
          </cell>
          <cell r="B620" t="str">
            <v>2 cm. kalınlıkta beton yüzey sıvası</v>
          </cell>
          <cell r="C620" t="str">
            <v>M2</v>
          </cell>
          <cell r="E620">
            <v>1068573</v>
          </cell>
          <cell r="F620">
            <v>1443087</v>
          </cell>
          <cell r="G620">
            <v>2206751</v>
          </cell>
          <cell r="H620">
            <v>3134215</v>
          </cell>
        </row>
        <row r="621">
          <cell r="A621" t="str">
            <v>27.583/K</v>
          </cell>
          <cell r="B621" t="str">
            <v>2 cm. kalınlıkta şap yapılması</v>
          </cell>
          <cell r="C621" t="str">
            <v>M2</v>
          </cell>
          <cell r="E621">
            <v>1277923</v>
          </cell>
          <cell r="F621">
            <v>1701501</v>
          </cell>
          <cell r="G621">
            <v>2675013</v>
          </cell>
          <cell r="H621">
            <v>3734902</v>
          </cell>
        </row>
        <row r="622">
          <cell r="A622" t="str">
            <v>27.583/K-1</v>
          </cell>
          <cell r="B622" t="str">
            <v>3 cm. kalınlıkta şap yapılması</v>
          </cell>
          <cell r="C622" t="str">
            <v>M2</v>
          </cell>
          <cell r="E622">
            <v>1437226</v>
          </cell>
          <cell r="F622">
            <v>1904461</v>
          </cell>
          <cell r="G622">
            <v>3021987</v>
          </cell>
          <cell r="H622">
            <v>4195473</v>
          </cell>
        </row>
        <row r="623">
          <cell r="A623" t="str">
            <v>27.586/K</v>
          </cell>
          <cell r="B623" t="str">
            <v>4 cm. kalınlıkta şap yapılması</v>
          </cell>
          <cell r="C623" t="str">
            <v>M2</v>
          </cell>
          <cell r="E623">
            <v>1596528</v>
          </cell>
          <cell r="F623">
            <v>2107422</v>
          </cell>
          <cell r="G623">
            <v>3368960</v>
          </cell>
          <cell r="H623">
            <v>4656043</v>
          </cell>
        </row>
        <row r="624">
          <cell r="A624" t="str">
            <v>3085</v>
          </cell>
          <cell r="B624" t="str">
            <v>Ortalama kesiti 300 cm2 (300 cm2 dahil) ye kadar her boyda ahşap kazık çakılması</v>
          </cell>
          <cell r="C624" t="str">
            <v>MT</v>
          </cell>
          <cell r="E624">
            <v>316280</v>
          </cell>
          <cell r="F624">
            <v>411160</v>
          </cell>
          <cell r="G624">
            <v>698970</v>
          </cell>
          <cell r="H624">
            <v>1328040</v>
          </cell>
        </row>
        <row r="625">
          <cell r="A625" t="str">
            <v>3087</v>
          </cell>
          <cell r="B625" t="str">
            <v>Ortalama kesiti 300-900 cm2 (900 cm2 dahil)ye kadar her boyda ahşap kazık çakılması</v>
          </cell>
          <cell r="C625" t="str">
            <v>MT</v>
          </cell>
          <cell r="E625">
            <v>1773720</v>
          </cell>
          <cell r="F625">
            <v>2305840</v>
          </cell>
          <cell r="G625">
            <v>3919930</v>
          </cell>
          <cell r="H625">
            <v>7447870</v>
          </cell>
        </row>
        <row r="626">
          <cell r="A626" t="str">
            <v>3088</v>
          </cell>
          <cell r="B626" t="str">
            <v>Ortalama kesiti 900 cm2 den büyük her boyda ahşap kazık çakılması</v>
          </cell>
          <cell r="C626" t="str">
            <v>MT</v>
          </cell>
          <cell r="E626">
            <v>2260010</v>
          </cell>
          <cell r="F626">
            <v>2938010</v>
          </cell>
          <cell r="G626">
            <v>4994620</v>
          </cell>
          <cell r="H626">
            <v>9489780</v>
          </cell>
        </row>
        <row r="627">
          <cell r="A627" t="str">
            <v>3091</v>
          </cell>
          <cell r="B627" t="str">
            <v>Çelik kazık çakılması</v>
          </cell>
          <cell r="C627" t="str">
            <v>MT</v>
          </cell>
          <cell r="E627">
            <v>1773720</v>
          </cell>
          <cell r="F627">
            <v>2305840</v>
          </cell>
          <cell r="G627">
            <v>3919930</v>
          </cell>
          <cell r="H627">
            <v>7447870</v>
          </cell>
        </row>
        <row r="628">
          <cell r="A628" t="str">
            <v>3092</v>
          </cell>
          <cell r="B628" t="str">
            <v>Betonarme kazık çakılması (30 cm. x 30 cm.)</v>
          </cell>
          <cell r="C628" t="str">
            <v>MT</v>
          </cell>
          <cell r="E628">
            <v>4029730</v>
          </cell>
          <cell r="F628">
            <v>5238650</v>
          </cell>
          <cell r="G628">
            <v>8905710</v>
          </cell>
          <cell r="H628">
            <v>16920850</v>
          </cell>
        </row>
        <row r="629">
          <cell r="A629" t="str">
            <v>3093</v>
          </cell>
          <cell r="B629" t="str">
            <v>Betonarme kazık çakılması (35 cm. x 35 cm.)</v>
          </cell>
          <cell r="C629" t="str">
            <v>MT</v>
          </cell>
          <cell r="E629">
            <v>4514170</v>
          </cell>
          <cell r="F629">
            <v>5868420</v>
          </cell>
          <cell r="G629">
            <v>9976310</v>
          </cell>
          <cell r="H629">
            <v>18954990</v>
          </cell>
        </row>
        <row r="630">
          <cell r="A630" t="str">
            <v>3094</v>
          </cell>
          <cell r="B630" t="str">
            <v>Betonarme kazık çakılması (40 cm. x 40 cm.)</v>
          </cell>
          <cell r="C630" t="str">
            <v>MT</v>
          </cell>
          <cell r="E630">
            <v>5076860</v>
          </cell>
          <cell r="F630">
            <v>6599920</v>
          </cell>
          <cell r="G630">
            <v>11219860</v>
          </cell>
          <cell r="H630">
            <v>21317730</v>
          </cell>
        </row>
        <row r="631">
          <cell r="A631" t="str">
            <v>3095</v>
          </cell>
          <cell r="B631" t="str">
            <v>Betonarme kazık çakılması (45 cm. x 45 cm.)</v>
          </cell>
          <cell r="C631" t="str">
            <v>MT</v>
          </cell>
          <cell r="E631">
            <v>5582300</v>
          </cell>
          <cell r="F631">
            <v>7256990</v>
          </cell>
          <cell r="G631">
            <v>12336880</v>
          </cell>
          <cell r="H631">
            <v>23440070</v>
          </cell>
        </row>
        <row r="632">
          <cell r="A632" t="str">
            <v>3096</v>
          </cell>
          <cell r="B632" t="str">
            <v>10 m.den uzun betonarme kazık çakılması (30 cm. x 30 cm.)</v>
          </cell>
          <cell r="C632" t="str">
            <v>MT</v>
          </cell>
          <cell r="E632">
            <v>4029730</v>
          </cell>
          <cell r="F632">
            <v>5238650</v>
          </cell>
          <cell r="G632">
            <v>8905710</v>
          </cell>
          <cell r="H632">
            <v>16920850</v>
          </cell>
        </row>
        <row r="633">
          <cell r="A633" t="str">
            <v>3097</v>
          </cell>
          <cell r="B633" t="str">
            <v>10 m.den uzun betonarme kazık çakılması (35 cm. x 35 cm.)</v>
          </cell>
          <cell r="C633" t="str">
            <v>MT</v>
          </cell>
          <cell r="E633">
            <v>4514170</v>
          </cell>
          <cell r="F633">
            <v>5868420</v>
          </cell>
          <cell r="G633">
            <v>9976310</v>
          </cell>
          <cell r="H633">
            <v>18954990</v>
          </cell>
        </row>
        <row r="634">
          <cell r="A634" t="str">
            <v>3098</v>
          </cell>
          <cell r="B634" t="str">
            <v>10 m.den uzun betonarme kazık çakılması (40 cm. x 40 cm.)</v>
          </cell>
          <cell r="C634" t="str">
            <v>MT</v>
          </cell>
          <cell r="E634">
            <v>5076860</v>
          </cell>
          <cell r="F634">
            <v>6599920</v>
          </cell>
          <cell r="G634">
            <v>11219860</v>
          </cell>
          <cell r="H634">
            <v>21317730</v>
          </cell>
        </row>
        <row r="635">
          <cell r="A635" t="str">
            <v>3099</v>
          </cell>
          <cell r="B635" t="str">
            <v>10 m.den uzun betonarme kazık çakılması (45 cm. x 45 cm.)</v>
          </cell>
          <cell r="C635" t="str">
            <v>MT</v>
          </cell>
          <cell r="E635">
            <v>5582300</v>
          </cell>
          <cell r="F635">
            <v>7256990</v>
          </cell>
          <cell r="G635">
            <v>12336880</v>
          </cell>
          <cell r="H635">
            <v>23440070</v>
          </cell>
        </row>
        <row r="636">
          <cell r="A636" t="str">
            <v>32.001/K</v>
          </cell>
          <cell r="B636" t="str">
            <v>Her cins ve klastaki zeminde tünel kazısı</v>
          </cell>
          <cell r="C636" t="str">
            <v>M3</v>
          </cell>
          <cell r="E636">
            <v>18906356</v>
          </cell>
          <cell r="F636">
            <v>25205141</v>
          </cell>
          <cell r="G636">
            <v>40352053</v>
          </cell>
          <cell r="H636">
            <v>56249500</v>
          </cell>
        </row>
        <row r="637">
          <cell r="A637" t="str">
            <v>32.001/K-1</v>
          </cell>
          <cell r="B637" t="str">
            <v>Her cins ve klastaki zeminde tünel kazısı (Shotcrete, bulonlama, hasır çelik ve çelik profil iksa vs. gibi iksa bedellerinin ayrıca ödendiği tünel kesimlerinin kazısı için)</v>
          </cell>
          <cell r="C637" t="str">
            <v>M3</v>
          </cell>
          <cell r="E637">
            <v>16343766</v>
          </cell>
          <cell r="F637">
            <v>21991785</v>
          </cell>
          <cell r="G637">
            <v>34807053</v>
          </cell>
          <cell r="H637">
            <v>48992750</v>
          </cell>
        </row>
        <row r="638">
          <cell r="A638" t="str">
            <v>32.002/K</v>
          </cell>
          <cell r="B638" t="str">
            <v>Her cins ve klastaki zeminde kesiti 6 m2 den az olan drenaj, kaptaj ve benzeri galeri kazısı</v>
          </cell>
          <cell r="C638" t="str">
            <v>M3</v>
          </cell>
          <cell r="E638">
            <v>28277613</v>
          </cell>
          <cell r="F638">
            <v>37707108</v>
          </cell>
          <cell r="G638">
            <v>60362085</v>
          </cell>
          <cell r="H638">
            <v>84165856</v>
          </cell>
        </row>
        <row r="639">
          <cell r="A639" t="str">
            <v>32.003</v>
          </cell>
          <cell r="B639" t="str">
            <v>Tünelde vantilasyon zammı (Tetler hariç, uzunluğu 300 m.yi geçen tünel inşaatı için)</v>
          </cell>
          <cell r="C639" t="str">
            <v>M3</v>
          </cell>
          <cell r="E639">
            <v>1515083</v>
          </cell>
          <cell r="F639">
            <v>2006761</v>
          </cell>
          <cell r="G639">
            <v>3441930</v>
          </cell>
          <cell r="H639">
            <v>4746722</v>
          </cell>
        </row>
        <row r="640">
          <cell r="A640" t="str">
            <v>32.004/K</v>
          </cell>
          <cell r="B640" t="str">
            <v>Tünel kazısı su zammı</v>
          </cell>
          <cell r="C640" t="str">
            <v>M3</v>
          </cell>
          <cell r="E640">
            <v>378126</v>
          </cell>
          <cell r="F640">
            <v>504102</v>
          </cell>
          <cell r="G640">
            <v>807040</v>
          </cell>
          <cell r="H640">
            <v>1124990</v>
          </cell>
        </row>
        <row r="641">
          <cell r="A641" t="str">
            <v>32.005/K</v>
          </cell>
          <cell r="B641" t="str">
            <v>Galeri kazısı su zammı</v>
          </cell>
          <cell r="C641" t="str">
            <v>M3</v>
          </cell>
          <cell r="E641">
            <v>2827761</v>
          </cell>
          <cell r="F641">
            <v>3770710</v>
          </cell>
          <cell r="G641">
            <v>6036207</v>
          </cell>
          <cell r="H641">
            <v>8416585</v>
          </cell>
        </row>
        <row r="642">
          <cell r="A642" t="str">
            <v>32.006/K</v>
          </cell>
          <cell r="B642" t="str">
            <v>Tünele ait inşaat malzemesinin yüklenmesi ve boşaltılması</v>
          </cell>
          <cell r="C642" t="str">
            <v>M3</v>
          </cell>
          <cell r="E642">
            <v>2134800</v>
          </cell>
          <cell r="F642">
            <v>2883750</v>
          </cell>
          <cell r="G642">
            <v>4410000</v>
          </cell>
          <cell r="H642">
            <v>6262500</v>
          </cell>
        </row>
        <row r="643">
          <cell r="A643" t="str">
            <v>3262</v>
          </cell>
          <cell r="B643" t="str">
            <v>Ocak taşı ile kuru dren</v>
          </cell>
          <cell r="C643" t="str">
            <v>M3</v>
          </cell>
          <cell r="E643">
            <v>8814725</v>
          </cell>
          <cell r="F643">
            <v>11878366</v>
          </cell>
          <cell r="G643">
            <v>18520717</v>
          </cell>
          <cell r="H643">
            <v>26181231</v>
          </cell>
        </row>
        <row r="644">
          <cell r="A644" t="str">
            <v>3263</v>
          </cell>
          <cell r="B644" t="str">
            <v>Kazı taşı ile kuru dren</v>
          </cell>
          <cell r="C644" t="str">
            <v>M3</v>
          </cell>
          <cell r="E644">
            <v>7174778</v>
          </cell>
          <cell r="F644">
            <v>9707926</v>
          </cell>
          <cell r="G644">
            <v>14804288</v>
          </cell>
          <cell r="H644">
            <v>21072358</v>
          </cell>
        </row>
        <row r="645">
          <cell r="A645" t="str">
            <v>3360</v>
          </cell>
          <cell r="B645" t="str">
            <v>Ocak taşı ile yaya kaldırım bordürü</v>
          </cell>
          <cell r="C645" t="str">
            <v>MT</v>
          </cell>
          <cell r="E645">
            <v>4619896</v>
          </cell>
          <cell r="F645">
            <v>6233502</v>
          </cell>
          <cell r="G645">
            <v>9593210</v>
          </cell>
          <cell r="H645">
            <v>13604157</v>
          </cell>
        </row>
        <row r="646">
          <cell r="A646" t="str">
            <v>3362</v>
          </cell>
          <cell r="B646" t="str">
            <v>Beton yaya kaldırım bordürü</v>
          </cell>
          <cell r="C646" t="str">
            <v>MT</v>
          </cell>
          <cell r="E646">
            <v>2881822</v>
          </cell>
          <cell r="F646">
            <v>3790062</v>
          </cell>
          <cell r="G646">
            <v>6102882</v>
          </cell>
          <cell r="H646">
            <v>8405762</v>
          </cell>
        </row>
        <row r="647">
          <cell r="A647" t="str">
            <v>3363</v>
          </cell>
          <cell r="B647" t="str">
            <v>Ocak taşı ile refüj bordürü</v>
          </cell>
          <cell r="C647" t="str">
            <v>MT</v>
          </cell>
          <cell r="E647">
            <v>5827061</v>
          </cell>
          <cell r="F647">
            <v>7862005</v>
          </cell>
          <cell r="G647">
            <v>12102855</v>
          </cell>
          <cell r="H647">
            <v>17161925</v>
          </cell>
        </row>
        <row r="648">
          <cell r="A648" t="str">
            <v>3365</v>
          </cell>
          <cell r="B648" t="str">
            <v>Beton refüj bordürü</v>
          </cell>
          <cell r="C648" t="str">
            <v>MT</v>
          </cell>
          <cell r="E648">
            <v>3035066</v>
          </cell>
          <cell r="F648">
            <v>4015498</v>
          </cell>
          <cell r="G648">
            <v>6396028</v>
          </cell>
          <cell r="H648">
            <v>8869651</v>
          </cell>
        </row>
        <row r="649">
          <cell r="A649" t="str">
            <v>3368</v>
          </cell>
          <cell r="B649" t="str">
            <v>Beton ayırma taşı</v>
          </cell>
          <cell r="C649" t="str">
            <v>MT</v>
          </cell>
          <cell r="E649">
            <v>900791</v>
          </cell>
          <cell r="F649">
            <v>1165953</v>
          </cell>
          <cell r="G649">
            <v>1933260</v>
          </cell>
          <cell r="H649">
            <v>2615615</v>
          </cell>
        </row>
        <row r="650">
          <cell r="A650" t="str">
            <v>34.001</v>
          </cell>
          <cell r="B650" t="str">
            <v>Ocak taşından 0-0,005 ton kategorideki taşlar ile tahkimatın yapımı (Dalgakıran ve deniz tahkimatı gibi inşaatta)</v>
          </cell>
          <cell r="C650" t="str">
            <v>TN</v>
          </cell>
          <cell r="E650">
            <v>613288</v>
          </cell>
          <cell r="F650">
            <v>813593</v>
          </cell>
          <cell r="G650">
            <v>1424703</v>
          </cell>
          <cell r="H650">
            <v>1965825</v>
          </cell>
        </row>
        <row r="651">
          <cell r="A651" t="str">
            <v>34.001/1-K</v>
          </cell>
          <cell r="B651" t="str">
            <v>Kazı taşından 0-0,005 ton kategorideki taşlar ile tahkimatın yapımı (Dalgakıran ve deniz tahkimatı gibi inşaatta)</v>
          </cell>
          <cell r="C651" t="str">
            <v>TN</v>
          </cell>
          <cell r="E651">
            <v>165210</v>
          </cell>
          <cell r="F651">
            <v>220675</v>
          </cell>
          <cell r="G651">
            <v>419772</v>
          </cell>
          <cell r="H651">
            <v>589787</v>
          </cell>
        </row>
        <row r="652">
          <cell r="A652" t="str">
            <v>34.003</v>
          </cell>
          <cell r="B652" t="str">
            <v>Ocak taşından 0,005-0,100 ton kategorideki taşlar ile tahkimatın yapımı (Dalgakıran ve deniz tahkimatı gibi inşaatta)</v>
          </cell>
          <cell r="C652" t="str">
            <v>TN</v>
          </cell>
          <cell r="E652">
            <v>1123918</v>
          </cell>
          <cell r="F652">
            <v>1488455</v>
          </cell>
          <cell r="G652">
            <v>2594602</v>
          </cell>
          <cell r="H652">
            <v>3582580</v>
          </cell>
        </row>
        <row r="653">
          <cell r="A653" t="str">
            <v>34.003/1-K</v>
          </cell>
          <cell r="B653" t="str">
            <v>Kazı taşından 0,005-0,100 ton kategorideki taşlar ile tahkimatın yapımı (Dalgakıran ve deniz tahkimatı gibi inşaatta)</v>
          </cell>
          <cell r="C653" t="str">
            <v>TN</v>
          </cell>
          <cell r="E653">
            <v>432327</v>
          </cell>
          <cell r="F653">
            <v>569787</v>
          </cell>
          <cell r="G653">
            <v>1061372</v>
          </cell>
          <cell r="H653">
            <v>1469595</v>
          </cell>
        </row>
        <row r="654">
          <cell r="A654" t="str">
            <v>34.004/1-K</v>
          </cell>
          <cell r="B654" t="str">
            <v>Kazı taşından 0-0,250 ton kategorideki taşlar ile tahkimatın yapımı (Dalgakıran ve deniz tahkimatı gibi inşaatta)</v>
          </cell>
          <cell r="C654" t="str">
            <v>TN</v>
          </cell>
          <cell r="E654">
            <v>486966</v>
          </cell>
          <cell r="F654">
            <v>641192</v>
          </cell>
          <cell r="G654">
            <v>1192641</v>
          </cell>
          <cell r="H654">
            <v>1649592</v>
          </cell>
        </row>
        <row r="655">
          <cell r="A655" t="str">
            <v>34.004/K</v>
          </cell>
          <cell r="B655" t="str">
            <v>Ocak taşından 0-0,250 ton kategorideki taşlar ile tahkimatın yapımı (Dalgakıran ve deniz tahkimatı gibi inşaatta)</v>
          </cell>
          <cell r="C655" t="str">
            <v>TN</v>
          </cell>
          <cell r="E655">
            <v>1224142</v>
          </cell>
          <cell r="F655">
            <v>1620937</v>
          </cell>
          <cell r="G655">
            <v>2824030</v>
          </cell>
          <cell r="H655">
            <v>3899683</v>
          </cell>
        </row>
        <row r="656">
          <cell r="A656" t="str">
            <v>34.005</v>
          </cell>
          <cell r="B656" t="str">
            <v>Ocak taşından 0,100-0,250 ton kategorideki taşlar ile tahkimatın yapımı (Dalgakıran ve deniz tahkimatı gibi inşaatta)</v>
          </cell>
          <cell r="C656" t="str">
            <v>TN</v>
          </cell>
          <cell r="E656">
            <v>1257591</v>
          </cell>
          <cell r="F656">
            <v>1665095</v>
          </cell>
          <cell r="G656">
            <v>2901031</v>
          </cell>
          <cell r="H656">
            <v>4006010</v>
          </cell>
        </row>
        <row r="657">
          <cell r="A657" t="str">
            <v>34.005/1-K</v>
          </cell>
          <cell r="B657" t="str">
            <v>Kazı taşından 0,100-0,250 ton kategorideki taşlar ile tahkimatın yapımı (Dalgakıran ve deniz tahkimatı gibi inşaatta)</v>
          </cell>
          <cell r="C657" t="str">
            <v>TN</v>
          </cell>
          <cell r="E657">
            <v>530446</v>
          </cell>
          <cell r="F657">
            <v>698015</v>
          </cell>
          <cell r="G657">
            <v>1297121</v>
          </cell>
          <cell r="H657">
            <v>1792851</v>
          </cell>
        </row>
        <row r="658">
          <cell r="A658" t="str">
            <v>34.006/1-K</v>
          </cell>
          <cell r="B658" t="str">
            <v>Kazı taşından 0-0,400 ton kategorideki taşlar ile tahkimatın yapımı (Dalgakıran ve deniz tahkimatı gibi inşaatta)</v>
          </cell>
          <cell r="C658" t="str">
            <v>TN</v>
          </cell>
          <cell r="E658">
            <v>559981</v>
          </cell>
          <cell r="F658">
            <v>736608</v>
          </cell>
          <cell r="G658">
            <v>1368115</v>
          </cell>
          <cell r="H658">
            <v>1890191</v>
          </cell>
        </row>
        <row r="659">
          <cell r="A659" t="str">
            <v>34.006/K</v>
          </cell>
          <cell r="B659" t="str">
            <v>Ocak taşından 0-0,400 ton kategorideki taşlar ile tahkimatın yapımı (Dalgakıran ve deniz tahkimatı gibi inşaatta)</v>
          </cell>
          <cell r="C659" t="str">
            <v>TN</v>
          </cell>
          <cell r="E659">
            <v>1285085</v>
          </cell>
          <cell r="F659">
            <v>1701320</v>
          </cell>
          <cell r="G659">
            <v>2964868</v>
          </cell>
          <cell r="H659">
            <v>4094032</v>
          </cell>
        </row>
        <row r="660">
          <cell r="A660" t="str">
            <v>34.007</v>
          </cell>
          <cell r="B660" t="str">
            <v>Ocak taşından 0,250-0,400 ton kategorideki taşlar ile tahkimatın yapımı (Dalgakıran ve deniz tahkimatı gibi inşaatta)</v>
          </cell>
          <cell r="C660" t="str">
            <v>TN</v>
          </cell>
          <cell r="E660">
            <v>1403478</v>
          </cell>
          <cell r="F660">
            <v>1856347</v>
          </cell>
          <cell r="G660">
            <v>3247038</v>
          </cell>
          <cell r="H660">
            <v>4481448</v>
          </cell>
        </row>
        <row r="661">
          <cell r="A661" t="str">
            <v>34.007/1-K</v>
          </cell>
          <cell r="B661" t="str">
            <v>Kazı taşından 0,250-0,400 ton kategorideki taşlar ile tahkimatın yapımı (Dalgakıran ve deniz tahkimatı gibi inşaatta)</v>
          </cell>
          <cell r="C661" t="str">
            <v>TN</v>
          </cell>
          <cell r="E661">
            <v>678772</v>
          </cell>
          <cell r="F661">
            <v>891868</v>
          </cell>
          <cell r="G661">
            <v>1653417</v>
          </cell>
          <cell r="H661">
            <v>2281425</v>
          </cell>
        </row>
        <row r="662">
          <cell r="A662" t="str">
            <v>34.008/1-K</v>
          </cell>
          <cell r="B662" t="str">
            <v>Kazı taşından 0,400-2 ton kategorideki taşlar ile tahkimatın yapımı (Dalgakıran ve deniz tahkimatı gibi inşaatta)</v>
          </cell>
          <cell r="C662" t="str">
            <v>TN</v>
          </cell>
          <cell r="E662">
            <v>692090</v>
          </cell>
          <cell r="F662">
            <v>909067</v>
          </cell>
          <cell r="G662">
            <v>1687001</v>
          </cell>
          <cell r="H662">
            <v>2327072</v>
          </cell>
        </row>
        <row r="663">
          <cell r="A663" t="str">
            <v>34.008/K</v>
          </cell>
          <cell r="B663" t="str">
            <v>Ocak taşından 0,400-2 ton kategorideki taşlar ile tahkimatın yapımı (Dalgakıran ve deniz tahkimatı gibi inşaatta)</v>
          </cell>
          <cell r="C663" t="str">
            <v>TN</v>
          </cell>
          <cell r="E663">
            <v>1391173</v>
          </cell>
          <cell r="F663">
            <v>1840515</v>
          </cell>
          <cell r="G663">
            <v>3215635</v>
          </cell>
          <cell r="H663">
            <v>4438742</v>
          </cell>
        </row>
        <row r="664">
          <cell r="A664" t="str">
            <v>34.009/1-K</v>
          </cell>
          <cell r="B664" t="str">
            <v>Kazı taşından 2-6 ton kategorideki taşlar ile tahkimatın yapımı (Dalgakıran ve deniz tahkimatı gibi inşaatta)</v>
          </cell>
          <cell r="C664" t="str">
            <v>TN</v>
          </cell>
          <cell r="E664">
            <v>911470</v>
          </cell>
          <cell r="F664">
            <v>1195715</v>
          </cell>
          <cell r="G664">
            <v>2214515</v>
          </cell>
          <cell r="H664">
            <v>3050288</v>
          </cell>
        </row>
        <row r="665">
          <cell r="A665" t="str">
            <v>34.009/K</v>
          </cell>
          <cell r="B665" t="str">
            <v>Ocak taşından 2-6 ton kategorideki taşlar ile tahkimatın yapımı (Dalgakıran ve deniz tahkimatı gibi inşaatta)</v>
          </cell>
          <cell r="C665" t="str">
            <v>TN</v>
          </cell>
          <cell r="E665">
            <v>1722238</v>
          </cell>
          <cell r="F665">
            <v>2276090</v>
          </cell>
          <cell r="G665">
            <v>3989042</v>
          </cell>
          <cell r="H665">
            <v>5504081</v>
          </cell>
        </row>
        <row r="666">
          <cell r="A666" t="str">
            <v>34.010/1-K</v>
          </cell>
          <cell r="B666" t="str">
            <v>Kazı taşından 6-15 ton kategorideki taşlar ile tahkimatın yapımı (Dalgakıran ve deniz tahkimatı gibi inşaatta)</v>
          </cell>
          <cell r="C666" t="str">
            <v>TN</v>
          </cell>
          <cell r="E666">
            <v>1283618</v>
          </cell>
          <cell r="F666">
            <v>1681940</v>
          </cell>
          <cell r="G666">
            <v>3109613</v>
          </cell>
          <cell r="H666">
            <v>4277401</v>
          </cell>
        </row>
        <row r="667">
          <cell r="A667" t="str">
            <v>34.010/K</v>
          </cell>
          <cell r="B667" t="str">
            <v>Ocak taşından 6-15 ton kategorideki taşlar ile tahkimatın yapımı (Dalgakıran ve deniz tahkimatı gibi inşaatta)</v>
          </cell>
          <cell r="C667" t="str">
            <v>TN</v>
          </cell>
          <cell r="E667">
            <v>2281191</v>
          </cell>
          <cell r="F667">
            <v>3010912</v>
          </cell>
          <cell r="G667">
            <v>5299190</v>
          </cell>
          <cell r="H667">
            <v>7307758</v>
          </cell>
        </row>
        <row r="668">
          <cell r="A668" t="str">
            <v>34.011/1-K</v>
          </cell>
          <cell r="B668" t="str">
            <v>Kazı taşından 15 tondan yukarı kategorideki taşlar ile tahkimatın yapımı (Dalgakıran ve deniz tahkimatı gibi inşaatta)</v>
          </cell>
          <cell r="C668" t="str">
            <v>TN</v>
          </cell>
          <cell r="E668">
            <v>1789827</v>
          </cell>
          <cell r="F668">
            <v>2343302</v>
          </cell>
          <cell r="G668">
            <v>4327288</v>
          </cell>
          <cell r="H668">
            <v>5946707</v>
          </cell>
        </row>
        <row r="669">
          <cell r="A669" t="str">
            <v>34.011/K</v>
          </cell>
          <cell r="B669" t="str">
            <v>Ocak taşından 15 tondan yukarı kategorideki taşlar ile tahkimatın yapımı(Dalgakıran ve deniz tahkimatı gibi inşaatta)</v>
          </cell>
          <cell r="C669" t="str">
            <v>TN</v>
          </cell>
          <cell r="E669">
            <v>2866496</v>
          </cell>
          <cell r="F669">
            <v>3779395</v>
          </cell>
          <cell r="G669">
            <v>6678546</v>
          </cell>
          <cell r="H669">
            <v>9205028</v>
          </cell>
        </row>
        <row r="670">
          <cell r="A670" t="str">
            <v>34.012/1-K</v>
          </cell>
          <cell r="B670" t="str">
            <v>Ocak artığının ocakta depo edilmesi</v>
          </cell>
          <cell r="C670" t="str">
            <v>M3</v>
          </cell>
          <cell r="E670">
            <v>516845</v>
          </cell>
          <cell r="F670">
            <v>675463</v>
          </cell>
          <cell r="G670">
            <v>1241690</v>
          </cell>
          <cell r="H670">
            <v>1702627</v>
          </cell>
        </row>
        <row r="671">
          <cell r="A671" t="str">
            <v>34.012/K</v>
          </cell>
          <cell r="B671" t="str">
            <v>Ocak artığı ile dolgu</v>
          </cell>
          <cell r="C671" t="str">
            <v>M3</v>
          </cell>
          <cell r="E671">
            <v>596608</v>
          </cell>
          <cell r="F671">
            <v>779535</v>
          </cell>
          <cell r="G671">
            <v>1434655</v>
          </cell>
          <cell r="H671">
            <v>1966885</v>
          </cell>
        </row>
        <row r="672">
          <cell r="A672" t="str">
            <v>34.113/K</v>
          </cell>
          <cell r="B672" t="str">
            <v>Ocakta kalan kategori fazlası taş</v>
          </cell>
          <cell r="C672" t="str">
            <v>M3</v>
          </cell>
          <cell r="E672">
            <v>870033</v>
          </cell>
          <cell r="F672">
            <v>1152763</v>
          </cell>
          <cell r="G672">
            <v>2002102</v>
          </cell>
          <cell r="H672">
            <v>2765856</v>
          </cell>
        </row>
        <row r="673">
          <cell r="A673" t="str">
            <v>3400</v>
          </cell>
          <cell r="B673" t="str">
            <v>Ocak taşından istifsiz köprü ve menfez tahkimatı</v>
          </cell>
          <cell r="C673" t="str">
            <v>M3</v>
          </cell>
          <cell r="E673">
            <v>7785891</v>
          </cell>
          <cell r="F673">
            <v>10491128</v>
          </cell>
          <cell r="G673">
            <v>16366192</v>
          </cell>
          <cell r="H673">
            <v>23133363</v>
          </cell>
        </row>
        <row r="674">
          <cell r="A674" t="str">
            <v>3405</v>
          </cell>
          <cell r="B674" t="str">
            <v>Kazı taşından istifsiz köprü ve menfez tahkimatı</v>
          </cell>
          <cell r="C674" t="str">
            <v>M3</v>
          </cell>
          <cell r="E674">
            <v>6295031</v>
          </cell>
          <cell r="F674">
            <v>8518001</v>
          </cell>
          <cell r="G674">
            <v>12987621</v>
          </cell>
          <cell r="H674">
            <v>18488935</v>
          </cell>
        </row>
        <row r="675">
          <cell r="A675" t="str">
            <v>3410</v>
          </cell>
          <cell r="B675" t="str">
            <v>Ocak taşından istifli köprü ve menfez tahkimatı</v>
          </cell>
          <cell r="C675" t="str">
            <v>M3</v>
          </cell>
          <cell r="E675">
            <v>11751675</v>
          </cell>
          <cell r="F675">
            <v>15845241</v>
          </cell>
          <cell r="G675">
            <v>24586030</v>
          </cell>
          <cell r="H675">
            <v>34795918</v>
          </cell>
        </row>
        <row r="676">
          <cell r="A676" t="str">
            <v>3415</v>
          </cell>
          <cell r="B676" t="str">
            <v>Kazı taşından istifli köprü ve menfez tahkimatı</v>
          </cell>
          <cell r="C676" t="str">
            <v>M3</v>
          </cell>
          <cell r="E676">
            <v>10111728</v>
          </cell>
          <cell r="F676">
            <v>13674801</v>
          </cell>
          <cell r="G676">
            <v>20869601</v>
          </cell>
          <cell r="H676">
            <v>29687046</v>
          </cell>
        </row>
        <row r="677">
          <cell r="A677" t="str">
            <v>3520</v>
          </cell>
          <cell r="B677" t="str">
            <v>50 cm. kalınlıkta ocak taşı ile kuru pere</v>
          </cell>
          <cell r="C677" t="str">
            <v>M2</v>
          </cell>
          <cell r="E677">
            <v>7966803</v>
          </cell>
          <cell r="F677">
            <v>10745301</v>
          </cell>
          <cell r="G677">
            <v>16625902</v>
          </cell>
          <cell r="H677">
            <v>23545955</v>
          </cell>
        </row>
        <row r="678">
          <cell r="A678" t="str">
            <v>3521</v>
          </cell>
          <cell r="B678" t="str">
            <v>50 cm. kalınlıkta kazı taşı ile kuru pere</v>
          </cell>
          <cell r="C678" t="str">
            <v>M2</v>
          </cell>
          <cell r="E678">
            <v>7072288</v>
          </cell>
          <cell r="F678">
            <v>9561425</v>
          </cell>
          <cell r="G678">
            <v>14598760</v>
          </cell>
          <cell r="H678">
            <v>20759297</v>
          </cell>
        </row>
        <row r="679">
          <cell r="A679" t="str">
            <v>3522</v>
          </cell>
          <cell r="B679" t="str">
            <v>50 cm. kalınlıkta ocak taşı ile harçlı pere</v>
          </cell>
          <cell r="C679" t="str">
            <v>M2</v>
          </cell>
          <cell r="E679">
            <v>9569881</v>
          </cell>
          <cell r="F679">
            <v>12910997</v>
          </cell>
          <cell r="G679">
            <v>19933636</v>
          </cell>
          <cell r="H679">
            <v>28244376</v>
          </cell>
        </row>
        <row r="680">
          <cell r="A680" t="str">
            <v>3523</v>
          </cell>
          <cell r="B680" t="str">
            <v>50 cm. kalınlıkta kazı taşı ile harçlı pere</v>
          </cell>
          <cell r="C680" t="str">
            <v>M2</v>
          </cell>
          <cell r="E680">
            <v>8675366</v>
          </cell>
          <cell r="F680">
            <v>11727121</v>
          </cell>
          <cell r="G680">
            <v>17906493</v>
          </cell>
          <cell r="H680">
            <v>25457718</v>
          </cell>
        </row>
        <row r="681">
          <cell r="A681" t="str">
            <v>3524</v>
          </cell>
          <cell r="B681" t="str">
            <v>Betondan mamul dolu bloklarla her boyutta kuru pere yapılması</v>
          </cell>
          <cell r="C681" t="str">
            <v>M3</v>
          </cell>
          <cell r="E681">
            <v>25143406</v>
          </cell>
          <cell r="F681">
            <v>35328548</v>
          </cell>
          <cell r="G681">
            <v>52901522</v>
          </cell>
          <cell r="H681">
            <v>73518288</v>
          </cell>
        </row>
        <row r="682">
          <cell r="A682" t="str">
            <v>3525</v>
          </cell>
          <cell r="B682" t="str">
            <v>Betondan mamul dolu bloklarla her boyutta harçlı pere yapılması</v>
          </cell>
          <cell r="C682" t="str">
            <v>M3</v>
          </cell>
          <cell r="E682">
            <v>26599566</v>
          </cell>
          <cell r="F682">
            <v>35328548</v>
          </cell>
          <cell r="G682">
            <v>55857258</v>
          </cell>
          <cell r="H682">
            <v>77797673</v>
          </cell>
        </row>
        <row r="683">
          <cell r="A683" t="str">
            <v>3600</v>
          </cell>
          <cell r="B683" t="str">
            <v>Ø 60 cm.lik 250 dozlu sepet kulp'u kesitli yerinde dökme büz ile menfez yapılması</v>
          </cell>
          <cell r="C683" t="str">
            <v>MT</v>
          </cell>
          <cell r="E683">
            <v>8422940</v>
          </cell>
          <cell r="F683">
            <v>11004666</v>
          </cell>
          <cell r="G683">
            <v>17949468</v>
          </cell>
          <cell r="H683">
            <v>24538930</v>
          </cell>
        </row>
        <row r="684">
          <cell r="A684" t="str">
            <v>3600/K</v>
          </cell>
          <cell r="B684" t="str">
            <v>Ø 60 cm.lik 250 dozlu (BS 16) sepet kulp'u kesitli yerinde dökme büz ile menfez yapılması (Beton santralı ile)</v>
          </cell>
          <cell r="C684" t="str">
            <v>MT</v>
          </cell>
          <cell r="E684">
            <v>8344212</v>
          </cell>
          <cell r="F684">
            <v>10893327</v>
          </cell>
          <cell r="G684">
            <v>18014981</v>
          </cell>
          <cell r="H684">
            <v>24545701</v>
          </cell>
        </row>
        <row r="685">
          <cell r="A685" t="str">
            <v>3601</v>
          </cell>
          <cell r="B685" t="str">
            <v>Ø 80 cm.lik 250 dozlu sepet kulp'u kesitli yerinde dökme büz ile menfez yapılması</v>
          </cell>
          <cell r="C685" t="str">
            <v>MT</v>
          </cell>
          <cell r="E685">
            <v>12894746</v>
          </cell>
          <cell r="F685">
            <v>16915890</v>
          </cell>
          <cell r="G685">
            <v>27389221</v>
          </cell>
          <cell r="H685">
            <v>37616281</v>
          </cell>
        </row>
        <row r="686">
          <cell r="A686" t="str">
            <v>3601/K</v>
          </cell>
          <cell r="B686" t="str">
            <v>Ø 80 cm. lik 250 dozlu (BS 16) sepet kulp'u kesitli yerinde dökme büz ile menfez yapılması (Beton santralı ile)</v>
          </cell>
          <cell r="C686" t="str">
            <v>MT</v>
          </cell>
          <cell r="E686">
            <v>12755383</v>
          </cell>
          <cell r="F686">
            <v>16718797</v>
          </cell>
          <cell r="G686">
            <v>27505192</v>
          </cell>
          <cell r="H686">
            <v>37628267</v>
          </cell>
        </row>
        <row r="687">
          <cell r="A687" t="str">
            <v>3602</v>
          </cell>
          <cell r="B687" t="str">
            <v>Ø 100 cm.lik 250 dozlu sepet kulp'u kesitli yerinde dökme büz ile menfez yapılması</v>
          </cell>
          <cell r="C687" t="str">
            <v>MT</v>
          </cell>
          <cell r="E687">
            <v>18245158</v>
          </cell>
          <cell r="F687">
            <v>24015198</v>
          </cell>
          <cell r="G687">
            <v>38648322</v>
          </cell>
          <cell r="H687">
            <v>53281436</v>
          </cell>
        </row>
        <row r="688">
          <cell r="A688" t="str">
            <v>3602/K</v>
          </cell>
          <cell r="B688" t="str">
            <v>Ø 100 cm.lik 250 dozlu (BS 16) sepet kulp'u kesitli yerinde dökme büz ile menfez yapılması (Beton santralı ile)</v>
          </cell>
          <cell r="C688" t="str">
            <v>MT</v>
          </cell>
          <cell r="E688">
            <v>18027313</v>
          </cell>
          <cell r="F688">
            <v>23707112</v>
          </cell>
          <cell r="G688">
            <v>38829602</v>
          </cell>
          <cell r="H688">
            <v>53300172</v>
          </cell>
        </row>
        <row r="689">
          <cell r="A689" t="str">
            <v>3603</v>
          </cell>
          <cell r="B689" t="str">
            <v>Ø 120 cm.lik 250 dozlu sepet kulp'u kesitli yerinde dökme büz ile menfez yapılması</v>
          </cell>
          <cell r="C689" t="str">
            <v>MT</v>
          </cell>
          <cell r="E689">
            <v>24420257</v>
          </cell>
          <cell r="F689">
            <v>32227302</v>
          </cell>
          <cell r="G689">
            <v>51618511</v>
          </cell>
          <cell r="H689">
            <v>71374298</v>
          </cell>
        </row>
        <row r="690">
          <cell r="A690" t="str">
            <v>3603/K</v>
          </cell>
          <cell r="B690" t="str">
            <v>Ø 120 cm.lik 250 dozlu (BS 16) sepet kulp'u kesitli yerinde dökme büz ile menfez yapılması (Beton santralı ile)</v>
          </cell>
          <cell r="C690" t="str">
            <v>MT</v>
          </cell>
          <cell r="E690">
            <v>24107058</v>
          </cell>
          <cell r="F690">
            <v>31784365</v>
          </cell>
          <cell r="G690">
            <v>51879141</v>
          </cell>
          <cell r="H690">
            <v>71401237</v>
          </cell>
        </row>
        <row r="691">
          <cell r="A691" t="str">
            <v>3605/A</v>
          </cell>
          <cell r="B691" t="str">
            <v>Ø 150 mm. lik tünel tipi drenaj borusu temini ve döşenmesi</v>
          </cell>
          <cell r="C691" t="str">
            <v>MT</v>
          </cell>
          <cell r="E691">
            <v>3045263</v>
          </cell>
          <cell r="F691">
            <v>3373625</v>
          </cell>
          <cell r="G691">
            <v>5640975</v>
          </cell>
          <cell r="H691">
            <v>8557750</v>
          </cell>
        </row>
        <row r="692">
          <cell r="A692" t="str">
            <v>3605/A1</v>
          </cell>
          <cell r="B692" t="str">
            <v>Ø 200 mm.lik tünel tipi drenaj borusu temini ve döşenmesi</v>
          </cell>
          <cell r="C692" t="str">
            <v>MT</v>
          </cell>
          <cell r="E692">
            <v>3420263</v>
          </cell>
          <cell r="F692">
            <v>3811125</v>
          </cell>
          <cell r="G692">
            <v>443475</v>
          </cell>
          <cell r="H692">
            <v>9670250</v>
          </cell>
        </row>
        <row r="693">
          <cell r="A693" t="str">
            <v>3605/A2</v>
          </cell>
          <cell r="B693" t="str">
            <v>Ø 200 mm.lik PVC drenaj borusu temini ve yerine döşenmesi</v>
          </cell>
          <cell r="C693" t="str">
            <v>MT</v>
          </cell>
          <cell r="E693">
            <v>5045263</v>
          </cell>
          <cell r="F693">
            <v>6311125</v>
          </cell>
          <cell r="G693">
            <v>12593475</v>
          </cell>
          <cell r="H693">
            <v>18882750</v>
          </cell>
        </row>
        <row r="694">
          <cell r="A694" t="str">
            <v>3650</v>
          </cell>
          <cell r="B694" t="str">
            <v>Kanaviçeli tecrit</v>
          </cell>
          <cell r="C694" t="str">
            <v>M2</v>
          </cell>
          <cell r="E694">
            <v>2630400</v>
          </cell>
          <cell r="F694">
            <v>3622500</v>
          </cell>
          <cell r="G694">
            <v>5997625</v>
          </cell>
          <cell r="H694">
            <v>8441250</v>
          </cell>
        </row>
        <row r="695">
          <cell r="A695" t="str">
            <v>3657</v>
          </cell>
          <cell r="B695" t="str">
            <v>Bitümlü maddeler (Soğuk asfalt ve benzerleri) ile tecrit</v>
          </cell>
          <cell r="C695" t="str">
            <v>M2</v>
          </cell>
          <cell r="E695">
            <v>1684870</v>
          </cell>
          <cell r="F695">
            <v>2885437</v>
          </cell>
          <cell r="G695">
            <v>5189250</v>
          </cell>
          <cell r="H695">
            <v>7083321</v>
          </cell>
        </row>
        <row r="696">
          <cell r="A696" t="str">
            <v>37.001/K</v>
          </cell>
          <cell r="B696" t="str">
            <v>Traktörle toprağın 20-25 cm. derinlikte sürülmesi</v>
          </cell>
          <cell r="C696" t="str">
            <v>DA</v>
          </cell>
          <cell r="E696">
            <v>3247461</v>
          </cell>
          <cell r="F696">
            <v>4253197</v>
          </cell>
          <cell r="G696">
            <v>7671297</v>
          </cell>
          <cell r="H696">
            <v>10771395</v>
          </cell>
        </row>
        <row r="697">
          <cell r="A697" t="str">
            <v>37.006</v>
          </cell>
          <cell r="B697" t="str">
            <v>Çim saha tanziminde toprağın el ile tırmıklanması</v>
          </cell>
          <cell r="C697" t="str">
            <v>AR</v>
          </cell>
          <cell r="E697">
            <v>1118600</v>
          </cell>
          <cell r="F697">
            <v>1510875</v>
          </cell>
          <cell r="G697">
            <v>2309875</v>
          </cell>
          <cell r="H697">
            <v>3281000</v>
          </cell>
        </row>
        <row r="698">
          <cell r="A698" t="str">
            <v>37.006/K</v>
          </cell>
          <cell r="B698" t="str">
            <v>Yolların yarma ve dolgu şevleri ile orta refüjlerde yapılan çim saha tanziminde toprağın el ile tırmıklanması</v>
          </cell>
          <cell r="C698" t="str">
            <v>M2</v>
          </cell>
          <cell r="E698">
            <v>26213</v>
          </cell>
          <cell r="F698">
            <v>35400</v>
          </cell>
          <cell r="G698">
            <v>54150</v>
          </cell>
          <cell r="H698">
            <v>76875</v>
          </cell>
        </row>
        <row r="699">
          <cell r="A699" t="str">
            <v>37.007</v>
          </cell>
          <cell r="B699" t="str">
            <v>Yumuşak toprakların 20-25 cm.derinlikte bellenmesi</v>
          </cell>
          <cell r="C699" t="str">
            <v>AR</v>
          </cell>
          <cell r="E699">
            <v>2303000</v>
          </cell>
          <cell r="F699">
            <v>3110625</v>
          </cell>
          <cell r="G699">
            <v>4755625</v>
          </cell>
          <cell r="H699">
            <v>6755000</v>
          </cell>
        </row>
        <row r="700">
          <cell r="A700" t="str">
            <v>37.007/K</v>
          </cell>
          <cell r="B700" t="str">
            <v>Yolların orta refüjlerinde çim saha hazırlamak için yumuşak toprakların 20-25 cm. derinlikte bellenmesi</v>
          </cell>
          <cell r="C700" t="str">
            <v>M2</v>
          </cell>
          <cell r="E700">
            <v>41891</v>
          </cell>
          <cell r="F700">
            <v>56587</v>
          </cell>
          <cell r="G700">
            <v>86531</v>
          </cell>
          <cell r="H700">
            <v>122887</v>
          </cell>
        </row>
        <row r="701">
          <cell r="A701" t="str">
            <v>37.008</v>
          </cell>
          <cell r="B701" t="str">
            <v>Sert toprakların 20-25 cm.derinlikte bellenmesi</v>
          </cell>
          <cell r="C701" t="str">
            <v>AR</v>
          </cell>
          <cell r="E701">
            <v>4606000</v>
          </cell>
          <cell r="F701">
            <v>6221250</v>
          </cell>
          <cell r="G701">
            <v>9511250</v>
          </cell>
          <cell r="H701">
            <v>13510000</v>
          </cell>
        </row>
        <row r="702">
          <cell r="A702" t="str">
            <v>37.008/K</v>
          </cell>
          <cell r="B702" t="str">
            <v>Yolların orta refüjlerinde çim saha hazırlamak için sert toprakların 20-25 cm. derinlikte bellenmesi</v>
          </cell>
          <cell r="C702" t="str">
            <v>M2</v>
          </cell>
          <cell r="E702">
            <v>77203</v>
          </cell>
          <cell r="F702">
            <v>104287</v>
          </cell>
          <cell r="G702">
            <v>159475</v>
          </cell>
          <cell r="H702">
            <v>226475</v>
          </cell>
        </row>
        <row r="703">
          <cell r="A703" t="str">
            <v>37.009/K</v>
          </cell>
          <cell r="B703" t="str">
            <v>Toprağın çapalanması ve satıhların el ile düzeltilmesi</v>
          </cell>
          <cell r="C703" t="str">
            <v>AR</v>
          </cell>
          <cell r="E703">
            <v>1974000</v>
          </cell>
          <cell r="F703">
            <v>2666250</v>
          </cell>
          <cell r="G703">
            <v>4076250</v>
          </cell>
          <cell r="H703">
            <v>5790000</v>
          </cell>
        </row>
        <row r="704">
          <cell r="A704" t="str">
            <v>37.009/K-1</v>
          </cell>
          <cell r="B704" t="str">
            <v>Yolların yarma ve dolgu şevleri ile orta refüjlerde toprağın çapalanması ve satıhların el ile düzeltilmesi</v>
          </cell>
          <cell r="C704" t="str">
            <v>M2</v>
          </cell>
          <cell r="E704">
            <v>35580</v>
          </cell>
          <cell r="F704">
            <v>48062</v>
          </cell>
          <cell r="G704">
            <v>73500</v>
          </cell>
          <cell r="H704">
            <v>104375</v>
          </cell>
        </row>
        <row r="705">
          <cell r="A705" t="str">
            <v>37.010/K-1</v>
          </cell>
          <cell r="B705" t="str">
            <v>Fidan diplerinin 30 cm. çapında çapalanması</v>
          </cell>
          <cell r="C705" t="str">
            <v>AD</v>
          </cell>
          <cell r="E705">
            <v>39480</v>
          </cell>
          <cell r="F705">
            <v>53325</v>
          </cell>
          <cell r="G705">
            <v>81525</v>
          </cell>
          <cell r="H705">
            <v>115800</v>
          </cell>
        </row>
        <row r="706">
          <cell r="A706" t="str">
            <v>37.010/K-2</v>
          </cell>
          <cell r="B706" t="str">
            <v>Fidan diplerinin 80 cm. çapında çapalanması</v>
          </cell>
          <cell r="C706" t="str">
            <v>AD</v>
          </cell>
          <cell r="E706">
            <v>98700</v>
          </cell>
          <cell r="F706">
            <v>133312</v>
          </cell>
          <cell r="G706">
            <v>203812</v>
          </cell>
          <cell r="H706">
            <v>289500</v>
          </cell>
        </row>
        <row r="707">
          <cell r="A707" t="str">
            <v>37.010/K-5</v>
          </cell>
          <cell r="B707" t="str">
            <v>Yolların yarma ve dolgu şevleri ile orta refüjlerde fidan diplerinin 50 cm. çapında çapalanması</v>
          </cell>
          <cell r="C707" t="str">
            <v>AD</v>
          </cell>
          <cell r="E707">
            <v>71160</v>
          </cell>
          <cell r="F707">
            <v>96125</v>
          </cell>
          <cell r="G707">
            <v>147000</v>
          </cell>
          <cell r="H707">
            <v>208750</v>
          </cell>
        </row>
        <row r="708">
          <cell r="A708" t="str">
            <v>37.010/K-6</v>
          </cell>
          <cell r="B708" t="str">
            <v>Yolların yarma ve dolgu şevleri ile orta refüjlerde fidan diplerinin  80 cm. çapında çapalanması</v>
          </cell>
          <cell r="C708" t="str">
            <v>AD</v>
          </cell>
          <cell r="E708">
            <v>142320</v>
          </cell>
          <cell r="F708">
            <v>192250</v>
          </cell>
          <cell r="G708">
            <v>294000</v>
          </cell>
          <cell r="H708">
            <v>417500</v>
          </cell>
        </row>
        <row r="709">
          <cell r="A709" t="str">
            <v>37.012/K</v>
          </cell>
          <cell r="B709" t="str">
            <v>Yumuşak topraklarda 30 cm. çapında 30 cm. derinliğinde el ile fidan çukurunun açılması</v>
          </cell>
          <cell r="C709" t="str">
            <v>AD</v>
          </cell>
          <cell r="E709">
            <v>92120</v>
          </cell>
          <cell r="F709">
            <v>124425</v>
          </cell>
          <cell r="G709">
            <v>190225</v>
          </cell>
          <cell r="H709">
            <v>270200</v>
          </cell>
        </row>
        <row r="710">
          <cell r="A710" t="str">
            <v>37.012/K-1</v>
          </cell>
          <cell r="B710" t="str">
            <v>Yolların yarma ve dolgu şevleri ile orta refüjlerde yumuşak topraklarda 30 cm. çapında 30 cm. derinliğinde el ile fidan çukurunun açılması</v>
          </cell>
          <cell r="C710" t="str">
            <v>AD</v>
          </cell>
          <cell r="E710">
            <v>106740</v>
          </cell>
          <cell r="F710">
            <v>144187</v>
          </cell>
          <cell r="G710">
            <v>220500</v>
          </cell>
          <cell r="H710">
            <v>313125</v>
          </cell>
        </row>
        <row r="711">
          <cell r="A711" t="str">
            <v>37.014/K</v>
          </cell>
          <cell r="B711" t="str">
            <v>Yumuşak topraklarda 40 cm. çapında 50 cm. derinliğinde el ile fidan çukurunun açılması</v>
          </cell>
          <cell r="C711" t="str">
            <v>AD</v>
          </cell>
          <cell r="E711">
            <v>157920</v>
          </cell>
          <cell r="F711">
            <v>213300</v>
          </cell>
          <cell r="G711">
            <v>326100</v>
          </cell>
          <cell r="H711">
            <v>463200</v>
          </cell>
        </row>
        <row r="712">
          <cell r="A712" t="str">
            <v>37.014/K-1</v>
          </cell>
          <cell r="B712" t="str">
            <v>Yolların yarma ve dolgu şevleri ile orta refüjlerde yumuşak topraklarda 40 cm. çapında 50 cm. derinliğinde el ile fidan çukurunun açılması</v>
          </cell>
          <cell r="C712" t="str">
            <v>AD</v>
          </cell>
          <cell r="E712">
            <v>284640</v>
          </cell>
          <cell r="F712">
            <v>384500</v>
          </cell>
          <cell r="G712">
            <v>588000</v>
          </cell>
          <cell r="H712">
            <v>835000</v>
          </cell>
        </row>
        <row r="713">
          <cell r="A713" t="str">
            <v>37.016/K</v>
          </cell>
          <cell r="B713" t="str">
            <v>Yumuşak topraklarda 60 cm. çapında 80 cm. derinliğinde el ile fidan çukurunun açılması</v>
          </cell>
          <cell r="C713" t="str">
            <v>AD</v>
          </cell>
          <cell r="E713">
            <v>284640</v>
          </cell>
          <cell r="F713">
            <v>384500</v>
          </cell>
          <cell r="G713">
            <v>588000</v>
          </cell>
          <cell r="H713">
            <v>835000</v>
          </cell>
        </row>
        <row r="714">
          <cell r="A714" t="str">
            <v>37.018/K</v>
          </cell>
          <cell r="B714" t="str">
            <v>Sert ve çakıllı topraklarda 30 cm. çapında 30 cm. derinliğinde el ile fidan çukurunun açılması</v>
          </cell>
          <cell r="C714" t="str">
            <v>AD</v>
          </cell>
          <cell r="E714">
            <v>118440</v>
          </cell>
          <cell r="F714">
            <v>159975</v>
          </cell>
          <cell r="G714">
            <v>244575</v>
          </cell>
          <cell r="H714">
            <v>347400</v>
          </cell>
        </row>
        <row r="715">
          <cell r="A715" t="str">
            <v>37.018/K-1</v>
          </cell>
          <cell r="B715" t="str">
            <v>Yolların yarma ve dolgu şevleri ile orta refüjlerde sert ve çakıllı topraklarda 30 cm. çapında 30 cm. derinliğinde el ile fidan çukurunun açılması</v>
          </cell>
          <cell r="C715" t="str">
            <v>AD</v>
          </cell>
          <cell r="E715">
            <v>177900</v>
          </cell>
          <cell r="F715">
            <v>240312</v>
          </cell>
          <cell r="G715">
            <v>367500</v>
          </cell>
          <cell r="H715">
            <v>521875</v>
          </cell>
        </row>
        <row r="716">
          <cell r="A716" t="str">
            <v>37.020/K</v>
          </cell>
          <cell r="B716" t="str">
            <v>Sert ve çakıllı topraklarda 40 cm. çapında 50 cm. derinliğinde el ile fidan çukurunun açılması</v>
          </cell>
          <cell r="C716" t="str">
            <v>AD</v>
          </cell>
          <cell r="E716">
            <v>203980</v>
          </cell>
          <cell r="F716">
            <v>275512</v>
          </cell>
          <cell r="G716">
            <v>421212</v>
          </cell>
          <cell r="H716">
            <v>598300</v>
          </cell>
        </row>
        <row r="717">
          <cell r="A717" t="str">
            <v>37.020/K-1</v>
          </cell>
          <cell r="B717" t="str">
            <v>Yolların yarma ve dolgu şevleri ile orta refüjlerde sert ve çakıllı topraklarda 40 cm. çapında 50 cm. derinliğinde el ile fidan çukurunun açılması</v>
          </cell>
          <cell r="C717" t="str">
            <v>AD</v>
          </cell>
          <cell r="E717">
            <v>426960</v>
          </cell>
          <cell r="F717">
            <v>576750</v>
          </cell>
          <cell r="G717">
            <v>882000</v>
          </cell>
          <cell r="H717">
            <v>1252500</v>
          </cell>
        </row>
        <row r="718">
          <cell r="A718" t="str">
            <v>37.022</v>
          </cell>
          <cell r="B718" t="str">
            <v>Sert ve çakıllı topraklarda 60 cm. çapında 80 cm.derinliğinde el ile fidan çukurunun açılması</v>
          </cell>
          <cell r="C718" t="str">
            <v>AD</v>
          </cell>
          <cell r="E718">
            <v>426960</v>
          </cell>
          <cell r="F718">
            <v>576750</v>
          </cell>
          <cell r="G718">
            <v>882000</v>
          </cell>
          <cell r="H718">
            <v>1252500</v>
          </cell>
        </row>
        <row r="719">
          <cell r="A719" t="str">
            <v>37.026</v>
          </cell>
          <cell r="B719" t="str">
            <v>Yumuşak topraklarda teras açılması</v>
          </cell>
          <cell r="C719" t="str">
            <v>M3</v>
          </cell>
          <cell r="E719">
            <v>987000</v>
          </cell>
          <cell r="F719">
            <v>1333125</v>
          </cell>
          <cell r="G719">
            <v>2038125</v>
          </cell>
          <cell r="H719">
            <v>2895000</v>
          </cell>
        </row>
        <row r="720">
          <cell r="A720" t="str">
            <v>37.026/K</v>
          </cell>
          <cell r="B720" t="str">
            <v>Yolların yarma ve dolgu şevlerinde yumuşak topraklarda teras açılması</v>
          </cell>
          <cell r="C720" t="str">
            <v>M3</v>
          </cell>
          <cell r="E720">
            <v>3339900</v>
          </cell>
          <cell r="F720">
            <v>4511562</v>
          </cell>
          <cell r="G720">
            <v>6899062</v>
          </cell>
          <cell r="H720">
            <v>9797500</v>
          </cell>
        </row>
        <row r="721">
          <cell r="A721" t="str">
            <v>37.027</v>
          </cell>
          <cell r="B721" t="str">
            <v>Sert ve taşlı topraklarda teras açılması</v>
          </cell>
          <cell r="C721" t="str">
            <v>M3</v>
          </cell>
          <cell r="E721">
            <v>1480500</v>
          </cell>
          <cell r="F721">
            <v>1999687</v>
          </cell>
          <cell r="G721">
            <v>3057187</v>
          </cell>
          <cell r="H721">
            <v>4342500</v>
          </cell>
        </row>
        <row r="722">
          <cell r="A722" t="str">
            <v>37.027/K</v>
          </cell>
          <cell r="B722" t="str">
            <v>Yolların yarma ve dolgu şevlerinde sert ve taşlı topraklarda teras açılması</v>
          </cell>
          <cell r="C722" t="str">
            <v>M3</v>
          </cell>
          <cell r="E722">
            <v>4861800</v>
          </cell>
          <cell r="F722">
            <v>6567375</v>
          </cell>
          <cell r="G722">
            <v>10042875</v>
          </cell>
          <cell r="H722">
            <v>14262000</v>
          </cell>
        </row>
        <row r="723">
          <cell r="A723" t="str">
            <v>37.030</v>
          </cell>
          <cell r="B723" t="str">
            <v>Çim ve çiçeklik sahaların tanzimi</v>
          </cell>
          <cell r="C723" t="str">
            <v>AR</v>
          </cell>
          <cell r="E723">
            <v>10759391</v>
          </cell>
          <cell r="F723">
            <v>14534100</v>
          </cell>
          <cell r="G723">
            <v>22226400</v>
          </cell>
          <cell r="H723">
            <v>31563000</v>
          </cell>
        </row>
        <row r="724">
          <cell r="A724" t="str">
            <v>37.035/K</v>
          </cell>
          <cell r="B724" t="str">
            <v>30 cm. çap ve 30 cm. derinlikteki çukurlara ibreli küçük fidanların topraksız dikimi</v>
          </cell>
          <cell r="C724" t="str">
            <v>AD</v>
          </cell>
          <cell r="E724">
            <v>13157</v>
          </cell>
          <cell r="F724">
            <v>17775</v>
          </cell>
          <cell r="G724">
            <v>27175</v>
          </cell>
          <cell r="H724">
            <v>38600</v>
          </cell>
        </row>
        <row r="725">
          <cell r="A725" t="str">
            <v>37.035/K-1</v>
          </cell>
          <cell r="B725" t="str">
            <v>Yolların yarma ve dolgu şevleri ile orta refüjlerde 30 cm.çap ve 30 cm. derinlikteki çukurlara ibreli küçük fidanların topraksız dikimi</v>
          </cell>
          <cell r="C725" t="str">
            <v>AD</v>
          </cell>
          <cell r="E725">
            <v>82260</v>
          </cell>
          <cell r="F725">
            <v>111092</v>
          </cell>
          <cell r="G725">
            <v>169930</v>
          </cell>
          <cell r="H725">
            <v>241250</v>
          </cell>
        </row>
        <row r="726">
          <cell r="A726" t="str">
            <v>37.040/K</v>
          </cell>
          <cell r="B726" t="str">
            <v>40 cm. çap ve 50 cm. derinlikteki çukurlara ibreli büyük fidanlarla yapraklı fidanların topraklı dikimi</v>
          </cell>
          <cell r="C726" t="str">
            <v>AD</v>
          </cell>
          <cell r="E726">
            <v>98698</v>
          </cell>
          <cell r="F726">
            <v>133312</v>
          </cell>
          <cell r="G726">
            <v>203812</v>
          </cell>
          <cell r="H726">
            <v>289500</v>
          </cell>
        </row>
        <row r="727">
          <cell r="A727" t="str">
            <v>37.040/K-1</v>
          </cell>
          <cell r="B727" t="str">
            <v>Yolların yarma ve dolgu şevleri ile orta refüjlerde 40 cm.çap ve 50 cm. derinlikteki çukurlara ibreli ve yapraklı fidanların topraklı dikimi</v>
          </cell>
          <cell r="C727" t="str">
            <v>AD</v>
          </cell>
          <cell r="E727">
            <v>296725</v>
          </cell>
          <cell r="F727">
            <v>400737</v>
          </cell>
          <cell r="G727">
            <v>612950</v>
          </cell>
          <cell r="H727">
            <v>870250</v>
          </cell>
        </row>
        <row r="728">
          <cell r="A728" t="str">
            <v>37.040/K-2</v>
          </cell>
          <cell r="B728" t="str">
            <v>60 cm. çap ve 80 cm. derinlikteki çukurlara ibreli ve yapraklı fidanların kaplı dikimi</v>
          </cell>
          <cell r="C728" t="str">
            <v>AD</v>
          </cell>
          <cell r="E728">
            <v>310957</v>
          </cell>
          <cell r="F728">
            <v>419962</v>
          </cell>
          <cell r="G728">
            <v>642350</v>
          </cell>
          <cell r="H728">
            <v>912000</v>
          </cell>
        </row>
        <row r="729">
          <cell r="A729" t="str">
            <v>37.043/K</v>
          </cell>
          <cell r="B729" t="str">
            <v>30 cm. çap ve 30 cm.derinlikteki çukurlara sarılıcı ve örtücü fidanların dikimi</v>
          </cell>
          <cell r="C729" t="str">
            <v>AD</v>
          </cell>
          <cell r="E729">
            <v>24343</v>
          </cell>
          <cell r="F729">
            <v>32883</v>
          </cell>
          <cell r="G729">
            <v>50273</v>
          </cell>
          <cell r="H729">
            <v>71410</v>
          </cell>
        </row>
        <row r="730">
          <cell r="A730" t="str">
            <v>37.045/K</v>
          </cell>
          <cell r="B730" t="str">
            <v>40 cm. çap ve 50 cm. derinlikteki çukurlara yapraklı fidanların ve çalıların topraksız dikimi</v>
          </cell>
          <cell r="C730" t="str">
            <v>AD</v>
          </cell>
          <cell r="E730">
            <v>78958</v>
          </cell>
          <cell r="F730">
            <v>106650</v>
          </cell>
          <cell r="G730">
            <v>163050</v>
          </cell>
          <cell r="H730">
            <v>231600</v>
          </cell>
        </row>
        <row r="731">
          <cell r="A731" t="str">
            <v>37.045/K-1</v>
          </cell>
          <cell r="B731" t="str">
            <v>Yolların yarma ve dolgu şevleri ile orta refüjlerde 40 cm.çap ve 50 cm. derinlikteki çukurlara yapraklı fidanların ve çalıların topraksız dikimi</v>
          </cell>
          <cell r="C731" t="str">
            <v>AD</v>
          </cell>
          <cell r="E731">
            <v>217455</v>
          </cell>
          <cell r="F731">
            <v>293675</v>
          </cell>
          <cell r="G731">
            <v>449200</v>
          </cell>
          <cell r="H731">
            <v>637750</v>
          </cell>
        </row>
        <row r="732">
          <cell r="A732" t="str">
            <v>37.049</v>
          </cell>
          <cell r="B732" t="str">
            <v>Çit nebatlarının topraksız dikimi</v>
          </cell>
          <cell r="C732" t="str">
            <v>YA</v>
          </cell>
          <cell r="E732">
            <v>1842400</v>
          </cell>
          <cell r="F732">
            <v>2488500</v>
          </cell>
          <cell r="G732">
            <v>3804500</v>
          </cell>
          <cell r="H732">
            <v>5404000</v>
          </cell>
        </row>
        <row r="733">
          <cell r="A733" t="str">
            <v>37.072</v>
          </cell>
          <cell r="B733" t="str">
            <v>Park sahalarının hortumla sulanması</v>
          </cell>
          <cell r="C733" t="str">
            <v>AR</v>
          </cell>
          <cell r="E733">
            <v>263200</v>
          </cell>
          <cell r="F733">
            <v>355500</v>
          </cell>
          <cell r="G733">
            <v>543500</v>
          </cell>
          <cell r="H733">
            <v>772000</v>
          </cell>
        </row>
        <row r="734">
          <cell r="A734" t="str">
            <v>37.081/K</v>
          </cell>
          <cell r="B734" t="str">
            <v>Yapraklı ağaçların yan dallarının budanması ve tepe tacının yapılması</v>
          </cell>
          <cell r="C734" t="str">
            <v>AD</v>
          </cell>
          <cell r="E734">
            <v>721150</v>
          </cell>
          <cell r="F734">
            <v>973875</v>
          </cell>
          <cell r="G734">
            <v>1489625</v>
          </cell>
          <cell r="H734">
            <v>2114875</v>
          </cell>
        </row>
        <row r="735">
          <cell r="A735" t="str">
            <v>37.088</v>
          </cell>
          <cell r="B735" t="str">
            <v>Çim ve çiçeklik sahalarda yabani otların temizlenmesi</v>
          </cell>
          <cell r="C735" t="str">
            <v>AR</v>
          </cell>
          <cell r="E735">
            <v>355800</v>
          </cell>
          <cell r="F735">
            <v>480625</v>
          </cell>
          <cell r="G735">
            <v>735000</v>
          </cell>
          <cell r="H735">
            <v>1043750</v>
          </cell>
        </row>
        <row r="736">
          <cell r="A736" t="str">
            <v>37.088/K</v>
          </cell>
          <cell r="B736" t="str">
            <v>Yolların yarma ve dolgu şevleri ile orta refüjlerde yabani otların temizlenmesi</v>
          </cell>
          <cell r="C736" t="str">
            <v>DA</v>
          </cell>
          <cell r="E736">
            <v>7116000</v>
          </cell>
          <cell r="F736">
            <v>9612500</v>
          </cell>
          <cell r="G736">
            <v>14700000</v>
          </cell>
          <cell r="H736">
            <v>20875000</v>
          </cell>
        </row>
        <row r="737">
          <cell r="A737" t="str">
            <v>37.089</v>
          </cell>
          <cell r="B737" t="str">
            <v>Makasla çim ve çayır biçme</v>
          </cell>
          <cell r="C737" t="str">
            <v>M2</v>
          </cell>
          <cell r="E737">
            <v>35580</v>
          </cell>
          <cell r="F737">
            <v>48062</v>
          </cell>
          <cell r="G737">
            <v>73500</v>
          </cell>
          <cell r="H737">
            <v>104375</v>
          </cell>
        </row>
        <row r="738">
          <cell r="A738" t="str">
            <v>37.089/K</v>
          </cell>
          <cell r="B738" t="str">
            <v>Yolların otokorkuluklu orta refüjlerinde makasla çim ve çayırların biçilmesi</v>
          </cell>
          <cell r="C738" t="str">
            <v>M2</v>
          </cell>
          <cell r="E738">
            <v>50270</v>
          </cell>
          <cell r="F738">
            <v>67887</v>
          </cell>
          <cell r="G738">
            <v>103837</v>
          </cell>
          <cell r="H738">
            <v>147425</v>
          </cell>
        </row>
        <row r="739">
          <cell r="A739" t="str">
            <v>37.090</v>
          </cell>
          <cell r="B739" t="str">
            <v>Tırpanla çim ve çayır biçme</v>
          </cell>
          <cell r="C739" t="str">
            <v>AR</v>
          </cell>
          <cell r="E739">
            <v>355800</v>
          </cell>
          <cell r="F739">
            <v>480625</v>
          </cell>
          <cell r="G739">
            <v>735000</v>
          </cell>
          <cell r="H739">
            <v>1043750</v>
          </cell>
        </row>
        <row r="740">
          <cell r="A740" t="str">
            <v>37.090/K-1</v>
          </cell>
          <cell r="B740" t="str">
            <v>Yolların yarma ve dolgu şevleri ile orta refüjlerde tırpanla çim ve çayır biçme</v>
          </cell>
          <cell r="C740" t="str">
            <v>DA</v>
          </cell>
          <cell r="E740">
            <v>17055000</v>
          </cell>
          <cell r="F740">
            <v>23032500</v>
          </cell>
          <cell r="G740">
            <v>35227500</v>
          </cell>
          <cell r="H740">
            <v>50017500</v>
          </cell>
        </row>
        <row r="741">
          <cell r="A741" t="str">
            <v>37.091/K</v>
          </cell>
          <cell r="B741" t="str">
            <v>Yolların yarma ve dolgu şevleri ile orta refüjlerde makine ile çim biçme</v>
          </cell>
          <cell r="C741" t="str">
            <v>DA</v>
          </cell>
          <cell r="E741">
            <v>8099580</v>
          </cell>
          <cell r="F741">
            <v>10808900</v>
          </cell>
          <cell r="G741">
            <v>17697050</v>
          </cell>
          <cell r="H741">
            <v>24903200</v>
          </cell>
        </row>
        <row r="742">
          <cell r="A742" t="str">
            <v>37.092/1</v>
          </cell>
          <cell r="B742" t="str">
            <v>Toprağın gübrelenmesi</v>
          </cell>
          <cell r="C742" t="str">
            <v>TN</v>
          </cell>
          <cell r="E742">
            <v>2961000</v>
          </cell>
          <cell r="F742">
            <v>3999375</v>
          </cell>
          <cell r="G742">
            <v>6114375</v>
          </cell>
          <cell r="H742">
            <v>8685000</v>
          </cell>
        </row>
        <row r="743">
          <cell r="A743" t="str">
            <v>37.092/1-K</v>
          </cell>
          <cell r="B743" t="str">
            <v>Yolların yarma ve dolgu şevleri ile orta refüjlerde toprağın gübrelenmesi</v>
          </cell>
          <cell r="C743" t="str">
            <v>TN</v>
          </cell>
          <cell r="E743">
            <v>4598600</v>
          </cell>
          <cell r="F743">
            <v>6211875</v>
          </cell>
          <cell r="G743">
            <v>9499375</v>
          </cell>
          <cell r="H743">
            <v>13490000</v>
          </cell>
        </row>
        <row r="744">
          <cell r="A744" t="str">
            <v>37.094/K</v>
          </cell>
          <cell r="B744" t="str">
            <v>Çim veya çayır kesekleri ile kaplama</v>
          </cell>
          <cell r="C744" t="str">
            <v>M2</v>
          </cell>
          <cell r="E744">
            <v>1316000</v>
          </cell>
          <cell r="F744">
            <v>1777500</v>
          </cell>
          <cell r="G744">
            <v>2717500</v>
          </cell>
          <cell r="H744">
            <v>3860000</v>
          </cell>
        </row>
        <row r="745">
          <cell r="A745" t="str">
            <v>37.094/K-1</v>
          </cell>
          <cell r="B745" t="str">
            <v>Yolların yarma ve dolgu şevleri ile orta refüjlerde çim ve çayır kesekleri ile kaplama yapılması</v>
          </cell>
          <cell r="C745" t="str">
            <v>M2</v>
          </cell>
          <cell r="E745">
            <v>1574960</v>
          </cell>
          <cell r="F745">
            <v>2127000</v>
          </cell>
          <cell r="G745">
            <v>3253000</v>
          </cell>
          <cell r="H745">
            <v>4619000</v>
          </cell>
        </row>
        <row r="746">
          <cell r="A746" t="str">
            <v>37.097</v>
          </cell>
          <cell r="B746" t="str">
            <v>Erozyon önleme tahtası veya örgü çiti, canlı (Vejatatif) çitler ile şev tahkimi</v>
          </cell>
          <cell r="C746" t="str">
            <v>MT</v>
          </cell>
          <cell r="E746">
            <v>1720960</v>
          </cell>
          <cell r="F746">
            <v>2098598</v>
          </cell>
          <cell r="G746">
            <v>3872250</v>
          </cell>
          <cell r="H746">
            <v>4915625</v>
          </cell>
        </row>
        <row r="747">
          <cell r="A747" t="str">
            <v>37.556/K</v>
          </cell>
          <cell r="B747" t="str">
            <v>Çim tohumu ekme</v>
          </cell>
          <cell r="C747" t="str">
            <v>DA</v>
          </cell>
          <cell r="E747">
            <v>30560303</v>
          </cell>
          <cell r="F747">
            <v>39909781</v>
          </cell>
          <cell r="G747">
            <v>67229570</v>
          </cell>
          <cell r="H747">
            <v>90613162</v>
          </cell>
        </row>
        <row r="748">
          <cell r="A748" t="str">
            <v>37.556/K-1</v>
          </cell>
          <cell r="B748" t="str">
            <v>Yolların yarma ve dolgu şevleri ile orta refüjlerde çim saha teşkili</v>
          </cell>
          <cell r="C748" t="str">
            <v>DA</v>
          </cell>
          <cell r="E748">
            <v>116158346</v>
          </cell>
          <cell r="F748">
            <v>155523846</v>
          </cell>
          <cell r="G748">
            <v>244088531</v>
          </cell>
          <cell r="H748">
            <v>341603792</v>
          </cell>
        </row>
        <row r="749">
          <cell r="A749" t="str">
            <v>3750</v>
          </cell>
          <cell r="B749" t="str">
            <v>İnşaat bünyesine giren ahşap kazık</v>
          </cell>
          <cell r="C749" t="str">
            <v>M3</v>
          </cell>
          <cell r="E749">
            <v>93489250</v>
          </cell>
          <cell r="F749">
            <v>112186812</v>
          </cell>
          <cell r="G749">
            <v>201250000</v>
          </cell>
          <cell r="H749">
            <v>251562500</v>
          </cell>
        </row>
        <row r="750">
          <cell r="A750" t="str">
            <v>3763</v>
          </cell>
          <cell r="B750" t="str">
            <v>Çelik, kompozit menfez ve köprülerde montaj iskelesi (Kafes kirişli çelik köprüler hariç) B+10(G-5.60) B= 16167008</v>
          </cell>
          <cell r="C750" t="str">
            <v>MT</v>
          </cell>
          <cell r="E750">
            <v>7315333</v>
          </cell>
          <cell r="F750">
            <v>9509949</v>
          </cell>
          <cell r="G750">
            <v>16166952</v>
          </cell>
          <cell r="H750">
            <v>32333960</v>
          </cell>
        </row>
        <row r="751">
          <cell r="A751" t="str">
            <v>3779</v>
          </cell>
          <cell r="B751" t="str">
            <v>Ahşap imalatı katranlama</v>
          </cell>
          <cell r="C751" t="str">
            <v>M2</v>
          </cell>
          <cell r="E751">
            <v>329100</v>
          </cell>
          <cell r="F751">
            <v>451875</v>
          </cell>
          <cell r="G751">
            <v>700125</v>
          </cell>
          <cell r="H751">
            <v>1028750</v>
          </cell>
        </row>
        <row r="752">
          <cell r="A752" t="str">
            <v>3780/12</v>
          </cell>
          <cell r="B752" t="str">
            <v>Otokorkuluk başlık parçası yapılması ve yerine konulması</v>
          </cell>
          <cell r="C752" t="str">
            <v>AD</v>
          </cell>
          <cell r="E752">
            <v>17840238</v>
          </cell>
          <cell r="F752">
            <v>23669570</v>
          </cell>
          <cell r="G752">
            <v>37520027</v>
          </cell>
          <cell r="H752">
            <v>52431848</v>
          </cell>
        </row>
        <row r="753">
          <cell r="A753" t="str">
            <v>3780/16</v>
          </cell>
          <cell r="B753" t="str">
            <v>Refüj geçişleri için açılabilir otokorkuluk yapılması</v>
          </cell>
          <cell r="C753" t="str">
            <v>MT</v>
          </cell>
          <cell r="E753">
            <v>22648658</v>
          </cell>
          <cell r="F753">
            <v>30100855</v>
          </cell>
          <cell r="G753">
            <v>47165808</v>
          </cell>
          <cell r="H753">
            <v>66118831</v>
          </cell>
        </row>
        <row r="754">
          <cell r="A754" t="str">
            <v>3780/17</v>
          </cell>
          <cell r="B754" t="str">
            <v>Refüj geçişleri için açılabilir otokorkuluk montajı</v>
          </cell>
          <cell r="C754" t="str">
            <v>MT</v>
          </cell>
          <cell r="E754">
            <v>6507935</v>
          </cell>
          <cell r="F754">
            <v>8720766</v>
          </cell>
          <cell r="G754">
            <v>14002625</v>
          </cell>
          <cell r="H754">
            <v>19582012</v>
          </cell>
        </row>
        <row r="755">
          <cell r="A755" t="str">
            <v>3780/18</v>
          </cell>
          <cell r="B755" t="str">
            <v>Refüj geçişleri için açılabilir otokorkuluk yapılması ve yerine konulması</v>
          </cell>
          <cell r="C755" t="str">
            <v>MT</v>
          </cell>
          <cell r="E755">
            <v>29156593</v>
          </cell>
          <cell r="F755">
            <v>38821621</v>
          </cell>
          <cell r="G755">
            <v>61168433</v>
          </cell>
          <cell r="H755">
            <v>85700843</v>
          </cell>
        </row>
        <row r="756">
          <cell r="A756" t="str">
            <v>3780/30</v>
          </cell>
          <cell r="B756" t="str">
            <v>Otokorkuluk rayı yapılması (Ral-Rg 620)</v>
          </cell>
          <cell r="C756" t="str">
            <v>MT</v>
          </cell>
          <cell r="E756">
            <v>7097445</v>
          </cell>
          <cell r="F756">
            <v>9338395</v>
          </cell>
          <cell r="G756">
            <v>15018765</v>
          </cell>
          <cell r="H756">
            <v>21007362</v>
          </cell>
        </row>
        <row r="757">
          <cell r="A757" t="str">
            <v>3780/31</v>
          </cell>
          <cell r="B757" t="str">
            <v>Otokorkuluk dikmesi yapılması (Sigma profilden) (Ral-Rg 620)</v>
          </cell>
          <cell r="C757" t="str">
            <v>AD</v>
          </cell>
          <cell r="E757">
            <v>7245820</v>
          </cell>
          <cell r="F757">
            <v>9606185</v>
          </cell>
          <cell r="G757">
            <v>15312541</v>
          </cell>
          <cell r="H757">
            <v>21452670</v>
          </cell>
        </row>
        <row r="758">
          <cell r="A758" t="str">
            <v>3780/32</v>
          </cell>
          <cell r="B758" t="str">
            <v>Otokorkuluk dikmesi yapılması (Ipe 100 profilden)(Ral-Rg 620)</v>
          </cell>
          <cell r="C758" t="str">
            <v>AD</v>
          </cell>
          <cell r="E758">
            <v>5542157</v>
          </cell>
          <cell r="F758">
            <v>7477853</v>
          </cell>
          <cell r="G758">
            <v>11995213</v>
          </cell>
          <cell r="H758">
            <v>16714053</v>
          </cell>
        </row>
        <row r="759">
          <cell r="A759" t="str">
            <v>3780/33</v>
          </cell>
          <cell r="B759" t="str">
            <v>Otokorkuluk "u" takozu yapılması (Ral-Rg 620)</v>
          </cell>
          <cell r="C759" t="str">
            <v>AD</v>
          </cell>
          <cell r="E759">
            <v>788835</v>
          </cell>
          <cell r="F759">
            <v>1046897</v>
          </cell>
          <cell r="G759">
            <v>1657725</v>
          </cell>
          <cell r="H759">
            <v>2329772</v>
          </cell>
        </row>
        <row r="760">
          <cell r="A760" t="str">
            <v>3780/34</v>
          </cell>
          <cell r="B760" t="str">
            <v>Otokorkuluk bağlantı plakası yapılması (Ral-Rg 620)</v>
          </cell>
          <cell r="C760" t="str">
            <v>AD</v>
          </cell>
          <cell r="E760">
            <v>185620</v>
          </cell>
          <cell r="F760">
            <v>247877</v>
          </cell>
          <cell r="G760">
            <v>388163</v>
          </cell>
          <cell r="H760">
            <v>547222</v>
          </cell>
        </row>
        <row r="761">
          <cell r="A761" t="str">
            <v>3780/35</v>
          </cell>
          <cell r="B761" t="str">
            <v>Otokorkuluk takozu (L=480 mm.) ile ara bağlantı parçasının yapılması (Ral-Rg 620)</v>
          </cell>
          <cell r="C761" t="str">
            <v>AD</v>
          </cell>
          <cell r="E761">
            <v>4590367</v>
          </cell>
          <cell r="F761">
            <v>6079672</v>
          </cell>
          <cell r="G761">
            <v>9652213</v>
          </cell>
          <cell r="H761">
            <v>13554045</v>
          </cell>
        </row>
        <row r="762">
          <cell r="A762" t="str">
            <v>3780/36</v>
          </cell>
          <cell r="B762" t="str">
            <v>Otokorkuluk takozu (L=780 mm.) ile ara bağlantı parçasının yapılması (Ral-Rg 620)</v>
          </cell>
          <cell r="C762" t="str">
            <v>AD</v>
          </cell>
          <cell r="E762">
            <v>6354615</v>
          </cell>
          <cell r="F762">
            <v>8395852</v>
          </cell>
          <cell r="G762">
            <v>13391338</v>
          </cell>
          <cell r="H762">
            <v>18778850</v>
          </cell>
        </row>
        <row r="763">
          <cell r="A763" t="str">
            <v>3780/37</v>
          </cell>
          <cell r="B763" t="str">
            <v>Otokorkuluk takozu (L=780 mm.) yapılması (Ral-Rg 620)</v>
          </cell>
          <cell r="C763" t="str">
            <v>AD</v>
          </cell>
          <cell r="E763">
            <v>4738177</v>
          </cell>
          <cell r="F763">
            <v>6264847</v>
          </cell>
          <cell r="G763">
            <v>10002513</v>
          </cell>
          <cell r="H763">
            <v>14015965</v>
          </cell>
        </row>
        <row r="764">
          <cell r="A764" t="str">
            <v>3780/38</v>
          </cell>
          <cell r="B764" t="str">
            <v>Otokorkuluk gergi kuşağı yapılması (Ral-Rg 620)</v>
          </cell>
          <cell r="C764" t="str">
            <v>MT</v>
          </cell>
          <cell r="E764">
            <v>1869167</v>
          </cell>
          <cell r="F764">
            <v>2469872</v>
          </cell>
          <cell r="G764">
            <v>3944798</v>
          </cell>
          <cell r="H764">
            <v>5530007</v>
          </cell>
        </row>
        <row r="765">
          <cell r="A765" t="str">
            <v>3780/39</v>
          </cell>
          <cell r="B765" t="str">
            <v>Otokorkuluk uç parçası yapılması (Ral-Rg 620)</v>
          </cell>
          <cell r="C765" t="str">
            <v>AD</v>
          </cell>
          <cell r="E765">
            <v>6792622</v>
          </cell>
          <cell r="F765">
            <v>8958520</v>
          </cell>
          <cell r="G765">
            <v>14337223</v>
          </cell>
          <cell r="H765">
            <v>20084995</v>
          </cell>
        </row>
        <row r="766">
          <cell r="A766" t="str">
            <v>3780/4</v>
          </cell>
          <cell r="B766" t="str">
            <v>Otokorkuluk başlık parçası yapılması</v>
          </cell>
          <cell r="C766" t="str">
            <v>AD</v>
          </cell>
          <cell r="E766">
            <v>14162342</v>
          </cell>
          <cell r="F766">
            <v>18751522</v>
          </cell>
          <cell r="G766">
            <v>29522795</v>
          </cell>
          <cell r="H766">
            <v>41291840</v>
          </cell>
        </row>
        <row r="767">
          <cell r="A767" t="str">
            <v>3780/40</v>
          </cell>
          <cell r="B767" t="str">
            <v>Otokorkuluk genleşme eki (0-80 mm.) yapılması (Ral-Rg 620) (Normal raydan ve gergi kuşağından fark olarak)</v>
          </cell>
          <cell r="C767" t="str">
            <v>AD</v>
          </cell>
          <cell r="E767">
            <v>2039452</v>
          </cell>
          <cell r="F767">
            <v>2675376</v>
          </cell>
          <cell r="G767">
            <v>4328558</v>
          </cell>
          <cell r="H767">
            <v>6044053</v>
          </cell>
        </row>
        <row r="768">
          <cell r="A768" t="str">
            <v>3780/41</v>
          </cell>
          <cell r="B768" t="str">
            <v>Otokorkuluk genleşme eki (80-160 mm.) yapılması (Ral-Rg 620) (Normal raydan ve gergi kuşağından fark olarak)</v>
          </cell>
          <cell r="C768" t="str">
            <v>AD</v>
          </cell>
          <cell r="E768">
            <v>12037677</v>
          </cell>
          <cell r="F768">
            <v>15811538</v>
          </cell>
          <cell r="G768">
            <v>25519512</v>
          </cell>
          <cell r="H768">
            <v>35659061</v>
          </cell>
        </row>
        <row r="769">
          <cell r="A769" t="str">
            <v>3780/42</v>
          </cell>
          <cell r="B769" t="str">
            <v>Köprü koruyucu otokorkuluğu dikmesi yapılması (Sigma profilden) (Plakalar ve ankraj dahil) (Ral-Rg 620)</v>
          </cell>
          <cell r="C769" t="str">
            <v>AD</v>
          </cell>
          <cell r="E769">
            <v>6680213</v>
          </cell>
          <cell r="F769">
            <v>8837163</v>
          </cell>
          <cell r="G769">
            <v>14136827</v>
          </cell>
          <cell r="H769">
            <v>19805300</v>
          </cell>
        </row>
        <row r="770">
          <cell r="A770" t="str">
            <v>3780/43</v>
          </cell>
          <cell r="B770" t="str">
            <v>Köprü koruyucu otokorkuluğu dikmesi yapılması (Ipe 100 profilden) (Plaka ve ankraj dahil) (Ral-Rg 620)</v>
          </cell>
          <cell r="C770" t="str">
            <v>AD</v>
          </cell>
          <cell r="E770">
            <v>5176903</v>
          </cell>
          <cell r="F770">
            <v>6879756</v>
          </cell>
          <cell r="G770">
            <v>10996540</v>
          </cell>
          <cell r="H770">
            <v>15398910</v>
          </cell>
        </row>
        <row r="771">
          <cell r="A771" t="str">
            <v>3780/44</v>
          </cell>
          <cell r="B771" t="str">
            <v>Otokorkuluk rayı montajı (Ral-Rg 620)</v>
          </cell>
          <cell r="C771" t="str">
            <v>MT</v>
          </cell>
          <cell r="E771">
            <v>1339557</v>
          </cell>
          <cell r="F771">
            <v>1789468</v>
          </cell>
          <cell r="G771">
            <v>2927142</v>
          </cell>
          <cell r="H771">
            <v>4070003</v>
          </cell>
        </row>
        <row r="772">
          <cell r="A772" t="str">
            <v>3780/44-S</v>
          </cell>
          <cell r="B772" t="str">
            <v>Otokorkuluk rayı sökülmesi</v>
          </cell>
          <cell r="C772" t="str">
            <v>MT</v>
          </cell>
          <cell r="E772">
            <v>1601426</v>
          </cell>
          <cell r="F772">
            <v>2139200</v>
          </cell>
          <cell r="G772">
            <v>3500096</v>
          </cell>
          <cell r="H772">
            <v>4886278</v>
          </cell>
        </row>
        <row r="773">
          <cell r="A773" t="str">
            <v>3780/45</v>
          </cell>
          <cell r="B773" t="str">
            <v>Otokorkuluk dikmesi montajı (Ral-Rg 620) (Sigma veya Ipe 100 profilden)</v>
          </cell>
          <cell r="C773" t="str">
            <v>AD</v>
          </cell>
          <cell r="E773">
            <v>2780496</v>
          </cell>
          <cell r="F773">
            <v>3715875</v>
          </cell>
          <cell r="G773">
            <v>6063660</v>
          </cell>
          <cell r="H773">
            <v>8437382</v>
          </cell>
        </row>
        <row r="774">
          <cell r="A774" t="str">
            <v>3780/45-S</v>
          </cell>
          <cell r="B774" t="str">
            <v>Otokorkuluk dikmesi sökülmesi (Sigma veya Ipe 100 profilden)</v>
          </cell>
          <cell r="C774" t="str">
            <v>AD</v>
          </cell>
          <cell r="E774">
            <v>3108163</v>
          </cell>
          <cell r="F774">
            <v>4154481</v>
          </cell>
          <cell r="G774">
            <v>6772488</v>
          </cell>
          <cell r="H774">
            <v>9426657</v>
          </cell>
        </row>
        <row r="775">
          <cell r="A775" t="str">
            <v>3780/46</v>
          </cell>
          <cell r="B775" t="str">
            <v>Otokorkuluk "u" takozu (Bağlantı plakası dahil) montajı (Ral-Rg 620)</v>
          </cell>
          <cell r="C775" t="str">
            <v>AD</v>
          </cell>
          <cell r="E775">
            <v>568398</v>
          </cell>
          <cell r="F775">
            <v>757796</v>
          </cell>
          <cell r="G775">
            <v>1254196</v>
          </cell>
          <cell r="H775">
            <v>1737626</v>
          </cell>
        </row>
        <row r="776">
          <cell r="A776" t="str">
            <v>3780/46-S</v>
          </cell>
          <cell r="B776" t="str">
            <v>Otokorkuluk "U" takozu (Bağlantı plakası dahil) sökülmesi</v>
          </cell>
          <cell r="C776" t="str">
            <v>AD</v>
          </cell>
          <cell r="E776">
            <v>776017</v>
          </cell>
          <cell r="F776">
            <v>1034252</v>
          </cell>
          <cell r="G776">
            <v>1715112</v>
          </cell>
          <cell r="H776">
            <v>2374777</v>
          </cell>
        </row>
        <row r="777">
          <cell r="A777" t="str">
            <v>3780/47</v>
          </cell>
          <cell r="B777" t="str">
            <v>Otokorkuluk takozu (L=480 mm.) ve ara bağlantı parçasının (Bağlantı plakası dahil) montajı (Ral-Rg 620)</v>
          </cell>
          <cell r="C777" t="str">
            <v>AD</v>
          </cell>
          <cell r="E777">
            <v>1005197</v>
          </cell>
          <cell r="F777">
            <v>1337843</v>
          </cell>
          <cell r="G777">
            <v>2236642</v>
          </cell>
          <cell r="H777">
            <v>3089253</v>
          </cell>
        </row>
        <row r="778">
          <cell r="A778" t="str">
            <v>3780/47-S</v>
          </cell>
          <cell r="B778" t="str">
            <v>Otokorkuluk takozu (L=480 mm.) ve ara bağlantı parçasının (Bağlantı plakası dahil) sökülmesi</v>
          </cell>
          <cell r="C778" t="str">
            <v>AD</v>
          </cell>
          <cell r="E778">
            <v>1212817</v>
          </cell>
          <cell r="F778">
            <v>1614300</v>
          </cell>
          <cell r="G778">
            <v>2697558</v>
          </cell>
          <cell r="H778">
            <v>3726403</v>
          </cell>
        </row>
        <row r="779">
          <cell r="A779" t="str">
            <v>3780/48</v>
          </cell>
          <cell r="B779" t="str">
            <v>Otokorkuluk takozu (L=780 mm.) ve ara bağlantı parçasının (Bağlantı plakası dahil) montajı (Ral-Rg 620)</v>
          </cell>
          <cell r="C779" t="str">
            <v>AD</v>
          </cell>
          <cell r="E779">
            <v>1507797</v>
          </cell>
          <cell r="F779">
            <v>2006765</v>
          </cell>
          <cell r="G779">
            <v>3354963</v>
          </cell>
          <cell r="H779">
            <v>4633880</v>
          </cell>
        </row>
        <row r="780">
          <cell r="A780" t="str">
            <v>3780/48-S</v>
          </cell>
          <cell r="B780" t="str">
            <v>Otokorkuluk takozu (L=780 mm.) ve ara bağlantı parçasının (Bağlantı plakası dahil) sökülmesi</v>
          </cell>
          <cell r="C780" t="str">
            <v>AD</v>
          </cell>
          <cell r="E780">
            <v>1715416</v>
          </cell>
          <cell r="F780">
            <v>2283221</v>
          </cell>
          <cell r="G780">
            <v>3815880</v>
          </cell>
          <cell r="H780">
            <v>5271031</v>
          </cell>
        </row>
        <row r="781">
          <cell r="A781" t="str">
            <v>3780/49</v>
          </cell>
          <cell r="B781" t="str">
            <v>Otokorkuluk takozu (L=780 mm.)(Bağlantı plakası dahil)montajı (Ral-Rg 620)</v>
          </cell>
          <cell r="C781" t="str">
            <v>AD</v>
          </cell>
          <cell r="E781">
            <v>1005197</v>
          </cell>
          <cell r="F781">
            <v>1337843</v>
          </cell>
          <cell r="G781">
            <v>2236642</v>
          </cell>
          <cell r="H781">
            <v>3089253</v>
          </cell>
        </row>
        <row r="782">
          <cell r="A782" t="str">
            <v>3780/49-S</v>
          </cell>
          <cell r="B782" t="str">
            <v>Otokorkuluk takozu (L=780 mm.) (Bağlantı plakası dahil) sökülmesi</v>
          </cell>
          <cell r="C782" t="str">
            <v>AD</v>
          </cell>
          <cell r="E782">
            <v>1212817</v>
          </cell>
          <cell r="F782">
            <v>1614300</v>
          </cell>
          <cell r="G782">
            <v>2697558</v>
          </cell>
          <cell r="H782">
            <v>3726403</v>
          </cell>
        </row>
        <row r="783">
          <cell r="A783" t="str">
            <v>3780/50</v>
          </cell>
          <cell r="B783" t="str">
            <v>Otokorkuluk gergi kuşağı montajı (Ral-Rg 620)</v>
          </cell>
          <cell r="C783" t="str">
            <v>MT</v>
          </cell>
          <cell r="E783">
            <v>669778</v>
          </cell>
          <cell r="F783">
            <v>894733</v>
          </cell>
          <cell r="G783">
            <v>1463571</v>
          </cell>
          <cell r="H783">
            <v>2035001</v>
          </cell>
        </row>
        <row r="784">
          <cell r="A784" t="str">
            <v>3780/50-S</v>
          </cell>
          <cell r="B784" t="str">
            <v>Otokorkuluk gergi kuşağı sökülmesi</v>
          </cell>
          <cell r="C784" t="str">
            <v>MT</v>
          </cell>
          <cell r="E784">
            <v>877397</v>
          </cell>
          <cell r="F784">
            <v>1171190</v>
          </cell>
          <cell r="G784">
            <v>1924487</v>
          </cell>
          <cell r="H784">
            <v>2672152</v>
          </cell>
        </row>
        <row r="785">
          <cell r="A785" t="str">
            <v>3780/51</v>
          </cell>
          <cell r="B785" t="str">
            <v>Otokorkuluk uç parçası montajı (Ral-Rg 620)</v>
          </cell>
          <cell r="C785" t="str">
            <v>AD</v>
          </cell>
          <cell r="E785">
            <v>1507797</v>
          </cell>
          <cell r="F785">
            <v>2006765</v>
          </cell>
          <cell r="G785">
            <v>3354963</v>
          </cell>
          <cell r="H785">
            <v>4633880</v>
          </cell>
        </row>
        <row r="786">
          <cell r="A786" t="str">
            <v>3780/51-S</v>
          </cell>
          <cell r="B786" t="str">
            <v>Otokorkuluk uç parçası sökülmesi</v>
          </cell>
          <cell r="C786" t="str">
            <v>AD</v>
          </cell>
          <cell r="E786">
            <v>1715416</v>
          </cell>
          <cell r="F786">
            <v>2283221</v>
          </cell>
          <cell r="G786">
            <v>3815880</v>
          </cell>
          <cell r="H786">
            <v>5271031</v>
          </cell>
        </row>
        <row r="787">
          <cell r="A787" t="str">
            <v>3780/52</v>
          </cell>
          <cell r="B787" t="str">
            <v>Otokorkuluk genleşme eki (0-80 mm.) montajı (Ral-Rg 620)</v>
          </cell>
          <cell r="C787" t="str">
            <v>AD</v>
          </cell>
          <cell r="E787">
            <v>937690</v>
          </cell>
          <cell r="F787">
            <v>1252627</v>
          </cell>
          <cell r="G787">
            <v>2049000</v>
          </cell>
          <cell r="H787">
            <v>2849002</v>
          </cell>
        </row>
        <row r="788">
          <cell r="A788" t="str">
            <v>3780/52-S</v>
          </cell>
          <cell r="B788" t="str">
            <v>Otokorkuluk genleşme eki (0-80 mm.) sökülmesi</v>
          </cell>
          <cell r="C788" t="str">
            <v>AD</v>
          </cell>
          <cell r="E788">
            <v>1132148</v>
          </cell>
          <cell r="F788">
            <v>1511308</v>
          </cell>
          <cell r="G788">
            <v>2482740</v>
          </cell>
          <cell r="H788">
            <v>3447552</v>
          </cell>
        </row>
        <row r="789">
          <cell r="A789" t="str">
            <v>3780/53</v>
          </cell>
          <cell r="B789" t="str">
            <v>Otokorkuluk genleşme eki (80-160 mm.) montajı (Ral-Rg 620)</v>
          </cell>
          <cell r="C789" t="str">
            <v>AD</v>
          </cell>
          <cell r="E789">
            <v>1875381</v>
          </cell>
          <cell r="F789">
            <v>2505256</v>
          </cell>
          <cell r="G789">
            <v>4098000</v>
          </cell>
          <cell r="H789">
            <v>5698005</v>
          </cell>
        </row>
        <row r="790">
          <cell r="A790" t="str">
            <v>3780/53-S</v>
          </cell>
          <cell r="B790" t="str">
            <v>Otokorkuluk genleşme eki (80-160 mm.) sökülmesi</v>
          </cell>
          <cell r="C790" t="str">
            <v>AD</v>
          </cell>
          <cell r="E790">
            <v>2089581</v>
          </cell>
          <cell r="F790">
            <v>2790600</v>
          </cell>
          <cell r="G790">
            <v>4572503</v>
          </cell>
          <cell r="H790">
            <v>6354455</v>
          </cell>
        </row>
        <row r="791">
          <cell r="A791" t="str">
            <v>3780/54</v>
          </cell>
          <cell r="B791" t="str">
            <v>Köprü koruyucu otokorkuluğu dikmesi montajı (Ral-Rg 620) (Sigma veya Ipe 100 profilden)</v>
          </cell>
          <cell r="C791" t="str">
            <v>AD</v>
          </cell>
          <cell r="E791">
            <v>2424517</v>
          </cell>
          <cell r="F791">
            <v>3254968</v>
          </cell>
          <cell r="G791">
            <v>5167892</v>
          </cell>
          <cell r="H791">
            <v>7252503</v>
          </cell>
        </row>
        <row r="792">
          <cell r="A792" t="str">
            <v>3780/54-S</v>
          </cell>
          <cell r="B792" t="str">
            <v>Köprü koruyucu otokorkuluğu dikmesi sökülmesi (Sigma veya Ipe 100 profilden)</v>
          </cell>
          <cell r="C792" t="str">
            <v>AD</v>
          </cell>
          <cell r="E792">
            <v>2948253</v>
          </cell>
          <cell r="F792">
            <v>3954431</v>
          </cell>
          <cell r="G792">
            <v>6313800</v>
          </cell>
          <cell r="H792">
            <v>8845055</v>
          </cell>
        </row>
        <row r="793">
          <cell r="A793" t="str">
            <v>3780/55</v>
          </cell>
          <cell r="B793" t="str">
            <v>Otokorkuluk başlık parçası yapılması (Ral-Rg 620)</v>
          </cell>
          <cell r="C793" t="str">
            <v>AD</v>
          </cell>
          <cell r="E793">
            <v>16050637</v>
          </cell>
          <cell r="F793">
            <v>21148897</v>
          </cell>
          <cell r="G793">
            <v>33920962</v>
          </cell>
          <cell r="H793">
            <v>47485180</v>
          </cell>
        </row>
        <row r="794">
          <cell r="A794" t="str">
            <v>3780/56</v>
          </cell>
          <cell r="B794" t="str">
            <v>Otokorkuluk başlık parçası montajı (Ral-Rg 620)</v>
          </cell>
          <cell r="C794" t="str">
            <v>AD</v>
          </cell>
          <cell r="E794">
            <v>3677896</v>
          </cell>
          <cell r="F794">
            <v>4918047</v>
          </cell>
          <cell r="G794">
            <v>7997232</v>
          </cell>
          <cell r="H794">
            <v>11140008</v>
          </cell>
        </row>
        <row r="795">
          <cell r="A795" t="str">
            <v>3780/56-S</v>
          </cell>
          <cell r="B795" t="str">
            <v>Otokorkuluk başlık parçası sökülmesi</v>
          </cell>
          <cell r="C795" t="str">
            <v>AD</v>
          </cell>
          <cell r="E795">
            <v>4085807</v>
          </cell>
          <cell r="F795">
            <v>5463050</v>
          </cell>
          <cell r="G795">
            <v>8887850</v>
          </cell>
          <cell r="H795">
            <v>12378735</v>
          </cell>
        </row>
        <row r="796">
          <cell r="A796" t="str">
            <v>3780/8</v>
          </cell>
          <cell r="B796" t="str">
            <v>Otokorkuluk başlık parçası montajı</v>
          </cell>
          <cell r="C796" t="str">
            <v>AD</v>
          </cell>
          <cell r="E796">
            <v>3677896</v>
          </cell>
          <cell r="F796">
            <v>4918047</v>
          </cell>
          <cell r="G796">
            <v>7997232</v>
          </cell>
          <cell r="H796">
            <v>11140008</v>
          </cell>
        </row>
        <row r="797">
          <cell r="A797" t="str">
            <v>3783</v>
          </cell>
          <cell r="B797" t="str">
            <v>Profilli demirden kazık ve keson işçiliği (Boyama hariç)</v>
          </cell>
          <cell r="C797" t="str">
            <v>TN</v>
          </cell>
          <cell r="E797">
            <v>192683125</v>
          </cell>
          <cell r="F797">
            <v>262950000</v>
          </cell>
          <cell r="G797">
            <v>419750000</v>
          </cell>
          <cell r="H797">
            <v>585593750</v>
          </cell>
        </row>
        <row r="798">
          <cell r="A798" t="str">
            <v>3792</v>
          </cell>
          <cell r="B798" t="str">
            <v>Yüksek dayanımlı öngerme çeliği temini</v>
          </cell>
          <cell r="C798" t="str">
            <v>TN</v>
          </cell>
          <cell r="E798">
            <v>450000000</v>
          </cell>
          <cell r="F798">
            <v>512500000</v>
          </cell>
          <cell r="G798">
            <v>925000000</v>
          </cell>
          <cell r="H798">
            <v>1250000000</v>
          </cell>
        </row>
        <row r="799">
          <cell r="A799" t="str">
            <v>3793</v>
          </cell>
          <cell r="B799" t="str">
            <v>Kılıf borusu temini</v>
          </cell>
          <cell r="C799" t="str">
            <v>MT</v>
          </cell>
          <cell r="E799">
            <v>437500</v>
          </cell>
          <cell r="F799">
            <v>456250</v>
          </cell>
          <cell r="G799">
            <v>750000</v>
          </cell>
          <cell r="H799">
            <v>1125000</v>
          </cell>
        </row>
        <row r="800">
          <cell r="A800" t="str">
            <v>3794</v>
          </cell>
          <cell r="B800" t="str">
            <v>Ankraj konu temini</v>
          </cell>
          <cell r="C800" t="str">
            <v>AD</v>
          </cell>
          <cell r="E800">
            <v>3900000</v>
          </cell>
          <cell r="F800">
            <v>5000000</v>
          </cell>
          <cell r="G800">
            <v>8250000</v>
          </cell>
          <cell r="H800">
            <v>11550000</v>
          </cell>
        </row>
        <row r="801">
          <cell r="A801" t="str">
            <v>3800</v>
          </cell>
          <cell r="B801" t="str">
            <v>Pirinç boru</v>
          </cell>
          <cell r="C801" t="str">
            <v>KG</v>
          </cell>
          <cell r="E801">
            <v>1875002</v>
          </cell>
          <cell r="F801">
            <v>2500002</v>
          </cell>
          <cell r="G801">
            <v>4750002</v>
          </cell>
          <cell r="H801">
            <v>6250002</v>
          </cell>
        </row>
        <row r="802">
          <cell r="A802" t="str">
            <v>3805</v>
          </cell>
          <cell r="B802" t="str">
            <v>Neopren (Lastik) mesnet tertibatı (İçi çelik fretli)</v>
          </cell>
          <cell r="C802" t="str">
            <v>D3</v>
          </cell>
          <cell r="E802">
            <v>7038040</v>
          </cell>
          <cell r="F802">
            <v>10135750</v>
          </cell>
          <cell r="G802">
            <v>20207625</v>
          </cell>
          <cell r="H802">
            <v>27794875</v>
          </cell>
        </row>
        <row r="803">
          <cell r="A803" t="str">
            <v>3820</v>
          </cell>
          <cell r="B803" t="str">
            <v>3 cm. kalınlıkta muhafaza betonu yapılması</v>
          </cell>
          <cell r="C803" t="str">
            <v>M2</v>
          </cell>
          <cell r="E803">
            <v>800416</v>
          </cell>
          <cell r="F803">
            <v>1080966</v>
          </cell>
          <cell r="G803">
            <v>1652875</v>
          </cell>
          <cell r="H803">
            <v>2347661</v>
          </cell>
        </row>
        <row r="804">
          <cell r="A804" t="str">
            <v>3821</v>
          </cell>
          <cell r="B804" t="str">
            <v>4 cm. kalınlıkta muhafaza betonu yapılması</v>
          </cell>
          <cell r="C804" t="str">
            <v>M2</v>
          </cell>
          <cell r="E804">
            <v>875658</v>
          </cell>
          <cell r="F804">
            <v>1182595</v>
          </cell>
          <cell r="G804">
            <v>1808247</v>
          </cell>
          <cell r="H804">
            <v>2568356</v>
          </cell>
        </row>
        <row r="805">
          <cell r="A805" t="str">
            <v>3822</v>
          </cell>
          <cell r="B805" t="str">
            <v>5 cm. kalınlıkta muhafaza betonu yapılması</v>
          </cell>
          <cell r="C805" t="str">
            <v>M2</v>
          </cell>
          <cell r="E805">
            <v>950901</v>
          </cell>
          <cell r="F805">
            <v>1284223</v>
          </cell>
          <cell r="G805">
            <v>1963621</v>
          </cell>
          <cell r="H805">
            <v>2789052</v>
          </cell>
        </row>
        <row r="806">
          <cell r="A806" t="str">
            <v>3950</v>
          </cell>
          <cell r="B806" t="str">
            <v>1000 kg.dan 3000 kg.a kadar tahkimat beton bloklarının yerine yerleştirilmesi</v>
          </cell>
          <cell r="C806" t="str">
            <v>M3</v>
          </cell>
          <cell r="E806">
            <v>701480</v>
          </cell>
          <cell r="F806">
            <v>916421</v>
          </cell>
          <cell r="G806">
            <v>1687896</v>
          </cell>
          <cell r="H806">
            <v>2313805</v>
          </cell>
        </row>
        <row r="807">
          <cell r="A807" t="str">
            <v>3955</v>
          </cell>
          <cell r="B807" t="str">
            <v>3000 kg.dan 6000 kg.a kadar tahkimat beton bloklarının yerine yerleştirilmesi</v>
          </cell>
          <cell r="C807" t="str">
            <v>M3</v>
          </cell>
          <cell r="E807">
            <v>841776</v>
          </cell>
          <cell r="F807">
            <v>1099705</v>
          </cell>
          <cell r="G807">
            <v>2025476</v>
          </cell>
          <cell r="H807">
            <v>2776566</v>
          </cell>
        </row>
        <row r="808">
          <cell r="A808" t="str">
            <v>3960</v>
          </cell>
          <cell r="B808" t="str">
            <v>6000 kg.dan 12000 kg.a kadar tahkimat beton bloklarının yerine yerleştirilmesi</v>
          </cell>
          <cell r="C808" t="str">
            <v>M3</v>
          </cell>
          <cell r="E808">
            <v>1234606</v>
          </cell>
          <cell r="F808">
            <v>1612901</v>
          </cell>
          <cell r="G808">
            <v>2970697</v>
          </cell>
          <cell r="H808">
            <v>4072297</v>
          </cell>
        </row>
        <row r="809">
          <cell r="A809" t="str">
            <v>3965</v>
          </cell>
          <cell r="B809" t="str">
            <v>Tahkimat için her boyutta beton blok yapılması</v>
          </cell>
          <cell r="C809" t="str">
            <v>M3</v>
          </cell>
          <cell r="E809">
            <v>12280963</v>
          </cell>
          <cell r="F809">
            <v>16571841</v>
          </cell>
          <cell r="G809">
            <v>25477782</v>
          </cell>
          <cell r="H809">
            <v>36149158</v>
          </cell>
        </row>
        <row r="810">
          <cell r="A810" t="str">
            <v>3980</v>
          </cell>
          <cell r="B810" t="str">
            <v>Sınır taşı hazırlanması ve yerine konulması</v>
          </cell>
          <cell r="C810" t="str">
            <v>AD</v>
          </cell>
          <cell r="E810">
            <v>1789841</v>
          </cell>
          <cell r="F810">
            <v>2341561</v>
          </cell>
          <cell r="G810">
            <v>4083706</v>
          </cell>
          <cell r="H810">
            <v>5501247</v>
          </cell>
        </row>
        <row r="811">
          <cell r="A811" t="str">
            <v>3985</v>
          </cell>
          <cell r="B811" t="str">
            <v>Kenar taşı hazırlanması ve yerine konulması</v>
          </cell>
          <cell r="C811" t="str">
            <v>AD</v>
          </cell>
          <cell r="E811">
            <v>2386455</v>
          </cell>
          <cell r="F811">
            <v>3122082</v>
          </cell>
          <cell r="G811">
            <v>5444942</v>
          </cell>
          <cell r="H811">
            <v>7334997</v>
          </cell>
        </row>
        <row r="812">
          <cell r="A812" t="str">
            <v>3985/2A</v>
          </cell>
          <cell r="B812" t="str">
            <v>CTP yol kenar dikmesinin temini ve yol boyuna dikilmesi</v>
          </cell>
          <cell r="C812" t="str">
            <v>AD</v>
          </cell>
          <cell r="E812">
            <v>4365067</v>
          </cell>
          <cell r="F812">
            <v>5036498</v>
          </cell>
          <cell r="G812">
            <v>8688551</v>
          </cell>
          <cell r="H812">
            <v>12084220</v>
          </cell>
        </row>
        <row r="813">
          <cell r="A813" t="str">
            <v>40.130</v>
          </cell>
          <cell r="B813" t="str">
            <v>Asfalt kazıma makinesi ile her cins bitümlü karışım kaplamaların kazılması</v>
          </cell>
          <cell r="C813" t="str">
            <v>M3</v>
          </cell>
          <cell r="E813">
            <v>8128808</v>
          </cell>
          <cell r="F813">
            <v>10811336</v>
          </cell>
          <cell r="G813">
            <v>18467626</v>
          </cell>
          <cell r="H813">
            <v>24201312</v>
          </cell>
        </row>
        <row r="814">
          <cell r="A814" t="str">
            <v>4000</v>
          </cell>
          <cell r="B814" t="str">
            <v>Trafik standart 90 cm.üçgen kenarlı T ve Y levhası yapılması</v>
          </cell>
          <cell r="C814" t="str">
            <v>AD</v>
          </cell>
          <cell r="E814">
            <v>2504806</v>
          </cell>
          <cell r="F814">
            <v>2887443</v>
          </cell>
          <cell r="G814">
            <v>5358337</v>
          </cell>
          <cell r="H814">
            <v>7257243</v>
          </cell>
        </row>
        <row r="815">
          <cell r="A815" t="str">
            <v>4002</v>
          </cell>
          <cell r="B815" t="str">
            <v>Trafik standart yuvarlak 60 cm.çaplı B ve Y levhası yapılması</v>
          </cell>
          <cell r="C815" t="str">
            <v>AD</v>
          </cell>
          <cell r="E815">
            <v>2661896</v>
          </cell>
          <cell r="F815">
            <v>3104495</v>
          </cell>
          <cell r="G815">
            <v>5680955</v>
          </cell>
          <cell r="H815">
            <v>7718905</v>
          </cell>
        </row>
        <row r="816">
          <cell r="A816" t="str">
            <v>4003</v>
          </cell>
          <cell r="B816" t="str">
            <v>Trafik standart dikdörtgen (60 X 60 cm.) B levhası yapılması</v>
          </cell>
          <cell r="C816" t="str">
            <v>AD</v>
          </cell>
          <cell r="E816">
            <v>1876692</v>
          </cell>
          <cell r="F816">
            <v>2019490</v>
          </cell>
          <cell r="G816">
            <v>4068410</v>
          </cell>
          <cell r="H816">
            <v>5411310</v>
          </cell>
        </row>
        <row r="817">
          <cell r="A817" t="str">
            <v>4004</v>
          </cell>
          <cell r="B817" t="str">
            <v>Trafik yol engel işareti levhası yapılması (20 X 200 cm.)</v>
          </cell>
          <cell r="C817" t="str">
            <v>AD</v>
          </cell>
          <cell r="E817">
            <v>1411688</v>
          </cell>
          <cell r="F817">
            <v>1592692</v>
          </cell>
          <cell r="G817">
            <v>3018732</v>
          </cell>
          <cell r="H817">
            <v>4052407</v>
          </cell>
        </row>
        <row r="818">
          <cell r="A818" t="str">
            <v>4005</v>
          </cell>
          <cell r="B818" t="str">
            <v>Trafik çavuş levhası yapılması (30 X 150 cm.)</v>
          </cell>
          <cell r="C818" t="str">
            <v>AD</v>
          </cell>
          <cell r="E818">
            <v>1261420</v>
          </cell>
          <cell r="F818">
            <v>1366380</v>
          </cell>
          <cell r="G818">
            <v>2731232</v>
          </cell>
          <cell r="H818">
            <v>3638845</v>
          </cell>
        </row>
        <row r="819">
          <cell r="A819" t="str">
            <v>4010</v>
          </cell>
          <cell r="B819" t="str">
            <v>Trafik standart işaret levha direği yapılması (Siyah sactan)</v>
          </cell>
          <cell r="C819" t="str">
            <v>MT</v>
          </cell>
          <cell r="E819">
            <v>2989725</v>
          </cell>
          <cell r="F819">
            <v>3644506</v>
          </cell>
          <cell r="G819">
            <v>6415322</v>
          </cell>
          <cell r="H819">
            <v>8789160</v>
          </cell>
        </row>
        <row r="820">
          <cell r="A820" t="str">
            <v>4012</v>
          </cell>
          <cell r="B820" t="str">
            <v>Trafik emniyet klavuzu ayağı yapılması</v>
          </cell>
          <cell r="C820" t="str">
            <v>AD</v>
          </cell>
          <cell r="E820">
            <v>2224650</v>
          </cell>
          <cell r="F820">
            <v>2560643</v>
          </cell>
          <cell r="G820">
            <v>4690845</v>
          </cell>
          <cell r="H820">
            <v>6290356</v>
          </cell>
        </row>
        <row r="821">
          <cell r="A821" t="str">
            <v>4019</v>
          </cell>
          <cell r="B821" t="str">
            <v>Trafik işaret levhası boyanması (Yasak, tahdit ve bilgi levhaları)</v>
          </cell>
          <cell r="C821" t="str">
            <v>M2</v>
          </cell>
          <cell r="E821">
            <v>3147160</v>
          </cell>
          <cell r="F821">
            <v>3944750</v>
          </cell>
          <cell r="G821">
            <v>7231500</v>
          </cell>
          <cell r="H821">
            <v>8983750</v>
          </cell>
        </row>
        <row r="822">
          <cell r="A822" t="str">
            <v>4020</v>
          </cell>
          <cell r="B822" t="str">
            <v>Standart trafik işaret levhalarına sembol, bordür ve yazı yazılması</v>
          </cell>
          <cell r="C822" t="str">
            <v>M2</v>
          </cell>
          <cell r="E822">
            <v>733827</v>
          </cell>
          <cell r="F822">
            <v>928875</v>
          </cell>
          <cell r="G822">
            <v>1606625</v>
          </cell>
          <cell r="H822">
            <v>2063312</v>
          </cell>
        </row>
        <row r="823">
          <cell r="A823" t="str">
            <v>4035</v>
          </cell>
          <cell r="B823" t="str">
            <v>Standart trafik levhaları (šçgen, yuvarlak, dörtgen) engel işaretleri ve engel işaretlerinin ayaklarının bakımının yapılması</v>
          </cell>
          <cell r="C823" t="str">
            <v>AD</v>
          </cell>
          <cell r="E823">
            <v>253205</v>
          </cell>
          <cell r="F823">
            <v>341975</v>
          </cell>
          <cell r="G823">
            <v>522856</v>
          </cell>
          <cell r="H823">
            <v>742650</v>
          </cell>
        </row>
        <row r="824">
          <cell r="A824" t="str">
            <v>4230</v>
          </cell>
          <cell r="B824" t="str">
            <v>Bitümlü temel ve satıh tabakalarında kalıp</v>
          </cell>
          <cell r="C824" t="str">
            <v>MT</v>
          </cell>
          <cell r="E824">
            <v>54955</v>
          </cell>
          <cell r="F824">
            <v>70903</v>
          </cell>
          <cell r="G824">
            <v>116437</v>
          </cell>
          <cell r="H824">
            <v>157125</v>
          </cell>
        </row>
        <row r="825">
          <cell r="A825" t="str">
            <v>4231</v>
          </cell>
          <cell r="B825" t="str">
            <v>Ocak taşından konkasörle kırılmış ve elenmiş 100 mm.(4") lik agrega hazırlanması</v>
          </cell>
          <cell r="C825" t="str">
            <v>M3</v>
          </cell>
          <cell r="E825">
            <v>4323248</v>
          </cell>
          <cell r="F825">
            <v>5770645</v>
          </cell>
          <cell r="G825">
            <v>9421935</v>
          </cell>
          <cell r="H825">
            <v>13154203</v>
          </cell>
        </row>
        <row r="826">
          <cell r="A826" t="str">
            <v>4232</v>
          </cell>
          <cell r="B826" t="str">
            <v>Kazı taşından konkasörle kırılmış ve elenmiş 100 mm.(4") lik agrega hazırlanması</v>
          </cell>
          <cell r="C826" t="str">
            <v>M3</v>
          </cell>
          <cell r="E826">
            <v>2832388</v>
          </cell>
          <cell r="F826">
            <v>3797517</v>
          </cell>
          <cell r="G826">
            <v>6043363</v>
          </cell>
          <cell r="H826">
            <v>8509775</v>
          </cell>
        </row>
        <row r="827">
          <cell r="A827" t="str">
            <v>4233</v>
          </cell>
          <cell r="B827" t="str">
            <v>Elenmemiş çakıllı malzemeden konkasörle kırılmış ve elenmiş 100 mm.(4") lik agrega hazırlanması</v>
          </cell>
          <cell r="C827" t="str">
            <v>M3</v>
          </cell>
          <cell r="E827">
            <v>927896</v>
          </cell>
          <cell r="F827">
            <v>1209727</v>
          </cell>
          <cell r="G827">
            <v>2135480</v>
          </cell>
          <cell r="H827">
            <v>2913408</v>
          </cell>
        </row>
        <row r="828">
          <cell r="A828" t="str">
            <v>4234</v>
          </cell>
          <cell r="B828" t="str">
            <v>Elenmiş çakıldan konkasörle kırılmış ve elenmiş 100 mm.(4") lik agrega hazırlanması</v>
          </cell>
          <cell r="C828" t="str">
            <v>M3</v>
          </cell>
          <cell r="E828">
            <v>1480841</v>
          </cell>
          <cell r="F828">
            <v>1933948</v>
          </cell>
          <cell r="G828">
            <v>3447397</v>
          </cell>
          <cell r="H828">
            <v>4733105</v>
          </cell>
        </row>
        <row r="829">
          <cell r="A829" t="str">
            <v>4236</v>
          </cell>
          <cell r="B829" t="str">
            <v>Ocak taşından konkasörle kırılmış ve elenmiş 75 mm.(3") lik agrega hazırlanması</v>
          </cell>
          <cell r="C829" t="str">
            <v>M3</v>
          </cell>
          <cell r="E829">
            <v>4453286</v>
          </cell>
          <cell r="F829">
            <v>5941845</v>
          </cell>
          <cell r="G829">
            <v>9724496</v>
          </cell>
          <cell r="H829">
            <v>13572661</v>
          </cell>
        </row>
        <row r="830">
          <cell r="A830" t="str">
            <v>4237</v>
          </cell>
          <cell r="B830" t="str">
            <v>Kazı taşından konkasörle kırılmış ve elenmiş 75 mm.(3") lik agrega hazırlanması</v>
          </cell>
          <cell r="C830" t="str">
            <v>M3</v>
          </cell>
          <cell r="E830">
            <v>2962426</v>
          </cell>
          <cell r="F830">
            <v>3968717</v>
          </cell>
          <cell r="G830">
            <v>6345925</v>
          </cell>
          <cell r="H830">
            <v>8928232</v>
          </cell>
        </row>
        <row r="831">
          <cell r="A831" t="str">
            <v>4238</v>
          </cell>
          <cell r="B831" t="str">
            <v>Elenmemiş çakıllı malzemeden konkasörle kırılmış ve elenmiş 75 mm.(3") lik agrega hazırlanması</v>
          </cell>
          <cell r="C831" t="str">
            <v>M3</v>
          </cell>
          <cell r="E831">
            <v>1057932</v>
          </cell>
          <cell r="F831">
            <v>1380927</v>
          </cell>
          <cell r="G831">
            <v>2438041</v>
          </cell>
          <cell r="H831">
            <v>3331865</v>
          </cell>
        </row>
        <row r="832">
          <cell r="A832" t="str">
            <v>4239</v>
          </cell>
          <cell r="B832" t="str">
            <v>Elenmiş çakıldan konkasörle kırılmış ve elenmiş 75 mm.(3") lik agrega hazırlanması</v>
          </cell>
          <cell r="C832" t="str">
            <v>M3</v>
          </cell>
          <cell r="E832">
            <v>1610878</v>
          </cell>
          <cell r="F832">
            <v>2105148</v>
          </cell>
          <cell r="G832">
            <v>3749958</v>
          </cell>
          <cell r="H832">
            <v>5151562</v>
          </cell>
        </row>
        <row r="833">
          <cell r="A833" t="str">
            <v>4241</v>
          </cell>
          <cell r="B833" t="str">
            <v>Ocak taşından konkasörle kırılmış ve elenmiş 63,5 mm.(2 "") lik agrega hazırlanması</v>
          </cell>
          <cell r="C833" t="str">
            <v>M3</v>
          </cell>
          <cell r="E833">
            <v>4713360</v>
          </cell>
          <cell r="F833">
            <v>6284245</v>
          </cell>
          <cell r="G833">
            <v>10329618</v>
          </cell>
          <cell r="H833">
            <v>14409573</v>
          </cell>
        </row>
        <row r="834">
          <cell r="A834" t="str">
            <v>4242</v>
          </cell>
          <cell r="B834" t="str">
            <v>Kazı taşından konkasörle kırılmış ve elenmiş 63,5 mm.(2 "") lik agrega hazırlanması</v>
          </cell>
          <cell r="C834" t="str">
            <v>M3</v>
          </cell>
          <cell r="E834">
            <v>3222500</v>
          </cell>
          <cell r="F834">
            <v>4311117</v>
          </cell>
          <cell r="G834">
            <v>6951047</v>
          </cell>
          <cell r="H834">
            <v>9765145</v>
          </cell>
        </row>
        <row r="835">
          <cell r="A835" t="str">
            <v>4243</v>
          </cell>
          <cell r="B835" t="str">
            <v>Elenmemiş çakıllı malzemeden konkasörle kırılmış ve elenmiş 63,5 mm.(2 "") lik agrega hazırlanması</v>
          </cell>
          <cell r="C835" t="str">
            <v>M3</v>
          </cell>
          <cell r="E835">
            <v>1187970</v>
          </cell>
          <cell r="F835">
            <v>1552127</v>
          </cell>
          <cell r="G835">
            <v>2740602</v>
          </cell>
          <cell r="H835">
            <v>3750322</v>
          </cell>
        </row>
        <row r="836">
          <cell r="A836" t="str">
            <v>4244</v>
          </cell>
          <cell r="B836" t="str">
            <v>Elenmiş çakıldan konkasörle kırılmış ve elenmiş 63,5 mm. (2 "") lik agrega hazırlanması</v>
          </cell>
          <cell r="C836" t="str">
            <v>M3</v>
          </cell>
          <cell r="E836">
            <v>1870952</v>
          </cell>
          <cell r="F836">
            <v>2447548</v>
          </cell>
          <cell r="G836">
            <v>4355081</v>
          </cell>
          <cell r="H836">
            <v>5988475</v>
          </cell>
        </row>
        <row r="837">
          <cell r="A837" t="str">
            <v>4246</v>
          </cell>
          <cell r="B837" t="str">
            <v>Ocak taşından konkasörle kırılmış ve elenmiş 50 mm.(2"), 44 mm.(1 ó"), 37,5 mm.(1 "") ve 31 mm.(1 ¬") lik agrega hazırlanması</v>
          </cell>
          <cell r="C837" t="str">
            <v>M3</v>
          </cell>
          <cell r="E837">
            <v>5115962</v>
          </cell>
          <cell r="F837">
            <v>6811198</v>
          </cell>
          <cell r="G837">
            <v>11285827</v>
          </cell>
          <cell r="H837">
            <v>15742142</v>
          </cell>
        </row>
        <row r="838">
          <cell r="A838" t="str">
            <v>4247</v>
          </cell>
          <cell r="B838" t="str">
            <v>Kazı taşından konkasörle kırılmış ve elenmiş 50 mm.(2"), 44 mm.(1 ó"), 37,5 mm.(1 "") ve 31 mm.(1 ¬") lik agrega hazırlanması</v>
          </cell>
          <cell r="C838" t="str">
            <v>M3</v>
          </cell>
          <cell r="E838">
            <v>3625102</v>
          </cell>
          <cell r="F838">
            <v>4838071</v>
          </cell>
          <cell r="G838">
            <v>7907256</v>
          </cell>
          <cell r="H838">
            <v>11097713</v>
          </cell>
        </row>
        <row r="839">
          <cell r="A839" t="str">
            <v>4247/1</v>
          </cell>
          <cell r="B839" t="str">
            <v>Toplama taştan konkasörle kırılmış ve elenmiş 50 mm.(2"), 44 mm.(1 ó"), 37,5 mm.(1 "") ve 31 mm.(1 ¬") lik agrega hazırlanması</v>
          </cell>
          <cell r="C839" t="str">
            <v>M3</v>
          </cell>
          <cell r="E839">
            <v>5207521</v>
          </cell>
          <cell r="F839">
            <v>6960070</v>
          </cell>
          <cell r="G839">
            <v>11188697</v>
          </cell>
          <cell r="H839">
            <v>15715341</v>
          </cell>
        </row>
        <row r="840">
          <cell r="A840" t="str">
            <v>4248</v>
          </cell>
          <cell r="B840" t="str">
            <v>Elenmemiş çakıllı malzemeden konkasörle kırılmış ve elenmiş 50 mm.(2"), 44 mm.(1 ó"), 37,5 mm.(1 "") ve 31 mm.(1 ¬") lik agrega hazırlanması</v>
          </cell>
          <cell r="C840" t="str">
            <v>M3</v>
          </cell>
          <cell r="E840">
            <v>1590572</v>
          </cell>
          <cell r="F840">
            <v>2079081</v>
          </cell>
          <cell r="G840">
            <v>3696811</v>
          </cell>
          <cell r="H840">
            <v>5082891</v>
          </cell>
        </row>
        <row r="841">
          <cell r="A841" t="str">
            <v>4249</v>
          </cell>
          <cell r="B841" t="str">
            <v>Elenmiş çakıldan konkasörle kırılmış ve elenmiş 50 mm.(2"), 44 mm.(1 ó"), 37,5 mm.(1 "") ve 31 mm.(1 ¬") lik agrega hazırlanması</v>
          </cell>
          <cell r="C841" t="str">
            <v>M3</v>
          </cell>
          <cell r="E841">
            <v>2273555</v>
          </cell>
          <cell r="F841">
            <v>2974502</v>
          </cell>
          <cell r="G841">
            <v>5311290</v>
          </cell>
          <cell r="H841">
            <v>7321043</v>
          </cell>
        </row>
        <row r="842">
          <cell r="A842" t="str">
            <v>4256</v>
          </cell>
          <cell r="B842" t="str">
            <v>Ocak taşından konkasörle kırılmış ve elenmiş 25 mm.(1") ve 19 mm.(3/4") lik agrega hazırlanması</v>
          </cell>
          <cell r="C842" t="str">
            <v>M3</v>
          </cell>
          <cell r="E842">
            <v>6009253</v>
          </cell>
          <cell r="F842">
            <v>7996227</v>
          </cell>
          <cell r="G842">
            <v>13289286</v>
          </cell>
          <cell r="H842">
            <v>18550668</v>
          </cell>
        </row>
        <row r="843">
          <cell r="A843" t="str">
            <v>4256/B</v>
          </cell>
          <cell r="B843" t="str">
            <v>Sert taştan konkasörle kırılmış ve elenmiş 25 mm.(1") ve 19 mm. (3/4")lik agrega hazırlanması</v>
          </cell>
          <cell r="C843" t="str">
            <v>TN</v>
          </cell>
          <cell r="D843">
            <v>38021.875</v>
          </cell>
          <cell r="E843">
            <v>4487241</v>
          </cell>
          <cell r="F843">
            <v>5960641</v>
          </cell>
          <cell r="G843">
            <v>10007712</v>
          </cell>
          <cell r="H843">
            <v>13947987</v>
          </cell>
        </row>
        <row r="844">
          <cell r="A844" t="str">
            <v>4257</v>
          </cell>
          <cell r="B844" t="str">
            <v>Kazı taşından konkasörle kırılmış ve elenmiş 25 mm.(1") ve 19 mm.(3/4") lik agrega hazırlanması</v>
          </cell>
          <cell r="C844" t="str">
            <v>M3</v>
          </cell>
          <cell r="E844">
            <v>4518393</v>
          </cell>
          <cell r="F844">
            <v>6023100</v>
          </cell>
          <cell r="G844">
            <v>9910715</v>
          </cell>
          <cell r="H844">
            <v>13906240</v>
          </cell>
        </row>
        <row r="845">
          <cell r="A845" t="str">
            <v>4257/1</v>
          </cell>
          <cell r="B845" t="str">
            <v>Toplama taştan konkasörle kırılmış ve elenmiş 25 mm.(1") ve 19 mm.(3/4") lik agrega hazırlanması</v>
          </cell>
          <cell r="C845" t="str">
            <v>M3</v>
          </cell>
          <cell r="E845">
            <v>6100812</v>
          </cell>
          <cell r="F845">
            <v>8145098</v>
          </cell>
          <cell r="G845">
            <v>13192156</v>
          </cell>
          <cell r="H845">
            <v>18253867</v>
          </cell>
        </row>
        <row r="846">
          <cell r="A846" t="str">
            <v>4258</v>
          </cell>
          <cell r="B846" t="str">
            <v>Elenmemiş çakıllı malzemeden konkasörle kırılmış ve elenmiş 25 mm.(1") ve 19 mm.(3/4") lik agrega hazırlanması</v>
          </cell>
          <cell r="C846" t="str">
            <v>M3</v>
          </cell>
          <cell r="E846">
            <v>2483863</v>
          </cell>
          <cell r="F846">
            <v>3264110</v>
          </cell>
          <cell r="G846">
            <v>5700270</v>
          </cell>
          <cell r="H846">
            <v>7891416</v>
          </cell>
        </row>
        <row r="847">
          <cell r="A847" t="str">
            <v>4259</v>
          </cell>
          <cell r="B847" t="str">
            <v>Elenmiş çakıldan konkasörle kırılmış ve elenmiş 25 mm.(1") ve 19 mm.(3/4") lik agrega hazırlanması</v>
          </cell>
          <cell r="C847" t="str">
            <v>M3</v>
          </cell>
          <cell r="E847">
            <v>3166846</v>
          </cell>
          <cell r="F847">
            <v>4159531</v>
          </cell>
          <cell r="G847">
            <v>7314748</v>
          </cell>
          <cell r="H847">
            <v>10129570</v>
          </cell>
        </row>
        <row r="848">
          <cell r="A848" t="str">
            <v>4265</v>
          </cell>
          <cell r="B848" t="str">
            <v>Ocak taşından konkasörle kırılmış ve elenmiş 16 mm.(5/8") ve 12,5 mm.(1/2") lik agrega hazırlanması</v>
          </cell>
          <cell r="C848" t="str">
            <v>M3</v>
          </cell>
          <cell r="E848">
            <v>6269327</v>
          </cell>
          <cell r="F848">
            <v>8338627</v>
          </cell>
          <cell r="G848">
            <v>13894408</v>
          </cell>
          <cell r="H848">
            <v>19387581</v>
          </cell>
        </row>
        <row r="849">
          <cell r="A849" t="str">
            <v>4265/1</v>
          </cell>
          <cell r="B849" t="str">
            <v>Ocak taşından konkasörle kırılmış ve elenmiş 9,5 mm.(3/8"), 6,3 mm.(1/4"), 4,75 mm.(No.4) ve 0,85 mm.(No.20) lik agrega hazırlanması</v>
          </cell>
          <cell r="C849" t="str">
            <v>M3</v>
          </cell>
          <cell r="E849">
            <v>6399365</v>
          </cell>
          <cell r="F849">
            <v>8509827</v>
          </cell>
          <cell r="G849">
            <v>14196970</v>
          </cell>
          <cell r="H849">
            <v>19806038</v>
          </cell>
        </row>
        <row r="850">
          <cell r="A850" t="str">
            <v>4265/1-B</v>
          </cell>
          <cell r="B850" t="str">
            <v>Sert taştan konkasörle kırılmış ve elenmiş 9,5 mm. (3/8"), 6,3 mm. (1/4"), 4,75 mm. (No.4) ve 0,85 mm. (No.20) lik agrega hazırlanması</v>
          </cell>
          <cell r="C850" t="str">
            <v>TN</v>
          </cell>
          <cell r="D850">
            <v>42419</v>
          </cell>
          <cell r="E850">
            <v>4974880</v>
          </cell>
          <cell r="F850">
            <v>6602641</v>
          </cell>
          <cell r="G850">
            <v>11142317</v>
          </cell>
          <cell r="H850">
            <v>15517198</v>
          </cell>
        </row>
        <row r="851">
          <cell r="A851" t="str">
            <v>4265/B</v>
          </cell>
          <cell r="B851" t="str">
            <v>Sert taştan konkasörle kırılmış ve elenmiş 16 mm. (5/8") ve 12,5 mm. (1/2") lik agrega hazırlanması</v>
          </cell>
          <cell r="C851" t="str">
            <v>TN</v>
          </cell>
          <cell r="D851">
            <v>40953.125</v>
          </cell>
          <cell r="E851">
            <v>4812333</v>
          </cell>
          <cell r="F851">
            <v>6388641</v>
          </cell>
          <cell r="G851">
            <v>10764115</v>
          </cell>
          <cell r="H851">
            <v>14994128</v>
          </cell>
        </row>
        <row r="852">
          <cell r="A852" t="str">
            <v>4266</v>
          </cell>
          <cell r="B852" t="str">
            <v>Kazı taşından konkasörle kırılmış ve elenmiş 16 mm.(5/8") ve 12,5 mm.(1/2") lik agrega hazırlanması</v>
          </cell>
          <cell r="C852" t="str">
            <v>M3</v>
          </cell>
          <cell r="E852">
            <v>4778467</v>
          </cell>
          <cell r="F852">
            <v>6365500</v>
          </cell>
          <cell r="G852">
            <v>10515837</v>
          </cell>
          <cell r="H852">
            <v>14743152</v>
          </cell>
        </row>
        <row r="853">
          <cell r="A853" t="str">
            <v>4266/1</v>
          </cell>
          <cell r="B853" t="str">
            <v>Kazı taşından konkasörle kırılmış ve elenmiş 9,5 mm.(3/8"), 6,3 mm.(1/4"), 4,75 mm.(No.4) ve 0,85 mm.(No.20) lik agrega hazırlanması</v>
          </cell>
          <cell r="C853" t="str">
            <v>M3</v>
          </cell>
          <cell r="E853">
            <v>4908505</v>
          </cell>
          <cell r="F853">
            <v>6536700</v>
          </cell>
          <cell r="G853">
            <v>10818398</v>
          </cell>
          <cell r="H853">
            <v>15161610</v>
          </cell>
        </row>
        <row r="854">
          <cell r="A854" t="str">
            <v>4266/2</v>
          </cell>
          <cell r="B854" t="str">
            <v>Toplama taştan konkasörle kırılmış ve elenmiş 16 mm.(5/8") ve 12,5 mm.(1/2") lik agrega hazırlanması</v>
          </cell>
          <cell r="C854" t="str">
            <v>M3</v>
          </cell>
          <cell r="E854">
            <v>6360886</v>
          </cell>
          <cell r="F854">
            <v>8487498</v>
          </cell>
          <cell r="G854">
            <v>13797278</v>
          </cell>
          <cell r="H854">
            <v>19360780</v>
          </cell>
        </row>
        <row r="855">
          <cell r="A855" t="str">
            <v>4266/3</v>
          </cell>
          <cell r="B855" t="str">
            <v>Toplama taştan konkasörle kırılmış ve elenmiş 9,5 mm.(3/8"), 6,3 mm.(1/4"), 4,75 mm.(No.4) ve 0,85 mm (No.20) lik agrega hazırlanması</v>
          </cell>
          <cell r="C855" t="str">
            <v>M3</v>
          </cell>
          <cell r="E855">
            <v>6490923</v>
          </cell>
          <cell r="F855">
            <v>8658698</v>
          </cell>
          <cell r="G855">
            <v>14099840</v>
          </cell>
          <cell r="H855">
            <v>19779237</v>
          </cell>
        </row>
        <row r="856">
          <cell r="A856" t="str">
            <v>4267</v>
          </cell>
          <cell r="B856" t="str">
            <v>Elenmemiş çakıllı malzemeden konkasörle kırılmış ve elenmiş 16 mm.(5/8") ve 12,5 mm.(1/2") lik agrega hazırlanması</v>
          </cell>
          <cell r="C856" t="str">
            <v>M3</v>
          </cell>
          <cell r="E856">
            <v>2743937</v>
          </cell>
          <cell r="F856">
            <v>3606510</v>
          </cell>
          <cell r="G856">
            <v>6305392</v>
          </cell>
          <cell r="H856">
            <v>8728330</v>
          </cell>
        </row>
        <row r="857">
          <cell r="A857" t="str">
            <v>4267/1</v>
          </cell>
          <cell r="B857" t="str">
            <v>Elenmemiş çakıllı malzemeden konkasörle kırılmış ve elenmiş 9,5 mm.(3/8"),6,3 mm.(1/4"),4,75 mm.(No.4) ve 0,85 mm.(No.20) lik agrega hazırlanması</v>
          </cell>
          <cell r="C857" t="str">
            <v>M3</v>
          </cell>
          <cell r="E857">
            <v>2873975</v>
          </cell>
          <cell r="F857">
            <v>3777710</v>
          </cell>
          <cell r="G857">
            <v>6607953</v>
          </cell>
          <cell r="H857">
            <v>9146786</v>
          </cell>
        </row>
        <row r="858">
          <cell r="A858" t="str">
            <v>4268</v>
          </cell>
          <cell r="B858" t="str">
            <v>Elenmiş çakıldan konkasörle kırılmış ve elenmiş 16 mm.(5/8") ve 12,5 mm.(1/2") lik agrega hazırlanması</v>
          </cell>
          <cell r="C858" t="str">
            <v>M3</v>
          </cell>
          <cell r="E858">
            <v>3426920</v>
          </cell>
          <cell r="F858">
            <v>4501931</v>
          </cell>
          <cell r="G858">
            <v>7919871</v>
          </cell>
          <cell r="H858">
            <v>10966482</v>
          </cell>
        </row>
        <row r="859">
          <cell r="A859" t="str">
            <v>4268/1</v>
          </cell>
          <cell r="B859" t="str">
            <v>Elenmiş çakıldan konkasörle kırılmış ve elenmiş 9,5 mm. (3/8"), 6,3 mm.(1/4"), 4,75 mm.(No.4) ve 0,85 mm.(No.20) lik agrega hazırlanması</v>
          </cell>
          <cell r="C859" t="str">
            <v>M3</v>
          </cell>
          <cell r="E859">
            <v>3556957</v>
          </cell>
          <cell r="F859">
            <v>4673131</v>
          </cell>
          <cell r="G859">
            <v>8222432</v>
          </cell>
          <cell r="H859">
            <v>11384940</v>
          </cell>
        </row>
        <row r="860">
          <cell r="A860" t="str">
            <v>4269</v>
          </cell>
          <cell r="B860" t="str">
            <v>Malzemenin kantar ile tartılması</v>
          </cell>
          <cell r="C860" t="str">
            <v>TN</v>
          </cell>
          <cell r="E860">
            <v>5266</v>
          </cell>
          <cell r="F860">
            <v>7110</v>
          </cell>
          <cell r="G860">
            <v>11375</v>
          </cell>
          <cell r="H860">
            <v>14220</v>
          </cell>
        </row>
        <row r="861">
          <cell r="A861" t="str">
            <v>4270</v>
          </cell>
          <cell r="B861" t="str">
            <v>Mineral filler hazırlanması</v>
          </cell>
          <cell r="C861" t="str">
            <v>TN</v>
          </cell>
          <cell r="E861">
            <v>3080000</v>
          </cell>
          <cell r="F861">
            <v>3696250</v>
          </cell>
          <cell r="G861">
            <v>6098750</v>
          </cell>
          <cell r="H861">
            <v>7875000</v>
          </cell>
        </row>
        <row r="862">
          <cell r="A862" t="str">
            <v>4346</v>
          </cell>
          <cell r="B862" t="str">
            <v>Sıvı bitümlü malzemenin varillenmesi</v>
          </cell>
          <cell r="C862" t="str">
            <v>TN</v>
          </cell>
          <cell r="E862">
            <v>34984800</v>
          </cell>
          <cell r="F862">
            <v>43289250</v>
          </cell>
          <cell r="G862">
            <v>37260000</v>
          </cell>
          <cell r="H862">
            <v>39112500</v>
          </cell>
        </row>
        <row r="863">
          <cell r="A863" t="str">
            <v>4347</v>
          </cell>
          <cell r="B863" t="str">
            <v>Katı ve yarı katı bitümlü malzemenin varillenmesi</v>
          </cell>
          <cell r="C863" t="str">
            <v>TN</v>
          </cell>
          <cell r="E863">
            <v>29509800</v>
          </cell>
          <cell r="F863">
            <v>36555000</v>
          </cell>
          <cell r="G863">
            <v>31785000</v>
          </cell>
          <cell r="H863">
            <v>33637500</v>
          </cell>
        </row>
        <row r="864">
          <cell r="A864" t="str">
            <v>4351</v>
          </cell>
          <cell r="B864" t="str">
            <v>Varilli sıvı bitümlü malzemenin ısıtma tankına boşaltılması</v>
          </cell>
          <cell r="C864" t="str">
            <v>TN</v>
          </cell>
          <cell r="E864">
            <v>4650100</v>
          </cell>
          <cell r="F864">
            <v>6248125</v>
          </cell>
          <cell r="G864">
            <v>9837500</v>
          </cell>
          <cell r="H864">
            <v>13962500</v>
          </cell>
        </row>
        <row r="865">
          <cell r="A865" t="str">
            <v>4352</v>
          </cell>
          <cell r="B865" t="str">
            <v>Varilli yarı katı bitümlü malzemenin ısıtma tankına boşaltılması</v>
          </cell>
          <cell r="C865" t="str">
            <v>TN</v>
          </cell>
          <cell r="E865">
            <v>8285800</v>
          </cell>
          <cell r="F865">
            <v>10995625</v>
          </cell>
          <cell r="G865">
            <v>18508750</v>
          </cell>
          <cell r="H865">
            <v>26237500</v>
          </cell>
        </row>
        <row r="866">
          <cell r="A866" t="str">
            <v>4353</v>
          </cell>
          <cell r="B866" t="str">
            <v>Varilli katı bitümlü malzemenin ısıtma tankına boşaltılması</v>
          </cell>
          <cell r="C866" t="str">
            <v>TN</v>
          </cell>
          <cell r="E866">
            <v>10238200</v>
          </cell>
          <cell r="F866">
            <v>13567500</v>
          </cell>
          <cell r="G866">
            <v>23006250</v>
          </cell>
          <cell r="H866">
            <v>32608750</v>
          </cell>
        </row>
        <row r="867">
          <cell r="A867" t="str">
            <v>4355</v>
          </cell>
          <cell r="B867" t="str">
            <v>Yarı katı bitümlü malzemenin sarnıç veya tanklarda emiş derecesine kadar ısıtılması (Makine ile)</v>
          </cell>
          <cell r="C867" t="str">
            <v>TN</v>
          </cell>
          <cell r="E867">
            <v>3285936</v>
          </cell>
          <cell r="F867">
            <v>4290840</v>
          </cell>
          <cell r="G867">
            <v>7849912</v>
          </cell>
          <cell r="H867">
            <v>11043446</v>
          </cell>
        </row>
        <row r="868">
          <cell r="A868" t="str">
            <v>4356</v>
          </cell>
          <cell r="B868" t="str">
            <v>Yarı katı bitümlü malzemenin ısıtma tankında emiş derecesine kadar ısıtılması (Makinesiz, basit usulle)</v>
          </cell>
          <cell r="C868" t="str">
            <v>TN</v>
          </cell>
          <cell r="E868">
            <v>11470000</v>
          </cell>
          <cell r="F868">
            <v>15035000</v>
          </cell>
          <cell r="G868">
            <v>26943750</v>
          </cell>
          <cell r="H868">
            <v>38153750</v>
          </cell>
        </row>
        <row r="869">
          <cell r="A869" t="str">
            <v>4358</v>
          </cell>
          <cell r="B869" t="str">
            <v>Katı bitümlü malzemenin sarnıç veya tanklarda emiş derecesine kadar ısıtılması (Makine ile)</v>
          </cell>
          <cell r="C869" t="str">
            <v>TN</v>
          </cell>
          <cell r="D869">
            <v>40029</v>
          </cell>
          <cell r="E869">
            <v>4615235</v>
          </cell>
          <cell r="F869">
            <v>6024067</v>
          </cell>
          <cell r="G869">
            <v>11044868</v>
          </cell>
          <cell r="H869">
            <v>15534470</v>
          </cell>
        </row>
        <row r="870">
          <cell r="A870" t="str">
            <v>4359</v>
          </cell>
          <cell r="B870" t="str">
            <v>Katı bitümlü malzemenin ısıtma tankında emiş derecesine kadar ısıtılması (Makinesiz, basit usulle)</v>
          </cell>
          <cell r="C870" t="str">
            <v>TN</v>
          </cell>
          <cell r="E870">
            <v>14129500</v>
          </cell>
          <cell r="F870">
            <v>18496562</v>
          </cell>
          <cell r="G870">
            <v>33366250</v>
          </cell>
          <cell r="H870">
            <v>47243125</v>
          </cell>
        </row>
        <row r="871">
          <cell r="A871" t="str">
            <v>4360</v>
          </cell>
          <cell r="B871" t="str">
            <v>Sıvı bitümlü malzemenin kullanma tankında tatbik derecesine kadar ısıtılması (Makinesiz, basit usulle)</v>
          </cell>
          <cell r="C871" t="str">
            <v>TN</v>
          </cell>
          <cell r="E871">
            <v>8815000</v>
          </cell>
          <cell r="F871">
            <v>11645000</v>
          </cell>
          <cell r="G871">
            <v>20066250</v>
          </cell>
          <cell r="H871">
            <v>28433750</v>
          </cell>
        </row>
        <row r="872">
          <cell r="A872" t="str">
            <v>4361</v>
          </cell>
          <cell r="B872" t="str">
            <v>Yarı katı bitümlü malzemenin kullanma tankında tatbik derecesine kadar ısıtılması (Makinesiz, basit usulle)</v>
          </cell>
          <cell r="C872" t="str">
            <v>TN</v>
          </cell>
          <cell r="E872">
            <v>16971400</v>
          </cell>
          <cell r="F872">
            <v>22270000</v>
          </cell>
          <cell r="G872">
            <v>39701250</v>
          </cell>
          <cell r="H872">
            <v>56223750</v>
          </cell>
        </row>
        <row r="873">
          <cell r="A873" t="str">
            <v>4362</v>
          </cell>
          <cell r="B873" t="str">
            <v>Katı bitümlü malzemenin kullanma tankında tatbik derecesine kadar ısıtılması (Makinesiz, basit usulle)</v>
          </cell>
          <cell r="C873" t="str">
            <v>TN</v>
          </cell>
          <cell r="E873">
            <v>22472800</v>
          </cell>
          <cell r="F873">
            <v>29505000</v>
          </cell>
          <cell r="G873">
            <v>52458750</v>
          </cell>
          <cell r="H873">
            <v>74293750</v>
          </cell>
        </row>
        <row r="874">
          <cell r="A874" t="str">
            <v>4363</v>
          </cell>
          <cell r="B874" t="str">
            <v>Bitümlü malzemeden yarı katı veya sıvı bitümlü malzeme (Katbek asfaltı) yapılması</v>
          </cell>
          <cell r="C874" t="str">
            <v>TN</v>
          </cell>
          <cell r="E874">
            <v>1707840</v>
          </cell>
          <cell r="F874">
            <v>2307000</v>
          </cell>
          <cell r="G874">
            <v>3528000</v>
          </cell>
          <cell r="H874">
            <v>5010000</v>
          </cell>
        </row>
        <row r="875">
          <cell r="A875" t="str">
            <v>4363/1</v>
          </cell>
          <cell r="B875" t="str">
            <v>İdare malı bitümle bitümlü yapıştırıcı (RC-250) hazırlanması</v>
          </cell>
          <cell r="C875" t="str">
            <v>TN</v>
          </cell>
          <cell r="D875">
            <v>1769895</v>
          </cell>
          <cell r="E875">
            <v>217285991</v>
          </cell>
          <cell r="F875">
            <v>257027438</v>
          </cell>
          <cell r="G875">
            <v>529518257</v>
          </cell>
          <cell r="H875">
            <v>735479420</v>
          </cell>
        </row>
        <row r="876">
          <cell r="A876" t="str">
            <v>4364</v>
          </cell>
          <cell r="B876" t="str">
            <v>Varil veya bidonla taşınan bitümlü malzemenin tankdan geçirilmesi</v>
          </cell>
          <cell r="C876" t="str">
            <v>TN</v>
          </cell>
          <cell r="E876">
            <v>194871</v>
          </cell>
          <cell r="F876">
            <v>263150</v>
          </cell>
          <cell r="G876">
            <v>420850</v>
          </cell>
          <cell r="H876">
            <v>526062</v>
          </cell>
        </row>
        <row r="877">
          <cell r="A877" t="str">
            <v>4365</v>
          </cell>
          <cell r="B877" t="str">
            <v>Sarnıçlı vagon, tanker, kamyon ve roley tank gibi kaplarla taşınan bitümlü malzemenin depolanması</v>
          </cell>
          <cell r="C877" t="str">
            <v>TN</v>
          </cell>
          <cell r="D877">
            <v>3303</v>
          </cell>
          <cell r="E877">
            <v>292306</v>
          </cell>
          <cell r="F877">
            <v>394725</v>
          </cell>
          <cell r="G877">
            <v>631275</v>
          </cell>
          <cell r="H877">
            <v>789093</v>
          </cell>
        </row>
        <row r="878">
          <cell r="A878" t="str">
            <v>4366</v>
          </cell>
          <cell r="B878" t="str">
            <v>Bitümlü malzemenin asfalt pompası ile bir kabdan diğer bir kaba aktarılması</v>
          </cell>
          <cell r="C878" t="str">
            <v>TN</v>
          </cell>
          <cell r="D878">
            <v>5248</v>
          </cell>
          <cell r="E878">
            <v>627338</v>
          </cell>
          <cell r="F878">
            <v>824383</v>
          </cell>
          <cell r="G878">
            <v>1460000</v>
          </cell>
          <cell r="H878">
            <v>2061398</v>
          </cell>
        </row>
        <row r="879">
          <cell r="A879" t="str">
            <v>4367</v>
          </cell>
          <cell r="B879" t="str">
            <v>Yumuşatıcı (Gaz, benzin, motorin vs.gibi) petrol ürünlerinin pompa veya el ile bir kabdan diğer bir kaba aktarılması</v>
          </cell>
          <cell r="C879" t="str">
            <v>TN</v>
          </cell>
          <cell r="E879">
            <v>355800</v>
          </cell>
          <cell r="F879">
            <v>480625</v>
          </cell>
          <cell r="G879">
            <v>735000</v>
          </cell>
          <cell r="H879">
            <v>1043750</v>
          </cell>
        </row>
        <row r="880">
          <cell r="A880" t="str">
            <v>4368</v>
          </cell>
          <cell r="B880" t="str">
            <v>Yumuşatıcı (Gaz, benzin, motorin vs.gibi) petrol ürünlerinin depolanması</v>
          </cell>
          <cell r="C880" t="str">
            <v>TN</v>
          </cell>
          <cell r="E880">
            <v>711600</v>
          </cell>
          <cell r="F880">
            <v>961250</v>
          </cell>
          <cell r="G880">
            <v>1470000</v>
          </cell>
          <cell r="H880">
            <v>2087500</v>
          </cell>
        </row>
        <row r="881">
          <cell r="A881" t="str">
            <v>4371</v>
          </cell>
          <cell r="B881" t="str">
            <v>Evvelce hazırlanmış stabilize bir yolun ince reglajı</v>
          </cell>
          <cell r="C881" t="str">
            <v>DA</v>
          </cell>
          <cell r="E881">
            <v>17908608</v>
          </cell>
          <cell r="F881">
            <v>23623853</v>
          </cell>
          <cell r="G881">
            <v>41327436</v>
          </cell>
          <cell r="H881">
            <v>57211977</v>
          </cell>
        </row>
        <row r="882">
          <cell r="A882" t="str">
            <v>4375</v>
          </cell>
          <cell r="B882" t="str">
            <v>Beton ve her nevi asfalt yollar dışındaki yolların el ile süpürülmesi</v>
          </cell>
          <cell r="C882" t="str">
            <v>DA</v>
          </cell>
          <cell r="E882">
            <v>56928000</v>
          </cell>
          <cell r="F882">
            <v>76900000</v>
          </cell>
          <cell r="G882">
            <v>117600000</v>
          </cell>
          <cell r="H882">
            <v>167000000</v>
          </cell>
        </row>
        <row r="883">
          <cell r="A883" t="str">
            <v>4376</v>
          </cell>
          <cell r="B883" t="str">
            <v>Beton ve her nevi asfalt yolların el ile süpürülmesi</v>
          </cell>
          <cell r="C883" t="str">
            <v>DA</v>
          </cell>
          <cell r="E883">
            <v>28464000</v>
          </cell>
          <cell r="F883">
            <v>38450000</v>
          </cell>
          <cell r="G883">
            <v>58800000</v>
          </cell>
          <cell r="H883">
            <v>83500000</v>
          </cell>
        </row>
        <row r="884">
          <cell r="A884" t="str">
            <v>4377</v>
          </cell>
          <cell r="B884" t="str">
            <v>Beton ve her nevi asfalt yollar dışındaki yolların makine ile süpürülmesi</v>
          </cell>
          <cell r="C884" t="str">
            <v>DA</v>
          </cell>
          <cell r="E884">
            <v>2965786</v>
          </cell>
          <cell r="F884">
            <v>3941327</v>
          </cell>
          <cell r="G884">
            <v>6602333</v>
          </cell>
          <cell r="H884">
            <v>9267570</v>
          </cell>
        </row>
        <row r="885">
          <cell r="A885" t="str">
            <v>4378</v>
          </cell>
          <cell r="B885" t="str">
            <v>Beton ve her nevi asfalt yolların makine ile süpürülmesi</v>
          </cell>
          <cell r="C885" t="str">
            <v>DA</v>
          </cell>
          <cell r="D885">
            <v>12423</v>
          </cell>
          <cell r="E885">
            <v>1502663</v>
          </cell>
          <cell r="F885">
            <v>1996938</v>
          </cell>
          <cell r="G885">
            <v>3345181</v>
          </cell>
          <cell r="H885">
            <v>4695567</v>
          </cell>
        </row>
        <row r="886">
          <cell r="A886" t="str">
            <v>4380</v>
          </cell>
          <cell r="B886" t="str">
            <v>Bitümlü kaplama ve karışımlar için mevcut agreganın elenmesi</v>
          </cell>
          <cell r="C886" t="str">
            <v>M3</v>
          </cell>
          <cell r="E886">
            <v>861486</v>
          </cell>
          <cell r="F886">
            <v>1132753</v>
          </cell>
          <cell r="G886">
            <v>2009136</v>
          </cell>
          <cell r="H886">
            <v>2797506</v>
          </cell>
        </row>
        <row r="887">
          <cell r="A887" t="str">
            <v>4381</v>
          </cell>
          <cell r="B887" t="str">
            <v>Mevcut asfalt mıcırının tozunun giderilmesi</v>
          </cell>
          <cell r="C887" t="str">
            <v>M3</v>
          </cell>
          <cell r="E887">
            <v>321467</v>
          </cell>
          <cell r="F887">
            <v>428251</v>
          </cell>
          <cell r="G887">
            <v>710876</v>
          </cell>
          <cell r="H887">
            <v>988345</v>
          </cell>
        </row>
        <row r="888">
          <cell r="A888" t="str">
            <v>4382</v>
          </cell>
          <cell r="B888" t="str">
            <v>Bitümlü kaplama ve karışımlar için mevcut agreganın yıkama makinesi ile yıkanması</v>
          </cell>
          <cell r="C888" t="str">
            <v>M3</v>
          </cell>
          <cell r="E888">
            <v>573655</v>
          </cell>
          <cell r="F888">
            <v>754042</v>
          </cell>
          <cell r="G888">
            <v>1340348</v>
          </cell>
          <cell r="H888">
            <v>1864823</v>
          </cell>
        </row>
        <row r="889">
          <cell r="A889" t="str">
            <v>4383</v>
          </cell>
          <cell r="B889" t="str">
            <v>Bitümlü kaplama ve karışım agregasının Poz 4380'e göre elenirken eleğe su verilerek yıkanması</v>
          </cell>
          <cell r="C889" t="str">
            <v>M3</v>
          </cell>
          <cell r="E889">
            <v>94240</v>
          </cell>
          <cell r="F889">
            <v>122575</v>
          </cell>
          <cell r="G889">
            <v>228702</v>
          </cell>
          <cell r="H889">
            <v>321298</v>
          </cell>
        </row>
        <row r="890">
          <cell r="A890" t="str">
            <v>4391</v>
          </cell>
          <cell r="B890" t="str">
            <v>Treyler distribütör ile astar bitümlü malzemesi püskürtülmesi (Boru ile)</v>
          </cell>
          <cell r="C890" t="str">
            <v>DA</v>
          </cell>
          <cell r="E890">
            <v>5694130</v>
          </cell>
          <cell r="F890">
            <v>7467051</v>
          </cell>
          <cell r="G890">
            <v>13396593</v>
          </cell>
          <cell r="H890">
            <v>18760195</v>
          </cell>
        </row>
        <row r="891">
          <cell r="A891" t="str">
            <v>4392</v>
          </cell>
          <cell r="B891" t="str">
            <v>Treyler distribütör ile astar bitümlü malzemesi püskürtülmesi (El ile)</v>
          </cell>
          <cell r="C891" t="str">
            <v>DA</v>
          </cell>
          <cell r="E891">
            <v>11696223</v>
          </cell>
          <cell r="F891">
            <v>15410122</v>
          </cell>
          <cell r="G891">
            <v>26993763</v>
          </cell>
          <cell r="H891">
            <v>37871492</v>
          </cell>
        </row>
        <row r="892">
          <cell r="A892" t="str">
            <v>4393</v>
          </cell>
          <cell r="B892" t="str">
            <v>Distribütör makinesi ile astar bitümlü malzemesi püskürtülmesi (Boru ile)</v>
          </cell>
          <cell r="C892" t="str">
            <v>DA</v>
          </cell>
          <cell r="E892">
            <v>5913998</v>
          </cell>
          <cell r="F892">
            <v>7758527</v>
          </cell>
          <cell r="G892">
            <v>13901341</v>
          </cell>
          <cell r="H892">
            <v>19424356</v>
          </cell>
        </row>
        <row r="893">
          <cell r="A893" t="str">
            <v>4394</v>
          </cell>
          <cell r="B893" t="str">
            <v>Distribütör makinesi ile astar bitümlü malzemesi püskürtülmesi (El ile)</v>
          </cell>
          <cell r="C893" t="str">
            <v>DA</v>
          </cell>
          <cell r="E893">
            <v>12995021</v>
          </cell>
          <cell r="F893">
            <v>17093506</v>
          </cell>
          <cell r="G893">
            <v>30213483</v>
          </cell>
          <cell r="H893">
            <v>42272212</v>
          </cell>
        </row>
        <row r="894">
          <cell r="A894" t="str">
            <v>4396</v>
          </cell>
          <cell r="B894" t="str">
            <v>Treyler distribütör ile yapıştırma bitümlü malzemesi püskürtülmesi (Boru ile)</v>
          </cell>
          <cell r="C894" t="str">
            <v>DA</v>
          </cell>
          <cell r="E894">
            <v>5173611</v>
          </cell>
          <cell r="F894">
            <v>6786003</v>
          </cell>
          <cell r="G894">
            <v>12161155</v>
          </cell>
          <cell r="H894">
            <v>17029408</v>
          </cell>
        </row>
        <row r="895">
          <cell r="A895" t="str">
            <v>4397</v>
          </cell>
          <cell r="B895" t="str">
            <v>Treyler distribütör ile yapıştırma bitümlü malzemesi püskürtülmesi (El ile)</v>
          </cell>
          <cell r="C895" t="str">
            <v>DA</v>
          </cell>
          <cell r="E895">
            <v>9612757</v>
          </cell>
          <cell r="F895">
            <v>12669300</v>
          </cell>
          <cell r="G895">
            <v>22155021</v>
          </cell>
          <cell r="H895">
            <v>31085617</v>
          </cell>
        </row>
        <row r="896">
          <cell r="A896" t="str">
            <v>4398</v>
          </cell>
          <cell r="B896" t="str">
            <v>Distribütör makinesi ile yapıştırma bitümlü malzemesi püskürtülmesi(Boru ile)</v>
          </cell>
          <cell r="C896" t="str">
            <v>DA</v>
          </cell>
          <cell r="D896">
            <v>36661</v>
          </cell>
          <cell r="E896">
            <v>4183071</v>
          </cell>
          <cell r="F896">
            <v>5487738</v>
          </cell>
          <cell r="G896">
            <v>9832656</v>
          </cell>
          <cell r="H896">
            <v>13739178</v>
          </cell>
        </row>
        <row r="897">
          <cell r="A897" t="str">
            <v>4399</v>
          </cell>
          <cell r="B897" t="str">
            <v>Distribütör makinesi ile yapıştırma bitümlü malzemesi püskürtülmesi (El ile)</v>
          </cell>
          <cell r="C897" t="str">
            <v>DA</v>
          </cell>
          <cell r="E897">
            <v>9139863</v>
          </cell>
          <cell r="F897">
            <v>12026258</v>
          </cell>
          <cell r="G897">
            <v>21222555</v>
          </cell>
          <cell r="H897">
            <v>29697467</v>
          </cell>
        </row>
        <row r="898">
          <cell r="A898" t="str">
            <v>4401</v>
          </cell>
          <cell r="B898" t="str">
            <v>Treyler distribütör ve 25 mm.(1") lik agrega (Mıcır) ile bir tabaka bitümlü sathi kaplama yapılması</v>
          </cell>
          <cell r="C898" t="str">
            <v>DA</v>
          </cell>
          <cell r="E898">
            <v>26316545</v>
          </cell>
          <cell r="F898">
            <v>34625800</v>
          </cell>
          <cell r="G898">
            <v>58286970</v>
          </cell>
          <cell r="H898">
            <v>80704502</v>
          </cell>
        </row>
        <row r="899">
          <cell r="A899" t="str">
            <v>4402</v>
          </cell>
          <cell r="B899" t="str">
            <v>Distribütör makinesi ve 25 mm.(1") lik agrega (Mıcır) ile bir tabaka bitümlü sathi kaplama yapılması</v>
          </cell>
          <cell r="C899" t="str">
            <v>DA</v>
          </cell>
          <cell r="E899">
            <v>25728460</v>
          </cell>
          <cell r="F899">
            <v>33859490</v>
          </cell>
          <cell r="G899">
            <v>56879138</v>
          </cell>
          <cell r="H899">
            <v>78687530</v>
          </cell>
        </row>
        <row r="900">
          <cell r="A900" t="str">
            <v>4406</v>
          </cell>
          <cell r="B900" t="str">
            <v>Treyler distribütör ve 19 mm.(3/4") lik agrega (Mıcır) ile bir tabaka bitümlü sathi kaplama yapılması</v>
          </cell>
          <cell r="C900" t="str">
            <v>DA</v>
          </cell>
          <cell r="E900">
            <v>21870360</v>
          </cell>
          <cell r="F900">
            <v>28757061</v>
          </cell>
          <cell r="G900">
            <v>48525718</v>
          </cell>
          <cell r="H900">
            <v>67145858</v>
          </cell>
        </row>
        <row r="901">
          <cell r="A901" t="str">
            <v>4407</v>
          </cell>
          <cell r="B901" t="str">
            <v>Distribütör makinesi ve 19 mm.(3/4") lik agrega (Mıcır) ile bir tabaka bitümlü sathi kaplama yapılması</v>
          </cell>
          <cell r="C901" t="str">
            <v>DA</v>
          </cell>
          <cell r="E901">
            <v>21433766</v>
          </cell>
          <cell r="F901">
            <v>28188511</v>
          </cell>
          <cell r="G901">
            <v>47479005</v>
          </cell>
          <cell r="H901">
            <v>65642040</v>
          </cell>
        </row>
        <row r="902">
          <cell r="A902" t="str">
            <v>4411</v>
          </cell>
          <cell r="B902" t="str">
            <v>Treyler distribütör ve 12,5 mm.(1/2") lik agrega (Mıcır) ile bir tabaka bitümlü sathi kaplama yapılması</v>
          </cell>
          <cell r="C902" t="str">
            <v>DA</v>
          </cell>
          <cell r="E902">
            <v>16805791</v>
          </cell>
          <cell r="F902">
            <v>22088597</v>
          </cell>
          <cell r="G902">
            <v>37516202</v>
          </cell>
          <cell r="H902">
            <v>51914276</v>
          </cell>
        </row>
        <row r="903">
          <cell r="A903" t="str">
            <v>4412</v>
          </cell>
          <cell r="B903" t="str">
            <v>Distribütör makinesi ve 12,5 mm.(1/2") lik agrega (Mıcır) ile bir tabaka bitümlü sathi kaplama yapılması</v>
          </cell>
          <cell r="C903" t="str">
            <v>DA</v>
          </cell>
          <cell r="E903">
            <v>16464932</v>
          </cell>
          <cell r="F903">
            <v>21644793</v>
          </cell>
          <cell r="G903">
            <v>36698670</v>
          </cell>
          <cell r="H903">
            <v>50738801</v>
          </cell>
        </row>
        <row r="904">
          <cell r="A904" t="str">
            <v>4416</v>
          </cell>
          <cell r="B904" t="str">
            <v>Treyler distribütör ve 9,5 mm.(3/8") lik agrega (Mıcır) ile bir tabaka bitümlü sathi kaplama veya silkot yapılması</v>
          </cell>
          <cell r="C904" t="str">
            <v>DA</v>
          </cell>
          <cell r="E904">
            <v>10735173</v>
          </cell>
          <cell r="F904">
            <v>14131186</v>
          </cell>
          <cell r="G904">
            <v>23893785</v>
          </cell>
          <cell r="H904">
            <v>33142481</v>
          </cell>
        </row>
        <row r="905">
          <cell r="A905" t="str">
            <v>4417</v>
          </cell>
          <cell r="B905" t="str">
            <v>Distribütör makinesi ve 9,5 mm.(3/8") lik agrega (Mıcır) ile bir tabaka bitümlü sathi kaplama veya silkot yapılması</v>
          </cell>
          <cell r="C905" t="str">
            <v>DA</v>
          </cell>
          <cell r="E905">
            <v>10392212</v>
          </cell>
          <cell r="F905">
            <v>13683932</v>
          </cell>
          <cell r="G905">
            <v>23074303</v>
          </cell>
          <cell r="H905">
            <v>31972640</v>
          </cell>
        </row>
        <row r="906">
          <cell r="A906" t="str">
            <v>4421</v>
          </cell>
          <cell r="B906" t="str">
            <v>Treyler distribütör ile penatrasyon makadam satıh tabakası yapılması</v>
          </cell>
          <cell r="C906" t="str">
            <v>DA</v>
          </cell>
          <cell r="E906">
            <v>177476235</v>
          </cell>
          <cell r="F906">
            <v>234801386</v>
          </cell>
          <cell r="G906">
            <v>399000425</v>
          </cell>
          <cell r="H906">
            <v>556973685</v>
          </cell>
        </row>
        <row r="907">
          <cell r="A907" t="str">
            <v>4422</v>
          </cell>
          <cell r="B907" t="str">
            <v>Distribütör makinesi ile penatrasyon makadam satıh tabakası yapılması</v>
          </cell>
          <cell r="C907" t="str">
            <v>DA</v>
          </cell>
          <cell r="E907">
            <v>164340418</v>
          </cell>
          <cell r="F907">
            <v>217602182</v>
          </cell>
          <cell r="G907">
            <v>367959107</v>
          </cell>
          <cell r="H907">
            <v>513276910</v>
          </cell>
        </row>
        <row r="908">
          <cell r="A908" t="str">
            <v>4426</v>
          </cell>
          <cell r="B908" t="str">
            <v>El ve mixall ile Asfalt betonu kaplama, Rolled asfalt kaplama, Bitümlü makadam satıh tabakası, Karışımı plentmiks metoduyla hazırlanan bitümlü kaplamalar (Tip A, B, C satıh tabakası), Rolled asfalt temel tabakası, Bitümlü makadam temel tabakası</v>
          </cell>
          <cell r="C908" t="str">
            <v>TN</v>
          </cell>
          <cell r="E908">
            <v>11012585</v>
          </cell>
          <cell r="F908">
            <v>14590570</v>
          </cell>
          <cell r="G908">
            <v>24782306</v>
          </cell>
          <cell r="H908">
            <v>35059361</v>
          </cell>
        </row>
        <row r="909">
          <cell r="A909" t="str">
            <v>4427</v>
          </cell>
          <cell r="B909" t="str">
            <v>Küçük plent ünitesi ileAsfalt betonu kaplama,Rolled asfalt kaplama,Bitümlü makadam satıh tabakası,Karışımı plentmiks metoduyla hazırlanan bitümlü kaplamalar (Tip A, B,C satıh tabakası), Rolled asfalt temel tabakası, Bitümlü makadam temel tabakas</v>
          </cell>
          <cell r="C909" t="str">
            <v>TN</v>
          </cell>
          <cell r="E909">
            <v>4267373</v>
          </cell>
          <cell r="F909">
            <v>5575188</v>
          </cell>
          <cell r="G909">
            <v>10040407</v>
          </cell>
          <cell r="H909">
            <v>14038637</v>
          </cell>
        </row>
        <row r="910">
          <cell r="A910" t="str">
            <v>4428</v>
          </cell>
          <cell r="B910" t="str">
            <v>Küçük plent ünitesi ile hazırlanmış Asfalt betonu kaplama, Rolled asfalt kaplama, Bitümlü makadam satıh tabakası, Karışımı plentmiks metoduyla hazırlanan bitümlü kaplamalar (Tip A, B, C satıh tabakası), Rolled asfalt temel tabakası Bitümlü maka</v>
          </cell>
          <cell r="C910" t="str">
            <v>TN</v>
          </cell>
          <cell r="E910">
            <v>1893671</v>
          </cell>
          <cell r="F910">
            <v>2513708</v>
          </cell>
          <cell r="G910">
            <v>4095995</v>
          </cell>
          <cell r="H910">
            <v>5695111</v>
          </cell>
        </row>
        <row r="911">
          <cell r="A911" t="str">
            <v>4429</v>
          </cell>
          <cell r="B911" t="str">
            <v>Küçük plent ünitesi ile hazırlanmış Asfalt betonu kaplama, Rolled asfalt kaplama, Bitümlü makadam satıh tabakası, Karışımı plentmiks metoduyla hazırlanan bitümlü kaplamalar (Tip A, B, C satıh tabakası), Rolled asfalt temel tabakası Bitümlü maka</v>
          </cell>
          <cell r="C911" t="str">
            <v>TN</v>
          </cell>
          <cell r="E911">
            <v>2067638</v>
          </cell>
          <cell r="F911">
            <v>2742901</v>
          </cell>
          <cell r="G911">
            <v>4505098</v>
          </cell>
          <cell r="H911">
            <v>6239252</v>
          </cell>
        </row>
        <row r="912">
          <cell r="A912" t="str">
            <v>4430</v>
          </cell>
          <cell r="B912" t="str">
            <v>Plent ünitesi ile hazırlanmış Asfalt betonu kaplama,Rolled asfalt kaplama, Bitümlü makadam satıh tabakası, Karışımı plentmiks metoduyla hazırlanan bitümlü kaplamalar(Tip A, B, C satıh tabakası), Rolled asfalt temel tabakası, Bitümlü makadam tem</v>
          </cell>
          <cell r="C912" t="str">
            <v>TN</v>
          </cell>
          <cell r="E912">
            <v>1616666</v>
          </cell>
          <cell r="F912">
            <v>2149433</v>
          </cell>
          <cell r="G912">
            <v>3518116</v>
          </cell>
          <cell r="H912">
            <v>4903937</v>
          </cell>
        </row>
        <row r="913">
          <cell r="A913" t="str">
            <v>4431</v>
          </cell>
          <cell r="B913" t="str">
            <v>Plent ünitesi ile hazırlanmış Asfalt betonu kaplama,Rolled asfalt kaplama, Bitümlü makadam satıh tabakası, Karışımı plentmiks metoduyla hazırlanan bitümlü kaplamalar(Tip A, B, C satıh tabakası), Rolled asfalt temel tabakası, Bitümlü makadam tem</v>
          </cell>
          <cell r="C913" t="str">
            <v>TN</v>
          </cell>
          <cell r="E913">
            <v>3716817</v>
          </cell>
          <cell r="F913">
            <v>4983650</v>
          </cell>
          <cell r="G913">
            <v>7816565</v>
          </cell>
          <cell r="H913">
            <v>11005000</v>
          </cell>
        </row>
        <row r="914">
          <cell r="A914" t="str">
            <v>4432</v>
          </cell>
          <cell r="B914" t="str">
            <v>Küçük plent ünitesi ileAsfalt betonu kaplama,Rolled asfalt kaplama,Bitümlü makadam satıh tabakası,Karışımı plentmiks metoduyla hazırlanan bitümlü kaplamalar (Tip A, B, C satıh tabakası), Rolled asfalt temel tabakası,Bitümlü makadam temel tabaka</v>
          </cell>
          <cell r="C914" t="str">
            <v>TN</v>
          </cell>
          <cell r="E914">
            <v>6161045</v>
          </cell>
          <cell r="F914">
            <v>8088897</v>
          </cell>
          <cell r="G914">
            <v>14136402</v>
          </cell>
          <cell r="H914">
            <v>19733748</v>
          </cell>
        </row>
        <row r="915">
          <cell r="A915" t="str">
            <v>4433</v>
          </cell>
          <cell r="B915" t="str">
            <v>Küçük plent ünitesi ileAsfalt betonu kaplama,Rolled asfalt kaplama,Bitümlü makadam satıh tabakası,Karışımı plentmiks metoduyla hazırlanan bitümlü kaplamalar (Tip A, B, C satıh tabakası), Rolled asfalt temel tabakası, Bitümlü makadam temel tabak</v>
          </cell>
          <cell r="C915" t="str">
            <v>TN</v>
          </cell>
          <cell r="E915">
            <v>6335012</v>
          </cell>
          <cell r="F915">
            <v>8318090</v>
          </cell>
          <cell r="G915">
            <v>14545506</v>
          </cell>
          <cell r="H915">
            <v>20277890</v>
          </cell>
        </row>
        <row r="916">
          <cell r="A916" t="str">
            <v>4434</v>
          </cell>
          <cell r="B916" t="str">
            <v>Küçük plent ünitesi ileAsfalt betonu kaplama,Rolled asfalt kaplama,Bitümlü makadam satıh tabakası,Karışımı plentmiks metoduyla hazırlanan bitümlü kaplamalar (Tip A, B, C satıh tabakası), Rolled asfalt temel tabakası, Bitümlü makadam temel tabak</v>
          </cell>
          <cell r="C916" t="str">
            <v>TN</v>
          </cell>
          <cell r="E916">
            <v>5884040</v>
          </cell>
          <cell r="F916">
            <v>7724622</v>
          </cell>
          <cell r="G916">
            <v>13558523</v>
          </cell>
          <cell r="H916">
            <v>18942575</v>
          </cell>
        </row>
        <row r="917">
          <cell r="A917" t="str">
            <v>4435</v>
          </cell>
          <cell r="B917" t="str">
            <v>Küçük plent ünitesi ileAsfalt betonu kaplama,Rolled asfalt kaplama,Bitümlü makadam satıh tabakası,Karışımı plentmiks metoduyla hazırlanan bitümlü kaplamalar (Tip A, B, C satıh tabakası), Rolled asfalt temel tabakası, Bitümlü makadam temel tabak</v>
          </cell>
          <cell r="C917" t="str">
            <v>TN</v>
          </cell>
          <cell r="E917">
            <v>7984191</v>
          </cell>
          <cell r="F917">
            <v>10558838</v>
          </cell>
          <cell r="G917">
            <v>17856972</v>
          </cell>
          <cell r="H917">
            <v>25043637</v>
          </cell>
        </row>
        <row r="918">
          <cell r="A918" t="str">
            <v>4436</v>
          </cell>
          <cell r="B918" t="str">
            <v>Büyük plent ünitesi ileAsfalt betonu kaplama,Rolled asfalt kaplama,Bitümlü makadam satıh tabakası,Karışımı plentmiks metoduyla hazırlanan bitümlü kaplamalar (Tip A, B, C  satıh tabakası), Rolled asfalt temel tabakası, Bitümlü makadam temel taba</v>
          </cell>
          <cell r="C918" t="str">
            <v>TN</v>
          </cell>
          <cell r="E918">
            <v>4358790</v>
          </cell>
          <cell r="F918">
            <v>5683363</v>
          </cell>
          <cell r="G918">
            <v>10378185</v>
          </cell>
          <cell r="H918">
            <v>14496242</v>
          </cell>
        </row>
        <row r="919">
          <cell r="A919" t="str">
            <v>4436/1</v>
          </cell>
          <cell r="B919" t="str">
            <v>Büyük plent ünitesi ileAsfalt betonu kaplama,Rolled asfalt kaplama,Bitümlü makadam satıh tabakası,Karışımı plentmiks metoduyla hazırlanan bitümlü kaplamalar (Tip A, B, C satıh tabakası), Rolled asfalt temel tabakası, Bitümlü makadam temel tabak</v>
          </cell>
          <cell r="C919" t="str">
            <v>TN</v>
          </cell>
          <cell r="E919">
            <v>4237665</v>
          </cell>
          <cell r="F919">
            <v>5534613</v>
          </cell>
          <cell r="G919">
            <v>10132747</v>
          </cell>
          <cell r="H919">
            <v>14188117</v>
          </cell>
        </row>
        <row r="920">
          <cell r="A920" t="str">
            <v>4436/M</v>
          </cell>
          <cell r="B920" t="str">
            <v>Büyük plent ünitesi ileAsfalt betonu kaplama,Rolled asfalt kaplama,Bitümlü makadam satıh tabakası,Karışımı plentmiks metoduyla hazırlanan bitümlü kaplamalar (Tip A, B, C satıh tabakası), Rolled asfalt temel tabakası, Bitümlü makadam temel tabak</v>
          </cell>
          <cell r="C920" t="str">
            <v>TN</v>
          </cell>
          <cell r="D920">
            <v>38010</v>
          </cell>
          <cell r="E920">
            <v>4298227</v>
          </cell>
          <cell r="F920">
            <v>5608988</v>
          </cell>
          <cell r="G920">
            <v>10255466</v>
          </cell>
          <cell r="H920">
            <v>14342180</v>
          </cell>
        </row>
        <row r="921">
          <cell r="A921" t="str">
            <v>4437</v>
          </cell>
          <cell r="B921" t="str">
            <v>Büyük plent ünitesi ile hazırlanmış Asfalt betonu kaplama, Rolled asfalt kaplama, Bitümlü makadam satıh tabakası, Karışımı plentmiks metoduyla hazırlanan bitümlü kaplamalar (Tip A, B, C satıh tabakası), Rolled asfalt temel tabakası Bitümlü maka</v>
          </cell>
          <cell r="C921" t="str">
            <v>TN</v>
          </cell>
          <cell r="E921">
            <v>1888847</v>
          </cell>
          <cell r="F921">
            <v>2502967</v>
          </cell>
          <cell r="G921">
            <v>4150868</v>
          </cell>
          <cell r="H921">
            <v>5774701</v>
          </cell>
        </row>
        <row r="922">
          <cell r="A922" t="str">
            <v>4438</v>
          </cell>
          <cell r="B922" t="str">
            <v>Büyük plent ünitesi ile hazırlanmış Asfalt betonu kaplama, Rolled asfalt kaplama, Bitümlü makadam satıh tabakası, Karışımı plentmiks metoduyla hazırlanan bitümlü kaplamalar (Tip A, B, C satıh tabakası),Rolled asfalt temel tabakası, Bitümlü maka</v>
          </cell>
          <cell r="C922" t="str">
            <v>TN</v>
          </cell>
          <cell r="D922">
            <v>16237.5</v>
          </cell>
          <cell r="E922">
            <v>1908493</v>
          </cell>
          <cell r="F922">
            <v>2529488</v>
          </cell>
          <cell r="G922">
            <v>4193302</v>
          </cell>
          <cell r="H922">
            <v>5827743</v>
          </cell>
        </row>
        <row r="923">
          <cell r="A923" t="str">
            <v>4439</v>
          </cell>
          <cell r="B923" t="str">
            <v>Büyük plent ünitesi ileAsfalt betonu kaplama,Rolled asfalt kaplama,Bitümlü makadam satıh tabakası,Karışımı plentmiks metoduyla hazırlanan bitümlü kaplamalar (Tip A, B, C  satıh tabakası), Rolled asfalt temel tabakası, Bitümlü makadam temel taba</v>
          </cell>
          <cell r="C923" t="str">
            <v>TN</v>
          </cell>
          <cell r="E923">
            <v>6247637</v>
          </cell>
          <cell r="F923">
            <v>8186331</v>
          </cell>
          <cell r="G923">
            <v>14529053</v>
          </cell>
          <cell r="H923">
            <v>20270943</v>
          </cell>
        </row>
        <row r="924">
          <cell r="A924" t="str">
            <v>4440</v>
          </cell>
          <cell r="B924" t="str">
            <v>Büyük plent ünitesi ileAsfalt betonu kaplama,Rolled asfalt kaplama,Bitümlü makadam satıh tabakası,Karışımı plentmiks metoduyla hazırlanan bitümlü kaplamalar (Tip A, B, C  satıh tabakası), Rolled asfalt temel tabakası, Bitümlü makadam temel taba</v>
          </cell>
          <cell r="C924" t="str">
            <v>TN</v>
          </cell>
          <cell r="E924">
            <v>6267283</v>
          </cell>
          <cell r="F924">
            <v>8212852</v>
          </cell>
          <cell r="G924">
            <v>14571487</v>
          </cell>
          <cell r="H924">
            <v>20323986</v>
          </cell>
        </row>
        <row r="925">
          <cell r="A925" t="str">
            <v>4440/M</v>
          </cell>
          <cell r="B925" t="str">
            <v>Büyük plent ünitesi ileAsfalt betonu kaplama,Rolled asfalt kaplama,Bitümlü makadam satıh tabakası,Karışımı plentmiks metoduyla hazırlanan bitümlü kaplamalar (Tip A, B, C satıh tabakası), Rolled asfalt temel tabakası, Bitümlü  makadam temel taba</v>
          </cell>
          <cell r="C925" t="str">
            <v>TN</v>
          </cell>
          <cell r="D925">
            <v>54247</v>
          </cell>
          <cell r="E925">
            <v>6206721</v>
          </cell>
          <cell r="F925">
            <v>8138477</v>
          </cell>
          <cell r="G925">
            <v>14448768</v>
          </cell>
          <cell r="H925">
            <v>20169923</v>
          </cell>
        </row>
        <row r="926">
          <cell r="A926" t="str">
            <v>4441</v>
          </cell>
          <cell r="B926" t="str">
            <v>Büyük plent ünitesi ileAsfalt betonu kaplama,Rolled asfalt kaplama,Bitümlü makadam satıh tabakası,Karışımı plentmiks metoduyla hazırlanan bitümlü kaplamalar (Tip A, B, C satıh tabakası), Rolled asfalt temel tabakası, Bitümlü makadam temel tabak</v>
          </cell>
          <cell r="C926" t="str">
            <v>TN</v>
          </cell>
          <cell r="E926">
            <v>5975456</v>
          </cell>
          <cell r="F926">
            <v>7832797</v>
          </cell>
          <cell r="G926">
            <v>13896301</v>
          </cell>
          <cell r="H926">
            <v>19400180</v>
          </cell>
        </row>
        <row r="927">
          <cell r="A927" t="str">
            <v>4442</v>
          </cell>
          <cell r="B927" t="str">
            <v>Büyük plent ünitesi ileAsfalt betonu kaplama,Rolled asfalt kaplama,Bitümlü makadam satıh tabakası,Karışımı plentmiks metoduyla hazırlanan bitümlü kaplamalar (Tip A, B, C satıh tabakası), Rolled asfalt temel tabakası, Bitümlü makadam temel tabak</v>
          </cell>
          <cell r="C927" t="str">
            <v>TN</v>
          </cell>
          <cell r="E927">
            <v>8075607</v>
          </cell>
          <cell r="F927">
            <v>10667013</v>
          </cell>
          <cell r="G927">
            <v>18194750</v>
          </cell>
          <cell r="H927">
            <v>25501242</v>
          </cell>
        </row>
        <row r="928">
          <cell r="A928" t="str">
            <v>4446</v>
          </cell>
          <cell r="B928" t="str">
            <v>Treyler distribütör ve greyder ile "Karışımı rodmiks metoduyla hazırlanan bitümlü satıh tabakası" veya "Karışımı rodmiks metoduyla hazırlanan bitümlü düzeltme tabakası" yapılması</v>
          </cell>
          <cell r="C928" t="str">
            <v>M3</v>
          </cell>
          <cell r="E928">
            <v>3644226</v>
          </cell>
          <cell r="F928">
            <v>4795791</v>
          </cell>
          <cell r="G928">
            <v>8507726</v>
          </cell>
          <cell r="H928">
            <v>11703343</v>
          </cell>
        </row>
        <row r="929">
          <cell r="A929" t="str">
            <v>4447</v>
          </cell>
          <cell r="B929" t="str">
            <v>Treyler distribütör, pulvimikser ve greyder ile "Karışımı rodmiks metoduyla hazırlanan bitümlü satıh tabakası" veya "Karışımı rodmiks metoduyla hazırlanan bitümlü düzeltme tabakası" yapılması</v>
          </cell>
          <cell r="C929" t="str">
            <v>M3</v>
          </cell>
          <cell r="E929">
            <v>3105046</v>
          </cell>
          <cell r="F929">
            <v>4088328</v>
          </cell>
          <cell r="G929">
            <v>7221228</v>
          </cell>
          <cell r="H929">
            <v>9983217</v>
          </cell>
        </row>
        <row r="930">
          <cell r="A930" t="str">
            <v>4448</v>
          </cell>
          <cell r="B930" t="str">
            <v>Distribütör makinesi ve greyder ile "Karışımı rodmiks metoduyla hazırlanan bitümlü satıh tabakası" veya "Karışımı rodmiks metoduyla hazırlanan bitümlü düzeltme tabakası"yapılması</v>
          </cell>
          <cell r="C930" t="str">
            <v>M3</v>
          </cell>
          <cell r="E930">
            <v>3761117</v>
          </cell>
          <cell r="F930">
            <v>4949381</v>
          </cell>
          <cell r="G930">
            <v>8781305</v>
          </cell>
          <cell r="H930">
            <v>12083296</v>
          </cell>
        </row>
        <row r="931">
          <cell r="A931" t="str">
            <v>4449</v>
          </cell>
          <cell r="B931" t="str">
            <v>Distribütör makinesi, pulvimikser ve greyder ile "Karışımı rodmiks metoduyla hazırlanan bitümlü satıh tabakası" veya "Karışımı rodmiks metoduyla hazırlanan bitümlü düzeltme tabakası" yapılması</v>
          </cell>
          <cell r="C931" t="str">
            <v>M3</v>
          </cell>
          <cell r="E931">
            <v>3221937</v>
          </cell>
          <cell r="F931">
            <v>4241918</v>
          </cell>
          <cell r="G931">
            <v>7494807</v>
          </cell>
          <cell r="H931">
            <v>10363170</v>
          </cell>
        </row>
        <row r="932">
          <cell r="A932" t="str">
            <v>4450</v>
          </cell>
          <cell r="B932" t="str">
            <v>Rodmikser ve greyder ile "Karışımı rodmiks metoduyla hazırlanan bitümlü satıh tabakası" veya "Karışımı rodmiks metoduyla hazırlanan bitümlü düzeltme tabakası" yapılması</v>
          </cell>
          <cell r="C932" t="str">
            <v>M3</v>
          </cell>
          <cell r="E932">
            <v>3132518</v>
          </cell>
          <cell r="F932">
            <v>4126111</v>
          </cell>
          <cell r="G932">
            <v>7278163</v>
          </cell>
          <cell r="H932">
            <v>10045741</v>
          </cell>
        </row>
        <row r="933">
          <cell r="A933" t="str">
            <v>4456</v>
          </cell>
          <cell r="B933" t="str">
            <v>El ve mixall ile "Plentmiks metoduyla hazırlanan soğuk karışım satıh tabakası" veya "Karışımı plentmiks metoduyla hazırlanan bitümlü düzeltme tabakası" yapılması</v>
          </cell>
          <cell r="C933" t="str">
            <v>TN</v>
          </cell>
          <cell r="E933">
            <v>7439023</v>
          </cell>
          <cell r="F933">
            <v>9930423</v>
          </cell>
          <cell r="G933">
            <v>16213753</v>
          </cell>
          <cell r="H933">
            <v>22941005</v>
          </cell>
        </row>
        <row r="934">
          <cell r="A934" t="str">
            <v>4457</v>
          </cell>
          <cell r="B934" t="str">
            <v>Küçük plent ünitesi ile "Plentmiks metoduyla hazırlanan soğuk karışım satıh tabakası" veya "Karışımı plentmiks metoduyla hazırlanan bitümlü düzeltme tabakası" yapılması</v>
          </cell>
          <cell r="C934" t="str">
            <v>TN</v>
          </cell>
          <cell r="E934">
            <v>4231315</v>
          </cell>
          <cell r="F934">
            <v>5544001</v>
          </cell>
          <cell r="G934">
            <v>9712286</v>
          </cell>
          <cell r="H934">
            <v>13472043</v>
          </cell>
        </row>
        <row r="935">
          <cell r="A935" t="str">
            <v>4458</v>
          </cell>
          <cell r="B935" t="str">
            <v>Büyük plent ünitesi ile "Plentmiks metoduyla hazırlanan soğuk karışım satıh tabakası" veya "Karışımı plentmiks metoduyla hazırlanan bitümlü düzeltme tabakası" yapılması</v>
          </cell>
          <cell r="C935" t="str">
            <v>TN</v>
          </cell>
          <cell r="E935">
            <v>4013688</v>
          </cell>
          <cell r="F935">
            <v>5252997</v>
          </cell>
          <cell r="G935">
            <v>9316891</v>
          </cell>
          <cell r="H935">
            <v>12895488</v>
          </cell>
        </row>
        <row r="936">
          <cell r="A936" t="str">
            <v>4461</v>
          </cell>
          <cell r="B936" t="str">
            <v>Treyler distribütör ile penatrasyon makadam temel yapılması</v>
          </cell>
          <cell r="C936" t="str">
            <v>DA</v>
          </cell>
          <cell r="E936">
            <v>219158477</v>
          </cell>
          <cell r="F936">
            <v>290388226</v>
          </cell>
          <cell r="G936">
            <v>489903140</v>
          </cell>
          <cell r="H936">
            <v>683822626</v>
          </cell>
        </row>
        <row r="937">
          <cell r="A937" t="str">
            <v>4462</v>
          </cell>
          <cell r="B937" t="str">
            <v>Distribütör makinesi ile penatrasyon makadam temel yapılması</v>
          </cell>
          <cell r="C937" t="str">
            <v>DA</v>
          </cell>
          <cell r="E937">
            <v>211326148</v>
          </cell>
          <cell r="F937">
            <v>280136372</v>
          </cell>
          <cell r="G937">
            <v>471378208</v>
          </cell>
          <cell r="H937">
            <v>657714167</v>
          </cell>
        </row>
        <row r="938">
          <cell r="A938" t="str">
            <v>4465</v>
          </cell>
          <cell r="B938" t="str">
            <v>Büyük plent ünitesi ile çimento karışımı (Çimento stabilizasyonu) hazırlanması</v>
          </cell>
          <cell r="C938" t="str">
            <v>TN</v>
          </cell>
          <cell r="E938">
            <v>1988892</v>
          </cell>
          <cell r="F938">
            <v>2628221</v>
          </cell>
          <cell r="G938">
            <v>4428313</v>
          </cell>
          <cell r="H938">
            <v>6158851</v>
          </cell>
        </row>
        <row r="939">
          <cell r="A939" t="str">
            <v>4465/3</v>
          </cell>
          <cell r="B939" t="str">
            <v>Plent-miks alttemel ve temel karışımı hazırlanması</v>
          </cell>
          <cell r="C939" t="str">
            <v>TN</v>
          </cell>
          <cell r="E939">
            <v>647095</v>
          </cell>
          <cell r="F939">
            <v>843713</v>
          </cell>
          <cell r="G939">
            <v>1447312</v>
          </cell>
          <cell r="H939">
            <v>1986275</v>
          </cell>
        </row>
        <row r="940">
          <cell r="A940" t="str">
            <v>4465/4</v>
          </cell>
          <cell r="B940" t="str">
            <v>Plent-miks karışım plentinin beslenmesi</v>
          </cell>
          <cell r="C940" t="str">
            <v>TN</v>
          </cell>
          <cell r="E940">
            <v>207145</v>
          </cell>
          <cell r="F940">
            <v>271988</v>
          </cell>
          <cell r="G940">
            <v>486898</v>
          </cell>
          <cell r="H940">
            <v>674656</v>
          </cell>
        </row>
        <row r="941">
          <cell r="A941" t="str">
            <v>4466</v>
          </cell>
          <cell r="B941" t="str">
            <v>Büyük plent ünitesi ile hazırlanmış olan çimento karışımının (Çimento stabilizasyonu) büyük finişerle serilmesi ve silindirle sıkıştırılması</v>
          </cell>
          <cell r="C941" t="str">
            <v>TN</v>
          </cell>
          <cell r="E941">
            <v>2570732</v>
          </cell>
          <cell r="F941">
            <v>3425240</v>
          </cell>
          <cell r="G941">
            <v>5550302</v>
          </cell>
          <cell r="H941">
            <v>7766383</v>
          </cell>
        </row>
        <row r="942">
          <cell r="A942" t="str">
            <v>4466/4</v>
          </cell>
          <cell r="B942" t="str">
            <v>Plent-miks alttemel ve temel karışımlarının büyük finişerle serilmesi ve silindirle sıkıştırılması</v>
          </cell>
          <cell r="C942" t="str">
            <v>TN</v>
          </cell>
          <cell r="E942">
            <v>1370017</v>
          </cell>
          <cell r="F942">
            <v>1803626</v>
          </cell>
          <cell r="G942">
            <v>3067850</v>
          </cell>
          <cell r="H942">
            <v>4243993</v>
          </cell>
        </row>
        <row r="943">
          <cell r="A943" t="str">
            <v>4466/5</v>
          </cell>
          <cell r="B943" t="str">
            <v>Plent-miks alttemel ve temel karışımlarının elektronik duyargalı finişerle serilmesi ve silindirle sıkıştırılması</v>
          </cell>
          <cell r="C943" t="str">
            <v>TN</v>
          </cell>
          <cell r="E943">
            <v>1385735</v>
          </cell>
          <cell r="F943">
            <v>1824843</v>
          </cell>
          <cell r="G943">
            <v>3101796</v>
          </cell>
          <cell r="H943">
            <v>4286427</v>
          </cell>
        </row>
        <row r="944">
          <cell r="A944" t="str">
            <v>4467</v>
          </cell>
          <cell r="B944" t="str">
            <v>Büyük plent ünitesi ile çimento karışımı (Çimento stabilizasyonu) hazırlanması, büyük finişerle serilmesi ve silindirle sıkıştırılması</v>
          </cell>
          <cell r="C944" t="str">
            <v>TN</v>
          </cell>
          <cell r="E944">
            <v>4559625</v>
          </cell>
          <cell r="F944">
            <v>6053461</v>
          </cell>
          <cell r="G944">
            <v>9978616</v>
          </cell>
          <cell r="H944">
            <v>13925235</v>
          </cell>
        </row>
        <row r="945">
          <cell r="A945" t="str">
            <v>4468</v>
          </cell>
          <cell r="B945" t="str">
            <v>Plent ünitesi ile hazırlanmış ve serilip sıkıştırılmış çimento karışımının (Çimento stabilizasyonu) kürü</v>
          </cell>
          <cell r="C945" t="str">
            <v>DA</v>
          </cell>
          <cell r="E945">
            <v>14556177</v>
          </cell>
          <cell r="F945">
            <v>19228767</v>
          </cell>
          <cell r="G945">
            <v>33231876</v>
          </cell>
          <cell r="H945">
            <v>46631155</v>
          </cell>
        </row>
        <row r="946">
          <cell r="A946" t="str">
            <v>4470</v>
          </cell>
          <cell r="B946" t="str">
            <v>Dökme çimentonun vasıta üzerinden çimento silosuna basılması</v>
          </cell>
          <cell r="C946" t="str">
            <v>TN</v>
          </cell>
          <cell r="E946">
            <v>523720</v>
          </cell>
          <cell r="F946">
            <v>703688</v>
          </cell>
          <cell r="G946">
            <v>1126210</v>
          </cell>
          <cell r="H946">
            <v>1566746</v>
          </cell>
        </row>
        <row r="947">
          <cell r="A947" t="str">
            <v>4475</v>
          </cell>
          <cell r="B947" t="str">
            <v>3 cm.kalınlıkta mastik asfalt kaplama yapılması ve üzerine bir tabaka sathi kaplama çekilmesi (Köprü döşemesi ve benzeri yerlerde)</v>
          </cell>
          <cell r="C947" t="str">
            <v>M2</v>
          </cell>
          <cell r="E947">
            <v>6812546</v>
          </cell>
          <cell r="F947">
            <v>8964386</v>
          </cell>
          <cell r="G947">
            <v>14793302</v>
          </cell>
          <cell r="H947">
            <v>20879940</v>
          </cell>
        </row>
        <row r="948">
          <cell r="A948" t="str">
            <v>4476</v>
          </cell>
          <cell r="B948" t="str">
            <v>2 cm.kalınlıkta mastik asfalt kaplama yapılması ve üzerine bir tabaka sathi kaplama çekilmesi (Köprü döşemesi ve benzeri yerlerde)</v>
          </cell>
          <cell r="C948" t="str">
            <v>M2</v>
          </cell>
          <cell r="E948">
            <v>4772932</v>
          </cell>
          <cell r="F948">
            <v>6271028</v>
          </cell>
          <cell r="G948">
            <v>10375233</v>
          </cell>
          <cell r="H948">
            <v>14626438</v>
          </cell>
        </row>
        <row r="949">
          <cell r="A949" t="str">
            <v>4480</v>
          </cell>
          <cell r="B949" t="str">
            <v>Parke taşı döşeme derzlerine mastik asfalt dolgu yapılması</v>
          </cell>
          <cell r="C949" t="str">
            <v>M2</v>
          </cell>
          <cell r="E949">
            <v>1362508</v>
          </cell>
          <cell r="F949">
            <v>1792876</v>
          </cell>
          <cell r="G949">
            <v>2958660</v>
          </cell>
          <cell r="H949">
            <v>4175987</v>
          </cell>
        </row>
        <row r="950">
          <cell r="A950" t="str">
            <v>50.127/A</v>
          </cell>
          <cell r="B950" t="str">
            <v>Beton yol korkuluğu kalıbı yapılması (Çelik)</v>
          </cell>
          <cell r="C950" t="str">
            <v>M2</v>
          </cell>
          <cell r="E950">
            <v>16161322</v>
          </cell>
          <cell r="F950">
            <v>20922345</v>
          </cell>
          <cell r="G950">
            <v>36483850</v>
          </cell>
          <cell r="H950">
            <v>49624425</v>
          </cell>
        </row>
        <row r="951">
          <cell r="A951" t="str">
            <v>50.128</v>
          </cell>
          <cell r="B951" t="str">
            <v>Beton yol korkuluğu yapılması (A tipi)</v>
          </cell>
          <cell r="C951" t="str">
            <v>MT</v>
          </cell>
          <cell r="E951">
            <v>23626517</v>
          </cell>
          <cell r="F951">
            <v>31086636</v>
          </cell>
          <cell r="G951">
            <v>55597391</v>
          </cell>
          <cell r="H951">
            <v>76403848</v>
          </cell>
        </row>
        <row r="952">
          <cell r="A952" t="str">
            <v>50.129</v>
          </cell>
          <cell r="B952" t="str">
            <v>Beton yol korkuluğu yapılması (B tipi)</v>
          </cell>
          <cell r="C952" t="str">
            <v>MT</v>
          </cell>
          <cell r="E952">
            <v>25364080</v>
          </cell>
          <cell r="F952">
            <v>33351671</v>
          </cell>
          <cell r="G952">
            <v>59769915</v>
          </cell>
          <cell r="H952">
            <v>82049526</v>
          </cell>
        </row>
        <row r="953">
          <cell r="A953" t="str">
            <v>50.130</v>
          </cell>
          <cell r="B953" t="str">
            <v>Beton yol korkuluğu son elemanı yapılması (A tipi)</v>
          </cell>
          <cell r="C953" t="str">
            <v>AD</v>
          </cell>
          <cell r="E953">
            <v>47253035</v>
          </cell>
          <cell r="F953">
            <v>62173272</v>
          </cell>
          <cell r="G953">
            <v>111194782</v>
          </cell>
          <cell r="H953">
            <v>152807697</v>
          </cell>
        </row>
        <row r="954">
          <cell r="A954" t="str">
            <v>50.131</v>
          </cell>
          <cell r="B954" t="str">
            <v>Beton yol korkuluğu son elemanı yapılması (B tipi)</v>
          </cell>
          <cell r="C954" t="str">
            <v>AD</v>
          </cell>
          <cell r="E954">
            <v>50728160</v>
          </cell>
          <cell r="F954">
            <v>66703342</v>
          </cell>
          <cell r="G954">
            <v>119539830</v>
          </cell>
          <cell r="H954">
            <v>164099052</v>
          </cell>
        </row>
        <row r="955">
          <cell r="A955" t="str">
            <v>50.132</v>
          </cell>
          <cell r="B955" t="str">
            <v>A tipi beton yol korkuluğu ve son elemanın yerine konulması</v>
          </cell>
          <cell r="C955" t="str">
            <v>MT</v>
          </cell>
          <cell r="E955">
            <v>6857611</v>
          </cell>
          <cell r="F955">
            <v>9110458</v>
          </cell>
          <cell r="G955">
            <v>15361630</v>
          </cell>
          <cell r="H955">
            <v>21334947</v>
          </cell>
        </row>
        <row r="956">
          <cell r="A956" t="str">
            <v>50.133</v>
          </cell>
          <cell r="B956" t="str">
            <v>B tipi beton yol korkuluğu ve son elemanın yerine konulması</v>
          </cell>
          <cell r="C956" t="str">
            <v>MT</v>
          </cell>
          <cell r="E956">
            <v>6927113</v>
          </cell>
          <cell r="F956">
            <v>9201060</v>
          </cell>
          <cell r="G956">
            <v>15528531</v>
          </cell>
          <cell r="H956">
            <v>21560773</v>
          </cell>
        </row>
        <row r="957">
          <cell r="A957" t="str">
            <v>5000/Tİ</v>
          </cell>
          <cell r="B957" t="str">
            <v>Trafik işaretlemesinin yapılması ve emniyet tedbirlerinin alınması</v>
          </cell>
          <cell r="C957" t="str">
            <v>KM</v>
          </cell>
          <cell r="E957">
            <v>33454400</v>
          </cell>
          <cell r="F957">
            <v>45180000</v>
          </cell>
          <cell r="G957">
            <v>69090000</v>
          </cell>
        </row>
        <row r="958">
          <cell r="A958" t="str">
            <v>5001/KT</v>
          </cell>
          <cell r="B958" t="str">
            <v>Trafik işaretleme malzemelerinin temini, işaretlemenin yapılması ve emniyet tedbirlerinin alınması</v>
          </cell>
          <cell r="C958" t="str">
            <v>KM</v>
          </cell>
          <cell r="E958">
            <v>38894175</v>
          </cell>
          <cell r="F958">
            <v>51626176</v>
          </cell>
          <cell r="G958">
            <v>80818671</v>
          </cell>
          <cell r="H958">
            <v>113713036</v>
          </cell>
        </row>
        <row r="959">
          <cell r="A959" t="str">
            <v>5001/TM</v>
          </cell>
          <cell r="B959" t="str">
            <v>Trafik işaretlemesi için lüzumlu her türlü malzemenin temini</v>
          </cell>
          <cell r="C959" t="str">
            <v>KM</v>
          </cell>
          <cell r="E959">
            <v>5439775</v>
          </cell>
          <cell r="F959">
            <v>6446176</v>
          </cell>
          <cell r="G959">
            <v>11728671</v>
          </cell>
          <cell r="H959">
            <v>15593036</v>
          </cell>
        </row>
        <row r="960">
          <cell r="A960" t="str">
            <v>5002/TS</v>
          </cell>
          <cell r="B960" t="str">
            <v>Trafik emniyetinin sinyalizasyon tertibatı ile sağlanması</v>
          </cell>
          <cell r="C960" t="str">
            <v>KM</v>
          </cell>
          <cell r="E960">
            <v>36799840</v>
          </cell>
          <cell r="F960">
            <v>49698000</v>
          </cell>
          <cell r="G960">
            <v>75999000</v>
          </cell>
          <cell r="H960">
            <v>107932000</v>
          </cell>
        </row>
        <row r="961">
          <cell r="A961" t="str">
            <v>5003/A</v>
          </cell>
          <cell r="B961" t="str">
            <v>Banketin silindir ile sıkıştırılması</v>
          </cell>
          <cell r="C961" t="str">
            <v>M3</v>
          </cell>
          <cell r="E961">
            <v>277538</v>
          </cell>
          <cell r="F961">
            <v>367712</v>
          </cell>
          <cell r="G961">
            <v>627555</v>
          </cell>
          <cell r="H961">
            <v>873281</v>
          </cell>
        </row>
        <row r="962">
          <cell r="A962" t="str">
            <v>5004/A</v>
          </cell>
          <cell r="B962" t="str">
            <v>Düşük banket malzemesinin makine veya el ile serilmesi ve düzeltilmesi</v>
          </cell>
          <cell r="C962" t="str">
            <v>M3</v>
          </cell>
          <cell r="E962">
            <v>193348</v>
          </cell>
          <cell r="F962">
            <v>256408</v>
          </cell>
          <cell r="G962">
            <v>436551</v>
          </cell>
          <cell r="H962">
            <v>604187</v>
          </cell>
        </row>
        <row r="963">
          <cell r="A963" t="str">
            <v>6000</v>
          </cell>
          <cell r="B963" t="str">
            <v>Ocak taşından konkasörle kırılmış malzeme ile alttemel yapılması</v>
          </cell>
          <cell r="C963" t="str">
            <v>M3</v>
          </cell>
          <cell r="E963">
            <v>4944853</v>
          </cell>
          <cell r="F963">
            <v>6591431</v>
          </cell>
          <cell r="G963">
            <v>10848266</v>
          </cell>
          <cell r="H963">
            <v>15138216</v>
          </cell>
        </row>
        <row r="964">
          <cell r="A964" t="str">
            <v>6010</v>
          </cell>
          <cell r="B964" t="str">
            <v>Elenmiş çakıllı malzeme ile alttemel yapılması</v>
          </cell>
          <cell r="C964" t="str">
            <v>M3</v>
          </cell>
          <cell r="E964">
            <v>1168831</v>
          </cell>
          <cell r="F964">
            <v>1537858</v>
          </cell>
          <cell r="G964">
            <v>2723323</v>
          </cell>
          <cell r="H964">
            <v>3778435</v>
          </cell>
        </row>
        <row r="965">
          <cell r="A965" t="str">
            <v>6020</v>
          </cell>
          <cell r="B965" t="str">
            <v>Kırılmamış ve elenmemiş çakıllı (Tüvenan) malzeme ile alttemel yapılması</v>
          </cell>
          <cell r="C965" t="str">
            <v>M3</v>
          </cell>
          <cell r="D965">
            <v>6597</v>
          </cell>
          <cell r="E965">
            <v>745922</v>
          </cell>
          <cell r="F965">
            <v>984837</v>
          </cell>
          <cell r="G965">
            <v>1713967</v>
          </cell>
          <cell r="H965">
            <v>2377195</v>
          </cell>
        </row>
        <row r="966">
          <cell r="A966" t="str">
            <v>6030</v>
          </cell>
          <cell r="B966" t="str">
            <v>Elenmemiş çakıllı malzemeden konkasörle kırılmış malzeme ile alttemel yapılması</v>
          </cell>
          <cell r="C966" t="str">
            <v>M3</v>
          </cell>
          <cell r="E966">
            <v>1419463</v>
          </cell>
          <cell r="F966">
            <v>1859313</v>
          </cell>
          <cell r="G966">
            <v>3259250</v>
          </cell>
          <cell r="H966">
            <v>4478963</v>
          </cell>
        </row>
        <row r="967">
          <cell r="A967" t="str">
            <v>6040</v>
          </cell>
          <cell r="B967" t="str">
            <v>Temel yapılması [Kırılmış ve elenmiş ocak taşı ile (1")]</v>
          </cell>
          <cell r="C967" t="str">
            <v>M3</v>
          </cell>
          <cell r="E967">
            <v>6151707</v>
          </cell>
          <cell r="F967">
            <v>8190143</v>
          </cell>
          <cell r="G967">
            <v>13577755</v>
          </cell>
          <cell r="H967">
            <v>18940775</v>
          </cell>
        </row>
        <row r="968">
          <cell r="A968" t="str">
            <v>6050</v>
          </cell>
          <cell r="B968" t="str">
            <v>Temel yapılması [Kırılmış ve elenmiş malzeme ile (1")] (Kırılmış malzeme ocak taşından)</v>
          </cell>
          <cell r="C968" t="str">
            <v>M3</v>
          </cell>
          <cell r="E968">
            <v>3427730</v>
          </cell>
          <cell r="F968">
            <v>4549961</v>
          </cell>
          <cell r="G968">
            <v>7674028</v>
          </cell>
          <cell r="H968">
            <v>10690357</v>
          </cell>
        </row>
        <row r="969">
          <cell r="A969" t="str">
            <v>6060</v>
          </cell>
          <cell r="B969" t="str">
            <v>Temel yapılması [Elenmiş, elenmiş ve kırılmış malzeme ile (1")] (Kırılmış malzeme dere çakılından)</v>
          </cell>
          <cell r="C969" t="str">
            <v>M3</v>
          </cell>
          <cell r="E969">
            <v>2432887</v>
          </cell>
          <cell r="F969">
            <v>3207117</v>
          </cell>
          <cell r="G969">
            <v>5582941</v>
          </cell>
          <cell r="H969">
            <v>7742972</v>
          </cell>
        </row>
        <row r="970">
          <cell r="A970" t="str">
            <v>6070</v>
          </cell>
          <cell r="B970" t="str">
            <v>Temel yapılması [Kırılmış ocak taşı ile (1")]</v>
          </cell>
          <cell r="C970" t="str">
            <v>M3</v>
          </cell>
          <cell r="D970">
            <v>49647</v>
          </cell>
          <cell r="E970">
            <v>5943648</v>
          </cell>
          <cell r="F970">
            <v>7916223</v>
          </cell>
          <cell r="G970">
            <v>13093656</v>
          </cell>
          <cell r="H970">
            <v>18271243</v>
          </cell>
        </row>
        <row r="971">
          <cell r="A971" t="str">
            <v>6080</v>
          </cell>
          <cell r="B971" t="str">
            <v>Temel yapılması (Elenmiş malzeme ve ocak taşından konkasörle kırılmış malzeme ile)</v>
          </cell>
          <cell r="C971" t="str">
            <v>M3</v>
          </cell>
          <cell r="E971">
            <v>3354910</v>
          </cell>
          <cell r="F971">
            <v>4454088</v>
          </cell>
          <cell r="G971">
            <v>7504595</v>
          </cell>
          <cell r="H971">
            <v>10456021</v>
          </cell>
        </row>
        <row r="972">
          <cell r="A972" t="str">
            <v>6090</v>
          </cell>
          <cell r="B972" t="str">
            <v>Temel yapılması (Elenmiş malzeme ve elenmiş çakıldan konkasörle kırılmış malzeme ile-Kırılmış malzeme dereden)</v>
          </cell>
          <cell r="C972" t="str">
            <v>M3</v>
          </cell>
          <cell r="E972">
            <v>2360067</v>
          </cell>
          <cell r="F972">
            <v>3111245</v>
          </cell>
          <cell r="G972">
            <v>5413506</v>
          </cell>
          <cell r="H972">
            <v>7508636</v>
          </cell>
        </row>
        <row r="973">
          <cell r="A973" t="str">
            <v>6100/2</v>
          </cell>
          <cell r="B973" t="str">
            <v>Plent-miks temel yapılması (Kırılmış ve elenmiş ocak taşı ile - Astarlı)</v>
          </cell>
          <cell r="C973" t="str">
            <v>TN</v>
          </cell>
          <cell r="E973">
            <v>5624837</v>
          </cell>
          <cell r="F973">
            <v>7446501</v>
          </cell>
          <cell r="G973">
            <v>12506045</v>
          </cell>
          <cell r="H973">
            <v>17378005</v>
          </cell>
        </row>
        <row r="974">
          <cell r="A974" t="str">
            <v>6100/3</v>
          </cell>
          <cell r="B974" t="str">
            <v>Plent-miks temel yapılması(Kırılmış ve elenmiş ocak taşı ile)</v>
          </cell>
          <cell r="C974" t="str">
            <v>TN</v>
          </cell>
          <cell r="E974">
            <v>5609995</v>
          </cell>
          <cell r="F974">
            <v>7426931</v>
          </cell>
          <cell r="G974">
            <v>12471816</v>
          </cell>
          <cell r="H974">
            <v>17330231</v>
          </cell>
        </row>
        <row r="975">
          <cell r="A975" t="str">
            <v>6100/3-1</v>
          </cell>
          <cell r="B975" t="str">
            <v>Plent-miks alttemel yapılması (Kırılmış ocak taşı İle)</v>
          </cell>
          <cell r="C975" t="str">
            <v>TN</v>
          </cell>
          <cell r="E975">
            <v>4695987</v>
          </cell>
          <cell r="F975">
            <v>6221418</v>
          </cell>
          <cell r="G975">
            <v>10367171</v>
          </cell>
          <cell r="H975">
            <v>14396481</v>
          </cell>
        </row>
        <row r="976">
          <cell r="A976" t="str">
            <v>6115</v>
          </cell>
          <cell r="B976" t="str">
            <v>Plent-miks banket yapılması (Kırılmış ve elenmiş ocak taşı ile)</v>
          </cell>
          <cell r="C976" t="str">
            <v>TN</v>
          </cell>
          <cell r="E976">
            <v>4534281</v>
          </cell>
          <cell r="F976">
            <v>6013380</v>
          </cell>
          <cell r="G976">
            <v>10069031</v>
          </cell>
          <cell r="H976">
            <v>14009653</v>
          </cell>
        </row>
        <row r="977">
          <cell r="A977" t="str">
            <v>6115/1</v>
          </cell>
          <cell r="B977" t="str">
            <v>Plent-miks banket yapılması (Kırılmış ve elenmiş ocak taşı ile) (Serme finişerle)</v>
          </cell>
          <cell r="C977" t="str">
            <v>TN</v>
          </cell>
          <cell r="E977">
            <v>5609995</v>
          </cell>
          <cell r="F977">
            <v>7426931</v>
          </cell>
          <cell r="G977">
            <v>12471816</v>
          </cell>
          <cell r="H977">
            <v>17330231</v>
          </cell>
        </row>
        <row r="978">
          <cell r="A978" t="str">
            <v>6125</v>
          </cell>
          <cell r="B978" t="str">
            <v>Plent-miks temel yapılması (Kırılmış ve elenmiş malzeme ile-Astarlı) (Tip-1)</v>
          </cell>
          <cell r="C978" t="str">
            <v>TN</v>
          </cell>
          <cell r="E978">
            <v>3500485</v>
          </cell>
          <cell r="F978">
            <v>4593805</v>
          </cell>
          <cell r="G978">
            <v>7959363</v>
          </cell>
          <cell r="H978">
            <v>10992021</v>
          </cell>
        </row>
        <row r="979">
          <cell r="A979" t="str">
            <v>6126</v>
          </cell>
          <cell r="B979" t="str">
            <v>Plent-miks temel yapılması (Kırılmış ve elenmiş malzeme ile)( Tip-1)</v>
          </cell>
          <cell r="C979" t="str">
            <v>TN</v>
          </cell>
          <cell r="E979">
            <v>3484158</v>
          </cell>
          <cell r="F979">
            <v>4572281</v>
          </cell>
          <cell r="G979">
            <v>7921703</v>
          </cell>
          <cell r="H979">
            <v>10939447</v>
          </cell>
        </row>
        <row r="980">
          <cell r="A980" t="str">
            <v>6135</v>
          </cell>
          <cell r="B980" t="str">
            <v>Plent-miks banket yapılması (Kırılmış ve elenmiş malzeme ile) (Tip-1)</v>
          </cell>
          <cell r="C980" t="str">
            <v>TN</v>
          </cell>
          <cell r="E980">
            <v>2408445</v>
          </cell>
          <cell r="F980">
            <v>3158730</v>
          </cell>
          <cell r="G980">
            <v>5518918</v>
          </cell>
          <cell r="H980">
            <v>7618870</v>
          </cell>
        </row>
        <row r="981">
          <cell r="A981" t="str">
            <v>6145</v>
          </cell>
          <cell r="B981" t="str">
            <v>Plent-miks temel yapılması (Kırılmış ve elenmiş malzeme ile - Astarlı) (Tip-2)</v>
          </cell>
          <cell r="C981" t="str">
            <v>TN</v>
          </cell>
          <cell r="E981">
            <v>3662016</v>
          </cell>
          <cell r="F981">
            <v>4788668</v>
          </cell>
          <cell r="G981">
            <v>8308107</v>
          </cell>
          <cell r="H981">
            <v>11485440</v>
          </cell>
        </row>
        <row r="982">
          <cell r="A982" t="str">
            <v>6146</v>
          </cell>
          <cell r="B982" t="str">
            <v>Plent-miks temel yapılması (Kırılmış ve elenmiş malzeme ile) (Tip-2)</v>
          </cell>
          <cell r="C982" t="str">
            <v>TN</v>
          </cell>
          <cell r="E982">
            <v>3645690</v>
          </cell>
          <cell r="F982">
            <v>4788668</v>
          </cell>
          <cell r="G982">
            <v>8270447</v>
          </cell>
          <cell r="H982">
            <v>11432866</v>
          </cell>
        </row>
        <row r="983">
          <cell r="A983" t="str">
            <v>6155</v>
          </cell>
          <cell r="B983" t="str">
            <v>Plent-miks banket yapılması (Kırılmış ve elenmiş malzeme ile) (Tip-2)</v>
          </cell>
          <cell r="C983" t="str">
            <v>TN</v>
          </cell>
          <cell r="E983">
            <v>2569976</v>
          </cell>
          <cell r="F983">
            <v>3375117</v>
          </cell>
          <cell r="G983">
            <v>5867662</v>
          </cell>
          <cell r="H983">
            <v>8112288</v>
          </cell>
        </row>
        <row r="984">
          <cell r="A984" t="str">
            <v>6200</v>
          </cell>
          <cell r="B984" t="str">
            <v>Bitümlü sıcak temel yapılması (Kırılmış ve elenmiş ocak taşı ile)</v>
          </cell>
          <cell r="C984" t="str">
            <v>TN</v>
          </cell>
          <cell r="E984">
            <v>10302703</v>
          </cell>
          <cell r="F984">
            <v>13548827</v>
          </cell>
          <cell r="G984">
            <v>23582823</v>
          </cell>
          <cell r="H984">
            <v>32895388</v>
          </cell>
        </row>
        <row r="985">
          <cell r="A985" t="str">
            <v>6200/A</v>
          </cell>
          <cell r="B985" t="str">
            <v>Bitümlü sıcak temel yapılması (Kırılmış ve elenmiş ocak taşı ile) (Astarsız temel üzerine)</v>
          </cell>
          <cell r="C985" t="str">
            <v>TN</v>
          </cell>
          <cell r="E985">
            <v>10101271</v>
          </cell>
          <cell r="F985">
            <v>13309057</v>
          </cell>
          <cell r="G985">
            <v>23092265</v>
          </cell>
          <cell r="H985">
            <v>32213907</v>
          </cell>
        </row>
        <row r="986">
          <cell r="A986" t="str">
            <v>6200/M</v>
          </cell>
          <cell r="B986" t="str">
            <v>14 cm. sıkışmış kalınlıkta 1 m2 asfalt betonu bitümlü sıcak temel tabakası yapılması (Kırılmış ve elenmiş ocak taşı ile)</v>
          </cell>
          <cell r="C986" t="str">
            <v>M2</v>
          </cell>
          <cell r="E986">
            <v>3277886</v>
          </cell>
          <cell r="F986">
            <v>4314626</v>
          </cell>
          <cell r="G986">
            <v>7505661</v>
          </cell>
          <cell r="H986">
            <v>10475832</v>
          </cell>
        </row>
        <row r="987">
          <cell r="A987" t="str">
            <v>6200/M-A</v>
          </cell>
          <cell r="B987" t="str">
            <v>14 cm. sıkışmış kalınlıkta 1 m2 asfalt betonu bitümlü sıcak temel tabakası yapılması (Kırılmış ve elenmiş ocak taşı ile) (Astarsız temel üzerine)</v>
          </cell>
          <cell r="C987" t="str">
            <v>M2</v>
          </cell>
          <cell r="E987">
            <v>3231582</v>
          </cell>
          <cell r="F987">
            <v>4259507</v>
          </cell>
          <cell r="G987">
            <v>7392890</v>
          </cell>
          <cell r="H987">
            <v>10319172</v>
          </cell>
        </row>
        <row r="988">
          <cell r="A988" t="str">
            <v>6202/M</v>
          </cell>
          <cell r="B988" t="str">
            <v>12 cm. sıkışmış kalınlıkta 1 m2 asfalt betonu bitümlü sıcak temel tabakası yapılması (Kırılmış ve elenmiş ocak taşı ile)</v>
          </cell>
          <cell r="C988" t="str">
            <v>M2</v>
          </cell>
          <cell r="E988">
            <v>2816638</v>
          </cell>
          <cell r="F988">
            <v>3706665</v>
          </cell>
          <cell r="G988">
            <v>6450437</v>
          </cell>
          <cell r="H988">
            <v>9002931</v>
          </cell>
        </row>
        <row r="989">
          <cell r="A989" t="str">
            <v>6202/M-A</v>
          </cell>
          <cell r="B989" t="str">
            <v>12 cm. sıkışmış kalınlıkta 1 m2 asfalt betonu bitümlü sıcak temel tabakası yapılması(Kırılmış ve elenmiş ocak taşı ile) (Astarsız temel üzerine)</v>
          </cell>
          <cell r="C989" t="str">
            <v>M2</v>
          </cell>
          <cell r="E989">
            <v>2770336</v>
          </cell>
          <cell r="F989">
            <v>3651551</v>
          </cell>
          <cell r="G989">
            <v>6337675</v>
          </cell>
          <cell r="H989">
            <v>8846283</v>
          </cell>
        </row>
        <row r="990">
          <cell r="A990" t="str">
            <v>6203/M</v>
          </cell>
          <cell r="B990" t="str">
            <v>11 cm. sıkışmış kalınlıkta 1 m2 asfalt betonu bitümlü sıcak temel tabakası yapılması (Kırılmış ve elenmiş ocak taşı ile)</v>
          </cell>
          <cell r="C990" t="str">
            <v>M2</v>
          </cell>
          <cell r="E990">
            <v>2636171</v>
          </cell>
          <cell r="F990">
            <v>3468795</v>
          </cell>
          <cell r="G990">
            <v>6037575</v>
          </cell>
          <cell r="H990">
            <v>8426652</v>
          </cell>
        </row>
        <row r="991">
          <cell r="A991" t="str">
            <v>6203/M-A</v>
          </cell>
          <cell r="B991" t="str">
            <v>11 cm. sıkışmış kalınlıkta 1 m2 asfalt betonu bitümlü sıcak temel tabakası yapılması (Kırılmış ve elenmiş ocak taşı ile) (Astarsız temel üzerine)</v>
          </cell>
          <cell r="C991" t="str">
            <v>M2</v>
          </cell>
          <cell r="E991">
            <v>2589867</v>
          </cell>
          <cell r="F991">
            <v>3413676</v>
          </cell>
          <cell r="G991">
            <v>5924802</v>
          </cell>
          <cell r="H991">
            <v>8269991</v>
          </cell>
        </row>
        <row r="992">
          <cell r="A992" t="str">
            <v>6205/M</v>
          </cell>
          <cell r="B992" t="str">
            <v>10 cm. sıkışmış kalınlıkta 1 m2 asfalt betonu bitümlü sıcak temel tabakası yapılması (Kırılmış ve elenmiş ocak taşı ile)</v>
          </cell>
          <cell r="C992" t="str">
            <v>M2</v>
          </cell>
          <cell r="E992">
            <v>2355421</v>
          </cell>
          <cell r="F992">
            <v>3098743</v>
          </cell>
          <cell r="G992">
            <v>5395281</v>
          </cell>
          <cell r="H992">
            <v>7530130</v>
          </cell>
        </row>
        <row r="993">
          <cell r="A993" t="str">
            <v>6205/M-A</v>
          </cell>
          <cell r="B993" t="str">
            <v>10 cm. sıkışmış kalınlıkta 1 m2 asfalt betonu bitümlü sıcak temel tabakası yapılması (Kırılmış ve elenmiş ocak taşı ile) (Astarsız  temel üzerine)</v>
          </cell>
          <cell r="C993" t="str">
            <v>M2</v>
          </cell>
          <cell r="E993">
            <v>2309116</v>
          </cell>
          <cell r="F993">
            <v>3043625</v>
          </cell>
          <cell r="G993">
            <v>5282511</v>
          </cell>
          <cell r="H993">
            <v>7373470</v>
          </cell>
        </row>
        <row r="994">
          <cell r="A994" t="str">
            <v>6206/M</v>
          </cell>
          <cell r="B994" t="str">
            <v>9 cm. sıkışmış kalınlıkta 1 m2 asfalt betonu bitümlü sıcak temel tabakası yapılması (Kırılmış ve elenmiş ocak taşı ile)</v>
          </cell>
          <cell r="C994" t="str">
            <v>M2</v>
          </cell>
          <cell r="E994">
            <v>2124798</v>
          </cell>
          <cell r="F994">
            <v>2794763</v>
          </cell>
          <cell r="G994">
            <v>4867676</v>
          </cell>
          <cell r="H994">
            <v>6793687</v>
          </cell>
        </row>
        <row r="995">
          <cell r="A995" t="str">
            <v>6206/M-A</v>
          </cell>
          <cell r="B995" t="str">
            <v>9 cm. sıkışmış kalınlıkta 1 m2 asfalt betonu bitümlü sıcak temel tabakası yapılması (Kırılmış ve elenmiş ocak taşı ile) (Astarsız temel üzerine)</v>
          </cell>
          <cell r="C995" t="str">
            <v>M2</v>
          </cell>
          <cell r="E995">
            <v>2078495</v>
          </cell>
          <cell r="F995">
            <v>2739646</v>
          </cell>
          <cell r="G995">
            <v>4754903</v>
          </cell>
          <cell r="H995">
            <v>6637027</v>
          </cell>
        </row>
        <row r="996">
          <cell r="A996" t="str">
            <v>6207/M</v>
          </cell>
          <cell r="B996" t="str">
            <v>8 cm. sıkışmış kalınlıkta 1 m2 asfalt betonu bitümlü sıcak temel tabakası yapılması (Kırılmış ve elenmiş ocak taşı ile)</v>
          </cell>
          <cell r="C996" t="str">
            <v>M2</v>
          </cell>
          <cell r="E996">
            <v>1894187</v>
          </cell>
          <cell r="F996">
            <v>2490803</v>
          </cell>
          <cell r="G996">
            <v>4340097</v>
          </cell>
          <cell r="H996">
            <v>6057285</v>
          </cell>
        </row>
        <row r="997">
          <cell r="A997" t="str">
            <v>6207/M-A</v>
          </cell>
          <cell r="B997" t="str">
            <v>8 cm. sıkışmış kalınlıkta 1 m2 asfalt betonu bitümlü sıcak temel tabakası yapılması (Kırılmış ve elenmiş ocak taşı ile) (Astarsız temel üzerine)</v>
          </cell>
          <cell r="C997" t="str">
            <v>M2</v>
          </cell>
          <cell r="E997">
            <v>1847882</v>
          </cell>
          <cell r="F997">
            <v>2435683</v>
          </cell>
          <cell r="G997">
            <v>4227325</v>
          </cell>
          <cell r="H997">
            <v>5900623</v>
          </cell>
        </row>
        <row r="998">
          <cell r="A998" t="str">
            <v>6210</v>
          </cell>
          <cell r="B998" t="str">
            <v>Bitümlü sıcak temel yapılması (Kırılmış ve elenmiş malzeme ile) (Tip-1)</v>
          </cell>
          <cell r="C998" t="str">
            <v>TN</v>
          </cell>
          <cell r="E998">
            <v>8288572</v>
          </cell>
          <cell r="F998">
            <v>10841732</v>
          </cell>
          <cell r="G998">
            <v>19288451</v>
          </cell>
          <cell r="H998">
            <v>26860327</v>
          </cell>
        </row>
        <row r="999">
          <cell r="A999" t="str">
            <v>6210/A</v>
          </cell>
          <cell r="B999" t="str">
            <v>Bitümlü sıcak temel yapılması (Kırılmış ve elenmiş malzeme ile) (Astarsız temel üzerine) (Tip-1)</v>
          </cell>
          <cell r="C999" t="str">
            <v>TN</v>
          </cell>
          <cell r="E999">
            <v>8091741</v>
          </cell>
          <cell r="F999">
            <v>10607435</v>
          </cell>
          <cell r="G999">
            <v>18809095</v>
          </cell>
          <cell r="H999">
            <v>26194408</v>
          </cell>
        </row>
        <row r="1000">
          <cell r="A1000" t="str">
            <v>6210/M</v>
          </cell>
          <cell r="B1000" t="str">
            <v>14 cm.sıkışmış kalınlıkta 1 m2 asfalt betonu bitümlü sıcak temel tabakası yapılması (Kırılmış ve elenmiş malzeme ile) (Tip-1)</v>
          </cell>
          <cell r="C1000" t="str">
            <v>M2</v>
          </cell>
          <cell r="E1000">
            <v>2685557</v>
          </cell>
          <cell r="F1000">
            <v>3516465</v>
          </cell>
          <cell r="G1000">
            <v>6254012</v>
          </cell>
          <cell r="H1000">
            <v>8715281</v>
          </cell>
        </row>
        <row r="1001">
          <cell r="A1001" t="str">
            <v>6210/M-A</v>
          </cell>
          <cell r="B1001" t="str">
            <v>14 cm. sıkışmış kalınlıkta 1 m2 asfalt betonu bitümlü sıcak temel tabakası yapılması (Kırılmış ve elenmiş malzeme ile)(Astarsız temel üzerine)(Tip-1)</v>
          </cell>
          <cell r="C1001" t="str">
            <v>M2</v>
          </cell>
          <cell r="E1001">
            <v>2639252</v>
          </cell>
          <cell r="F1001">
            <v>3461347</v>
          </cell>
          <cell r="G1001">
            <v>6141241</v>
          </cell>
          <cell r="H1001">
            <v>8558620</v>
          </cell>
        </row>
        <row r="1002">
          <cell r="A1002" t="str">
            <v>6220</v>
          </cell>
          <cell r="B1002" t="str">
            <v>Bitümlü sıcak temel yapılması (Kırılmış ve elenmiş malzeme ile) (Tip-2)</v>
          </cell>
          <cell r="C1002" t="str">
            <v>TN</v>
          </cell>
          <cell r="E1002">
            <v>8493926</v>
          </cell>
          <cell r="F1002">
            <v>11114422</v>
          </cell>
          <cell r="G1002">
            <v>19747167</v>
          </cell>
          <cell r="H1002">
            <v>27503847</v>
          </cell>
        </row>
        <row r="1003">
          <cell r="A1003" t="str">
            <v>6220/A</v>
          </cell>
          <cell r="B1003" t="str">
            <v>Bitümlü sıcak temel yapılması (Kırılmış ve elenmiş malzeme ile) (Astarsız temel üzerine) (Tip-2)</v>
          </cell>
          <cell r="C1003" t="str">
            <v>TN</v>
          </cell>
          <cell r="E1003">
            <v>8296343</v>
          </cell>
          <cell r="F1003">
            <v>10879136</v>
          </cell>
          <cell r="G1003">
            <v>19266060</v>
          </cell>
          <cell r="H1003">
            <v>26835455</v>
          </cell>
        </row>
        <row r="1004">
          <cell r="A1004" t="str">
            <v>6300</v>
          </cell>
          <cell r="B1004" t="str">
            <v>Asfalt betonu binder tabakası yapılması (Kırılmış ve elenmiş ocak taşı ile)</v>
          </cell>
          <cell r="C1004" t="str">
            <v>TN</v>
          </cell>
          <cell r="E1004">
            <v>10570383</v>
          </cell>
          <cell r="F1004">
            <v>13886355</v>
          </cell>
          <cell r="G1004">
            <v>24212753</v>
          </cell>
          <cell r="H1004">
            <v>33776020</v>
          </cell>
        </row>
        <row r="1005">
          <cell r="A1005" t="str">
            <v>6300/M</v>
          </cell>
          <cell r="B1005" t="str">
            <v>7 cm. sıkışmış kalınlıkta 1 m2 asfalt betonu binder tabakası yapılması (Kırılmış ve elenmiş ocak taşı ile)</v>
          </cell>
          <cell r="C1005" t="str">
            <v>M2</v>
          </cell>
          <cell r="E1005">
            <v>1756072</v>
          </cell>
          <cell r="F1005">
            <v>2308793</v>
          </cell>
          <cell r="G1005">
            <v>4024165</v>
          </cell>
          <cell r="H1005">
            <v>5616843</v>
          </cell>
        </row>
        <row r="1006">
          <cell r="A1006" t="str">
            <v>6304/M</v>
          </cell>
          <cell r="B1006" t="str">
            <v>6 cm. sıkışmış kalınlıkta 1 m2 asfalt betonu binder tabakası yapılması (Kırılmış ve elenmiş ocak taşı ile)</v>
          </cell>
          <cell r="C1006" t="str">
            <v>M2</v>
          </cell>
          <cell r="E1006">
            <v>1512240</v>
          </cell>
          <cell r="F1006">
            <v>1987401</v>
          </cell>
          <cell r="G1006">
            <v>3466333</v>
          </cell>
          <cell r="H1006">
            <v>4838136</v>
          </cell>
        </row>
        <row r="1007">
          <cell r="A1007" t="str">
            <v>6305/M</v>
          </cell>
          <cell r="B1007" t="str">
            <v>5 cm. sıkışmış kalınlıkta 1 m2 asfalt betonu binder tabakası yapılması (Kırılmış ve elenmiş ocak taşı ile)</v>
          </cell>
          <cell r="C1007" t="str">
            <v>M2</v>
          </cell>
          <cell r="E1007">
            <v>1268411</v>
          </cell>
          <cell r="F1007">
            <v>1666011</v>
          </cell>
          <cell r="G1007">
            <v>2908507</v>
          </cell>
          <cell r="H1007">
            <v>4059436</v>
          </cell>
        </row>
        <row r="1008">
          <cell r="A1008" t="str">
            <v>6308/M</v>
          </cell>
          <cell r="B1008" t="str">
            <v>8 cm. sıkışmış kalınlıkta 1 m2 asfalt betonu binder tabakası yapılması (Kırılmış ve elenmiş ocak taşı ile)</v>
          </cell>
          <cell r="C1008" t="str">
            <v>M2</v>
          </cell>
          <cell r="E1008">
            <v>1999897</v>
          </cell>
          <cell r="F1008">
            <v>2630185</v>
          </cell>
          <cell r="G1008">
            <v>4581990</v>
          </cell>
          <cell r="H1008">
            <v>6395542</v>
          </cell>
          <cell r="I1008">
            <v>7666177</v>
          </cell>
        </row>
        <row r="1009">
          <cell r="A1009" t="str">
            <v>6310</v>
          </cell>
          <cell r="B1009" t="str">
            <v>Bakım için asfalt betonu binder karışımı temini (Kırılmış ve elenmiş ocak taşından-Karışımın taşınması müteahhit kamyonları ile)</v>
          </cell>
          <cell r="C1009" t="str">
            <v>TN</v>
          </cell>
          <cell r="D1009">
            <v>71987</v>
          </cell>
          <cell r="E1009">
            <v>8317312</v>
          </cell>
          <cell r="F1009">
            <v>10943867</v>
          </cell>
          <cell r="G1009">
            <v>19184582</v>
          </cell>
          <cell r="H1009">
            <v>26787820</v>
          </cell>
          <cell r="I1009">
            <v>32056066</v>
          </cell>
        </row>
        <row r="1010">
          <cell r="A1010" t="str">
            <v>6320</v>
          </cell>
          <cell r="B1010" t="str">
            <v>Bakım için asfalt betonu binder karışımı temini (Kırılmış ve elenmiş ocak taşından-Karışımın taşınması İdare kamyonları ile)</v>
          </cell>
          <cell r="C1010" t="str">
            <v>TN</v>
          </cell>
          <cell r="D1010">
            <v>70644</v>
          </cell>
          <cell r="E1010">
            <v>8196187</v>
          </cell>
          <cell r="F1010">
            <v>10795117</v>
          </cell>
          <cell r="G1010">
            <v>18939145</v>
          </cell>
          <cell r="H1010">
            <v>26479695</v>
          </cell>
          <cell r="I1010">
            <v>31699066</v>
          </cell>
        </row>
        <row r="1011">
          <cell r="A1011" t="str">
            <v>6330</v>
          </cell>
          <cell r="B1011" t="str">
            <v>Asfalt betonu binder tabakası yapılması (Kırılmış ve elenmiş çakıl ile)</v>
          </cell>
          <cell r="C1011" t="str">
            <v>TN</v>
          </cell>
          <cell r="E1011">
            <v>8870268</v>
          </cell>
          <cell r="F1011">
            <v>11591532</v>
          </cell>
          <cell r="G1011">
            <v>20639232</v>
          </cell>
          <cell r="H1011">
            <v>28739151</v>
          </cell>
        </row>
        <row r="1012">
          <cell r="A1012" t="str">
            <v>6340</v>
          </cell>
          <cell r="B1012" t="str">
            <v>Bakım için asfalt betonu binder karışımı temini (Kırılmış ve elenmiş çakıldan-Karışımın taşınması müteahhit kamyonları ile)</v>
          </cell>
          <cell r="C1012" t="str">
            <v>TN</v>
          </cell>
          <cell r="E1012">
            <v>6617197</v>
          </cell>
          <cell r="F1012">
            <v>8649045</v>
          </cell>
          <cell r="G1012">
            <v>15611061</v>
          </cell>
          <cell r="H1012">
            <v>21750951</v>
          </cell>
        </row>
        <row r="1013">
          <cell r="A1013" t="str">
            <v>6350</v>
          </cell>
          <cell r="B1013" t="str">
            <v>Bakım için asfalt betonu binder karışımı temini (Kırılmış ve elenmiş çakıldan-Karışımın taşınması İdare kamyonları ile)</v>
          </cell>
          <cell r="C1013" t="str">
            <v>TN</v>
          </cell>
          <cell r="E1013">
            <v>6496072</v>
          </cell>
          <cell r="F1013">
            <v>8500295</v>
          </cell>
          <cell r="G1013">
            <v>15365623</v>
          </cell>
          <cell r="H1013">
            <v>21442826</v>
          </cell>
        </row>
        <row r="1014">
          <cell r="A1014" t="str">
            <v>6400</v>
          </cell>
          <cell r="B1014" t="str">
            <v>Asfalt betonu aşınma tabakası yapılması (Kırılmış ve elenmiş ocak taşı ile)</v>
          </cell>
          <cell r="C1014" t="str">
            <v>TN</v>
          </cell>
          <cell r="E1014">
            <v>10836557</v>
          </cell>
          <cell r="F1014">
            <v>14215576</v>
          </cell>
          <cell r="G1014">
            <v>24854856</v>
          </cell>
          <cell r="H1014">
            <v>34668346</v>
          </cell>
        </row>
        <row r="1015">
          <cell r="A1015" t="str">
            <v>6400/M</v>
          </cell>
          <cell r="B1015" t="str">
            <v>5 cm. sıkışmış kalınlıkta 1 m2 asfalt betonu aşınma tabakası yapılması (Kırılmış ve elenmiş ocak taşı ile)</v>
          </cell>
          <cell r="C1015" t="str">
            <v>M2</v>
          </cell>
          <cell r="D1015">
            <v>11006</v>
          </cell>
          <cell r="E1015">
            <v>1279683</v>
          </cell>
          <cell r="F1015">
            <v>1680745</v>
          </cell>
          <cell r="G1015">
            <v>2935478</v>
          </cell>
          <cell r="H1015">
            <v>4096900</v>
          </cell>
          <cell r="I1015">
            <v>4555000</v>
          </cell>
        </row>
        <row r="1016">
          <cell r="A1016" t="str">
            <v>6400/M-M</v>
          </cell>
          <cell r="B1016" t="str">
            <v>5 cm. sıkışmış kalınlıkta 1 m2 asfalt betonu aşınma tabakası yapılması(Kırılmış ve elenmiş sert taş ve modifiye bitüm ile)</v>
          </cell>
          <cell r="C1016" t="str">
            <v>M2</v>
          </cell>
          <cell r="D1016">
            <v>12366</v>
          </cell>
          <cell r="E1016">
            <v>1433165</v>
          </cell>
          <cell r="F1016">
            <v>1882731</v>
          </cell>
          <cell r="G1016">
            <v>3291636</v>
          </cell>
          <cell r="H1016">
            <v>4590948</v>
          </cell>
          <cell r="I1016">
            <v>5509471</v>
          </cell>
        </row>
        <row r="1017">
          <cell r="A1017" t="str">
            <v>6401/M</v>
          </cell>
          <cell r="B1017" t="str">
            <v>4 cm. sıkışmış kalınlıkta 1 m2 asfalt betonu aşınma tabakası yapılması (Kırılmış ve elenmiş ocak taşı ile)</v>
          </cell>
          <cell r="C1017" t="str">
            <v>M2</v>
          </cell>
          <cell r="E1017">
            <v>1033603</v>
          </cell>
          <cell r="F1017">
            <v>1356413</v>
          </cell>
          <cell r="G1017">
            <v>2372270</v>
          </cell>
          <cell r="H1017">
            <v>3310726</v>
          </cell>
        </row>
        <row r="1018">
          <cell r="A1018" t="str">
            <v>6540</v>
          </cell>
          <cell r="B1018" t="str">
            <v>Bir tabaka astarlı bitümlü sathi kaplama yapılması (Tip-1) (Kırılmış ve elenmiş  ocak taşı ile)</v>
          </cell>
          <cell r="C1018" t="str">
            <v>DA</v>
          </cell>
          <cell r="E1018">
            <v>147258841</v>
          </cell>
          <cell r="F1018">
            <v>195251800</v>
          </cell>
          <cell r="G1018">
            <v>328063281</v>
          </cell>
          <cell r="H1018">
            <v>457289850</v>
          </cell>
        </row>
        <row r="1019">
          <cell r="A1019" t="str">
            <v>6550</v>
          </cell>
          <cell r="B1019" t="str">
            <v>Bir tabaka astarlı bitümlü sathi kaplama yapılması (Tip-1) (Kırılmış ve elenmiş çakıl ile)</v>
          </cell>
          <cell r="C1019" t="str">
            <v>DA</v>
          </cell>
          <cell r="E1019">
            <v>109045375</v>
          </cell>
          <cell r="F1019">
            <v>143326277</v>
          </cell>
          <cell r="G1019">
            <v>250028881</v>
          </cell>
          <cell r="H1019">
            <v>346885825</v>
          </cell>
        </row>
        <row r="1020">
          <cell r="A1020" t="str">
            <v>6560</v>
          </cell>
          <cell r="B1020" t="str">
            <v>İki tabaka astarlı bitümlü sathi kaplama yapılması (Tip-1 + Tip-3) (Kırılmış ve elenmiş ocak taşı ile)</v>
          </cell>
          <cell r="C1020" t="str">
            <v>DA</v>
          </cell>
          <cell r="E1020">
            <v>271756212</v>
          </cell>
          <cell r="F1020">
            <v>360368351</v>
          </cell>
          <cell r="G1020">
            <v>605091960</v>
          </cell>
          <cell r="H1020">
            <v>843318070</v>
          </cell>
        </row>
        <row r="1021">
          <cell r="A1021" t="str">
            <v>6570</v>
          </cell>
          <cell r="B1021" t="str">
            <v>İki tabaka astarlı bitümlü sathi kaplama yapılması (Tip-1 + Tip-3) (Kırılmış ve elenmiş çakıl ile)</v>
          </cell>
          <cell r="C1021" t="str">
            <v>DA</v>
          </cell>
          <cell r="E1021">
            <v>199511481</v>
          </cell>
          <cell r="F1021">
            <v>262203026</v>
          </cell>
          <cell r="G1021">
            <v>457544721</v>
          </cell>
          <cell r="H1021">
            <v>634569931</v>
          </cell>
        </row>
        <row r="1022">
          <cell r="A1022" t="str">
            <v>6580</v>
          </cell>
          <cell r="B1022" t="str">
            <v>Bir tabaka  astarsız bitümlü sathi kaplama yapılması (Tip-2) (Kırılmış ve elenmiş ocak taşı ile)</v>
          </cell>
          <cell r="C1022" t="str">
            <v>DA</v>
          </cell>
          <cell r="E1022">
            <v>128792065</v>
          </cell>
          <cell r="F1022">
            <v>170787528</v>
          </cell>
          <cell r="G1022">
            <v>286428812</v>
          </cell>
          <cell r="H1022">
            <v>399073710</v>
          </cell>
        </row>
        <row r="1023">
          <cell r="A1023" t="str">
            <v>6590</v>
          </cell>
          <cell r="B1023" t="str">
            <v>Bir tabaka astarsız bitümlü sathi kaplama yapılması (Tip-2) (Kırılmış ve elenmiş çakıl ile)</v>
          </cell>
          <cell r="C1023" t="str">
            <v>DA</v>
          </cell>
          <cell r="E1023">
            <v>94760800</v>
          </cell>
          <cell r="F1023">
            <v>124547726</v>
          </cell>
          <cell r="G1023">
            <v>216915973</v>
          </cell>
          <cell r="H1023">
            <v>300729596</v>
          </cell>
        </row>
        <row r="1024">
          <cell r="A1024" t="str">
            <v>727-504</v>
          </cell>
          <cell r="B1024" t="str">
            <v xml:space="preserve">1 KV yeraltı kabloları ile kolon ve besleme hattı  tesisi  YVV (NYY) 2x6 mm2 </v>
          </cell>
          <cell r="C1024" t="str">
            <v>MT</v>
          </cell>
          <cell r="G1024">
            <v>1650825</v>
          </cell>
        </row>
        <row r="1025">
          <cell r="A1025" t="str">
            <v>727-507</v>
          </cell>
          <cell r="B1025" t="str">
            <v xml:space="preserve">1 KV yeraltı kabloları ile kolon ve besleme hattı  tesisi  YVV (NYY) 2x1,5 mm2 </v>
          </cell>
          <cell r="C1025" t="str">
            <v>MT</v>
          </cell>
          <cell r="G1025">
            <v>953494</v>
          </cell>
        </row>
        <row r="1026">
          <cell r="A1026" t="str">
            <v>727-529</v>
          </cell>
          <cell r="B1026" t="str">
            <v xml:space="preserve">1 KV yeraltı kabloları ile kolon ve besleme hattı  tesisi  YVV (NYY) 4x1,5 mm2 </v>
          </cell>
          <cell r="C1026" t="str">
            <v>MT</v>
          </cell>
          <cell r="G1026">
            <v>1067344</v>
          </cell>
        </row>
        <row r="1027">
          <cell r="A1027" t="str">
            <v>727-531</v>
          </cell>
          <cell r="B1027" t="str">
            <v xml:space="preserve">1 KV yeraltı kabloları ile kolon ve besleme hattı  tesisi  YVV (NYY) 7x1,5 mm2 </v>
          </cell>
          <cell r="C1027" t="str">
            <v>MT</v>
          </cell>
          <cell r="G1027">
            <v>1864294</v>
          </cell>
        </row>
        <row r="1028">
          <cell r="A1028" t="str">
            <v>7500</v>
          </cell>
          <cell r="B1028" t="str">
            <v>Prefabrik beton parke imali ve yerine döşenmesi (10 cm.)</v>
          </cell>
          <cell r="C1028" t="str">
            <v>M2</v>
          </cell>
          <cell r="E1028">
            <v>9010496</v>
          </cell>
          <cell r="F1028">
            <v>11811970</v>
          </cell>
          <cell r="G1028">
            <v>20958473</v>
          </cell>
          <cell r="H1028">
            <v>27715957</v>
          </cell>
        </row>
        <row r="1029">
          <cell r="A1029" t="str">
            <v>7501</v>
          </cell>
          <cell r="B1029" t="str">
            <v>Prefabrik beton parke imali ve yerine döşenmesi (8 cm.)</v>
          </cell>
          <cell r="C1029" t="str">
            <v>M2</v>
          </cell>
          <cell r="E1029">
            <v>7914462</v>
          </cell>
          <cell r="F1029">
            <v>10397283</v>
          </cell>
          <cell r="G1029">
            <v>18291792</v>
          </cell>
          <cell r="H1029">
            <v>24238611</v>
          </cell>
        </row>
        <row r="1030">
          <cell r="A1030" t="str">
            <v>7502</v>
          </cell>
          <cell r="B1030" t="str">
            <v>Prefabrik beton parke imali ve yerine döşenmesi (6 cm.)</v>
          </cell>
          <cell r="C1030" t="str">
            <v>M2</v>
          </cell>
          <cell r="E1030">
            <v>6819432</v>
          </cell>
          <cell r="F1030">
            <v>8983872</v>
          </cell>
          <cell r="G1030">
            <v>15628172</v>
          </cell>
          <cell r="H1030">
            <v>20765278</v>
          </cell>
        </row>
        <row r="1031">
          <cell r="A1031" t="str">
            <v>7503</v>
          </cell>
          <cell r="B1031" t="str">
            <v>Prefabrik beton plak imali ve yerine döşenmesi (5 cm.)</v>
          </cell>
          <cell r="C1031" t="str">
            <v>M2</v>
          </cell>
          <cell r="E1031">
            <v>5388668</v>
          </cell>
          <cell r="F1031">
            <v>7132131</v>
          </cell>
          <cell r="G1031">
            <v>12072082</v>
          </cell>
          <cell r="H1031">
            <v>16272450</v>
          </cell>
        </row>
        <row r="1032">
          <cell r="A1032" t="str">
            <v>7504</v>
          </cell>
          <cell r="B1032" t="str">
            <v>Prefabrik beton bordür imali ve yerine döşenmesi</v>
          </cell>
          <cell r="C1032" t="str">
            <v>MT</v>
          </cell>
          <cell r="E1032">
            <v>3549791</v>
          </cell>
          <cell r="F1032">
            <v>4663066</v>
          </cell>
          <cell r="G1032">
            <v>8128823</v>
          </cell>
          <cell r="H1032">
            <v>10968067</v>
          </cell>
        </row>
        <row r="1033">
          <cell r="A1033" t="str">
            <v>7505/1</v>
          </cell>
          <cell r="B1033" t="str">
            <v>Prefabrik beton bordür yapılması ve yerine döşenmesi (Düz Bordür)</v>
          </cell>
          <cell r="C1033" t="str">
            <v>MT</v>
          </cell>
          <cell r="E1033">
            <v>2250888</v>
          </cell>
          <cell r="F1033">
            <v>2963771</v>
          </cell>
          <cell r="G1033">
            <v>5115095</v>
          </cell>
          <cell r="H1033">
            <v>6925075</v>
          </cell>
        </row>
        <row r="1034">
          <cell r="A1034" t="str">
            <v>7505/2</v>
          </cell>
          <cell r="B1034" t="str">
            <v>Prefabrik beton bordür yapılması ve yerine döşenmesi (Tam kesik çıkış bordürü)</v>
          </cell>
          <cell r="C1034" t="str">
            <v>MT</v>
          </cell>
          <cell r="E1034">
            <v>2850235</v>
          </cell>
          <cell r="F1034">
            <v>3755462</v>
          </cell>
          <cell r="G1034">
            <v>6494415</v>
          </cell>
          <cell r="H1034">
            <v>8744752</v>
          </cell>
        </row>
        <row r="1035">
          <cell r="A1035" t="str">
            <v>7506</v>
          </cell>
          <cell r="B1035" t="str">
            <v>Prefabrik beton plaklarla şev kaplama yapılması</v>
          </cell>
          <cell r="C1035" t="str">
            <v>M2</v>
          </cell>
          <cell r="E1035">
            <v>6750362</v>
          </cell>
          <cell r="F1035">
            <v>8996493</v>
          </cell>
          <cell r="G1035">
            <v>15050947</v>
          </cell>
          <cell r="H1035">
            <v>20473972</v>
          </cell>
        </row>
        <row r="1036">
          <cell r="A1036" t="str">
            <v>7507</v>
          </cell>
          <cell r="B1036" t="str">
            <v>Prefabrik beton blok şev kaplama elemanı imali ve yerine döşenmesi</v>
          </cell>
          <cell r="C1036" t="str">
            <v>AD</v>
          </cell>
          <cell r="E1036">
            <v>1275767</v>
          </cell>
          <cell r="F1036">
            <v>1677126</v>
          </cell>
          <cell r="G1036">
            <v>2915276</v>
          </cell>
          <cell r="H1036">
            <v>3967940</v>
          </cell>
        </row>
        <row r="1037">
          <cell r="A1037" t="str">
            <v>983-102</v>
          </cell>
          <cell r="B1037" t="str">
            <v xml:space="preserve">Toprak elektrodu (çubuk) elektrolitik bakır   </v>
          </cell>
          <cell r="C1037" t="str">
            <v>AD</v>
          </cell>
          <cell r="G1037">
            <v>95774000</v>
          </cell>
        </row>
        <row r="1038">
          <cell r="A1038" t="str">
            <v>TŞ-B1</v>
          </cell>
          <cell r="B1038" t="str">
            <v>Standart trafik işaret levhası ve direğinin bakımının yapılması</v>
          </cell>
          <cell r="C1038" t="str">
            <v>AD</v>
          </cell>
          <cell r="E1038">
            <v>789825</v>
          </cell>
          <cell r="F1038">
            <v>1038390</v>
          </cell>
          <cell r="H1038">
            <v>2577605</v>
          </cell>
        </row>
        <row r="1039">
          <cell r="A1039" t="str">
            <v>TŞ-B2</v>
          </cell>
          <cell r="B1039" t="str">
            <v>Trafik bilgi işaret levhası bakımının yapılması</v>
          </cell>
          <cell r="C1039" t="str">
            <v>AD</v>
          </cell>
          <cell r="E1039">
            <v>2360040</v>
          </cell>
          <cell r="F1039">
            <v>3095395</v>
          </cell>
          <cell r="H1039">
            <v>7770470</v>
          </cell>
        </row>
        <row r="1040">
          <cell r="A1040" t="str">
            <v>TŞ-B3</v>
          </cell>
          <cell r="B1040" t="str">
            <v>Yol bakım ve onarımlarda geçici trafik işaretlemesinin yapılması ve emniyet tedbirlerinin alınması</v>
          </cell>
          <cell r="C1040" t="str">
            <v>GN</v>
          </cell>
          <cell r="E1040">
            <v>20695382</v>
          </cell>
          <cell r="F1040">
            <v>27885578</v>
          </cell>
        </row>
        <row r="1041">
          <cell r="A1041" t="str">
            <v>TŞ-B4</v>
          </cell>
          <cell r="B1041" t="str">
            <v>Yol bakım ve onarımlarda geçici trafik işaretlemesi için gerekli her türlü malzemenin temini</v>
          </cell>
          <cell r="C1041" t="str">
            <v>GN</v>
          </cell>
          <cell r="E1041">
            <v>9438262</v>
          </cell>
          <cell r="F1041">
            <v>11693723</v>
          </cell>
        </row>
        <row r="1042">
          <cell r="A1042" t="str">
            <v>TŞ-B5</v>
          </cell>
          <cell r="B1042" t="str">
            <v>Yol bakım ve onarımlarda geçici trafik işaretlemesi için malzeme temini, işaretleme yapılması ve emniyet tedbirlerinin alınması</v>
          </cell>
          <cell r="C1042" t="str">
            <v>GN</v>
          </cell>
          <cell r="E1042">
            <v>30133645</v>
          </cell>
          <cell r="F1042">
            <v>39579302</v>
          </cell>
        </row>
        <row r="1043">
          <cell r="A1043" t="str">
            <v>TŞ-B6</v>
          </cell>
          <cell r="B1043" t="str">
            <v>Yol bakım ve onarımlarda trafik emniyetinin sinyalizasyon tertibatı ile sağlanması</v>
          </cell>
          <cell r="C1043" t="str">
            <v>GN</v>
          </cell>
          <cell r="E1043">
            <v>22764920</v>
          </cell>
          <cell r="F1043">
            <v>30674136</v>
          </cell>
        </row>
        <row r="1044">
          <cell r="A1044" t="str">
            <v>TŞ-D1</v>
          </cell>
          <cell r="B1044" t="str">
            <v>3 mm. kalınlığındaki alüminyum malzemeden 90 cm. kenarlı eşkenar üçgen levha yapılması</v>
          </cell>
          <cell r="C1044" t="str">
            <v>AD</v>
          </cell>
          <cell r="E1044">
            <v>10876573</v>
          </cell>
          <cell r="F1044">
            <v>16030230</v>
          </cell>
        </row>
        <row r="1045">
          <cell r="A1045" t="str">
            <v>TŞ-D1/A</v>
          </cell>
          <cell r="B1045" t="str">
            <v>3 mm. kalınlığındaki alüminyum malzemeden 135 cm. kenarlı eşkenar üçgen levha yapılması</v>
          </cell>
          <cell r="C1045" t="str">
            <v>AD</v>
          </cell>
          <cell r="E1045">
            <v>19330600</v>
          </cell>
          <cell r="F1045">
            <v>29096996</v>
          </cell>
        </row>
        <row r="1046">
          <cell r="A1046" t="str">
            <v>TŞ-D10</v>
          </cell>
          <cell r="B1046" t="str">
            <v>2 mm. kalınlığındaki galvanizli sactan dörtgen levha yapılması</v>
          </cell>
          <cell r="C1046" t="str">
            <v>M2</v>
          </cell>
          <cell r="E1046">
            <v>12609531</v>
          </cell>
          <cell r="F1046">
            <v>16784098</v>
          </cell>
          <cell r="H1046">
            <v>41012701</v>
          </cell>
        </row>
        <row r="1047">
          <cell r="A1047" t="str">
            <v>TŞ-D11</v>
          </cell>
          <cell r="B1047" t="str">
            <v>2 mm. kalınlığındaki galvanizli sactan tehlikeli viraj yön levhası yapılması [T-33b (60x180 cm.) levhası]</v>
          </cell>
          <cell r="C1047" t="str">
            <v>AD</v>
          </cell>
          <cell r="E1047">
            <v>17583571</v>
          </cell>
          <cell r="F1047">
            <v>23397971</v>
          </cell>
          <cell r="H1047">
            <v>57322761</v>
          </cell>
        </row>
        <row r="1048">
          <cell r="A1048" t="str">
            <v>TŞ-D11/A</v>
          </cell>
          <cell r="B1048" t="str">
            <v>2 mm. kalınlığındaki galvanizli sactan tehlikeli viraj yön levhası yapılması [T-33c (50x150 cm.) levhası]</v>
          </cell>
          <cell r="C1048" t="str">
            <v>AD</v>
          </cell>
          <cell r="E1048">
            <v>12880281</v>
          </cell>
          <cell r="F1048">
            <v>17145098</v>
          </cell>
          <cell r="H1048">
            <v>41915201</v>
          </cell>
        </row>
        <row r="1049">
          <cell r="A1049" t="str">
            <v>TŞ-D11/B</v>
          </cell>
          <cell r="B1049" t="str">
            <v>2 mm. kalınlığındaki galvanizli sactan engel levhası yapılması</v>
          </cell>
          <cell r="C1049" t="str">
            <v>AD</v>
          </cell>
          <cell r="E1049">
            <v>7893165</v>
          </cell>
          <cell r="F1049">
            <v>10510852</v>
          </cell>
          <cell r="H1049">
            <v>25630265</v>
          </cell>
        </row>
        <row r="1050">
          <cell r="A1050" t="str">
            <v>TŞ-D12</v>
          </cell>
          <cell r="B1050" t="str">
            <v>Galvanizli sactan trafik bilgi levhası yapılması (2.5 m2 ve 2.5 m2 den küçük)</v>
          </cell>
          <cell r="C1050" t="str">
            <v>M2</v>
          </cell>
          <cell r="E1050">
            <v>18966395</v>
          </cell>
          <cell r="F1050">
            <v>26278912</v>
          </cell>
        </row>
        <row r="1051">
          <cell r="A1051" t="str">
            <v>TŞ-D13</v>
          </cell>
          <cell r="B1051" t="str">
            <v>2 mm. kalınlığındaki siyah sactan (DKP) 90 cm. kenarlı eşkenar üçgen levha yapılması</v>
          </cell>
          <cell r="C1051" t="str">
            <v>AD</v>
          </cell>
          <cell r="E1051">
            <v>3915573</v>
          </cell>
          <cell r="F1051">
            <v>4782866</v>
          </cell>
        </row>
        <row r="1052">
          <cell r="A1052" t="str">
            <v>TŞ-D13/A</v>
          </cell>
          <cell r="B1052" t="str">
            <v>2 mm.kalınlığındaki siyah sactan (DKP) 135 cm. kenarlı eşkenar üçgen levha yapılması</v>
          </cell>
          <cell r="C1052" t="str">
            <v>AD</v>
          </cell>
          <cell r="E1052">
            <v>8606440</v>
          </cell>
          <cell r="F1052">
            <v>10498957</v>
          </cell>
        </row>
        <row r="1053">
          <cell r="A1053" t="str">
            <v>TŞ-D14</v>
          </cell>
          <cell r="B1053" t="str">
            <v>2 mm. kalınlığındaki siyah sactan (DKP) 60 cm. çaplı yuvarlak levha yapılması</v>
          </cell>
          <cell r="C1053" t="str">
            <v>AD</v>
          </cell>
          <cell r="E1053">
            <v>3796457</v>
          </cell>
          <cell r="F1053">
            <v>4701731</v>
          </cell>
        </row>
        <row r="1054">
          <cell r="A1054" t="str">
            <v>TŞ-D14/A</v>
          </cell>
          <cell r="B1054" t="str">
            <v>2 mm. kalınlığındaki siyah sactan (DKP) 90 cm. çaplı yuvarlak levha yapılması</v>
          </cell>
          <cell r="C1054" t="str">
            <v>AD</v>
          </cell>
          <cell r="E1054">
            <v>7123681</v>
          </cell>
          <cell r="F1054">
            <v>8666287</v>
          </cell>
        </row>
        <row r="1055">
          <cell r="A1055" t="str">
            <v>TŞ-D15</v>
          </cell>
          <cell r="B1055" t="str">
            <v>2 mm.kalınlığındaki siyah sactan (DKP) 75 cm.lik sekizgen levha yapılması</v>
          </cell>
          <cell r="C1055" t="str">
            <v>AD</v>
          </cell>
          <cell r="E1055">
            <v>5234331</v>
          </cell>
          <cell r="F1055">
            <v>6392201</v>
          </cell>
          <cell r="H1055">
            <v>16140451</v>
          </cell>
        </row>
        <row r="1056">
          <cell r="A1056" t="str">
            <v>TŞ-D15/A</v>
          </cell>
          <cell r="B1056" t="str">
            <v>2 mm. kalınlığındaki siyah sactan (DKP) 90 cm.lik sekizgen levha yapılması</v>
          </cell>
          <cell r="C1056" t="str">
            <v>AD</v>
          </cell>
          <cell r="E1056">
            <v>7353822</v>
          </cell>
          <cell r="F1056">
            <v>8953447</v>
          </cell>
          <cell r="H1056">
            <v>22734992</v>
          </cell>
        </row>
        <row r="1057">
          <cell r="A1057" t="str">
            <v>TŞ-D16</v>
          </cell>
          <cell r="B1057" t="str">
            <v>2 mm. kalınlığındaki siyah sactan (DKP) dörtgen levha yapılması</v>
          </cell>
          <cell r="C1057" t="str">
            <v>M2</v>
          </cell>
          <cell r="E1057">
            <v>10371213</v>
          </cell>
          <cell r="F1057">
            <v>12634878</v>
          </cell>
          <cell r="H1057">
            <v>32002728</v>
          </cell>
        </row>
        <row r="1058">
          <cell r="A1058" t="str">
            <v>TŞ-D17</v>
          </cell>
          <cell r="B1058" t="str">
            <v>2 mm. kalınlığındaki siyah sactan (DKP) tehlikeli viraj yön levhası yapılması [T-33b (60x180 cm.) levhası]</v>
          </cell>
          <cell r="C1058" t="str">
            <v>AD</v>
          </cell>
          <cell r="E1058">
            <v>14445780</v>
          </cell>
          <cell r="F1058">
            <v>17543106</v>
          </cell>
          <cell r="H1058">
            <v>44643975</v>
          </cell>
        </row>
        <row r="1059">
          <cell r="A1059" t="str">
            <v>TŞ-D17/A</v>
          </cell>
          <cell r="B1059" t="str">
            <v>2 mm. kalınlığındaki siyah sactan (DKP) tehlikeli viraj yön levhası yapılması [T-33c (50x150 cm.) levhası ]</v>
          </cell>
          <cell r="C1059" t="str">
            <v>AD</v>
          </cell>
          <cell r="E1059">
            <v>10726206</v>
          </cell>
          <cell r="F1059">
            <v>13060508</v>
          </cell>
          <cell r="H1059">
            <v>33129221</v>
          </cell>
        </row>
        <row r="1060">
          <cell r="A1060" t="str">
            <v>TŞ-D17/B</v>
          </cell>
          <cell r="B1060" t="str">
            <v>2 mm. kalınlığındaki siyah sactan (DKP) engel levhası yapılması</v>
          </cell>
          <cell r="C1060" t="str">
            <v>AD</v>
          </cell>
          <cell r="E1060">
            <v>6607815</v>
          </cell>
          <cell r="F1060">
            <v>8062232</v>
          </cell>
          <cell r="H1060">
            <v>20372625</v>
          </cell>
        </row>
        <row r="1061">
          <cell r="A1061" t="str">
            <v>TŞ-D18</v>
          </cell>
          <cell r="B1061" t="str">
            <v>2 mm. kalınlığındaki siyah sactan (DKP) bilgi levhası yapılması (2.5 m2 ve 2.5 m2 den küçük)</v>
          </cell>
          <cell r="C1061" t="str">
            <v>M2</v>
          </cell>
          <cell r="E1061">
            <v>18243168</v>
          </cell>
          <cell r="F1061">
            <v>24051405</v>
          </cell>
          <cell r="H1061">
            <v>58942597</v>
          </cell>
        </row>
        <row r="1062">
          <cell r="A1062" t="str">
            <v>TŞ-D19</v>
          </cell>
          <cell r="B1062" t="str">
            <v>1,5 mm. kalınlığındaki siyah sactan (DKP) kaplama sınırlayıcı levhası yapılması</v>
          </cell>
          <cell r="C1062" t="str">
            <v>AD</v>
          </cell>
          <cell r="E1062">
            <v>1359797</v>
          </cell>
          <cell r="F1062">
            <v>1704120</v>
          </cell>
          <cell r="H1062">
            <v>4492226</v>
          </cell>
        </row>
        <row r="1063">
          <cell r="A1063" t="str">
            <v>TŞ-D19/A</v>
          </cell>
          <cell r="B1063" t="str">
            <v>Kaplama sınırlayıcı levhanın boyanması ve sembol yapılması</v>
          </cell>
          <cell r="C1063" t="str">
            <v>AD</v>
          </cell>
          <cell r="E1063">
            <v>545920</v>
          </cell>
          <cell r="F1063">
            <v>676062</v>
          </cell>
          <cell r="H1063">
            <v>1560187</v>
          </cell>
        </row>
        <row r="1064">
          <cell r="A1064" t="str">
            <v>TŞ-D2</v>
          </cell>
          <cell r="B1064" t="str">
            <v>3 mm. kalınlığındaki alüminyum malzemeden 60 cm. çaplı yuvarlak levha yapılması</v>
          </cell>
          <cell r="C1064" t="str">
            <v>AD</v>
          </cell>
          <cell r="E1064">
            <v>8686493</v>
          </cell>
          <cell r="F1064">
            <v>12808355</v>
          </cell>
        </row>
        <row r="1065">
          <cell r="A1065" t="str">
            <v>TŞ-D2/A</v>
          </cell>
          <cell r="B1065" t="str">
            <v>3 mm. kalınlığındaki alüminyum malzemeden 90 cm. çaplı yuvarlak levha yapılması</v>
          </cell>
          <cell r="C1065" t="str">
            <v>AD</v>
          </cell>
          <cell r="E1065">
            <v>15466908</v>
          </cell>
          <cell r="F1065">
            <v>23314836</v>
          </cell>
        </row>
        <row r="1066">
          <cell r="A1066" t="str">
            <v>TŞ-D20</v>
          </cell>
          <cell r="B1066" t="str">
            <v>Trafik işaret levhası direği yapılması ve boyanması (5 mm. kalınlığında omega profilinden)</v>
          </cell>
          <cell r="C1066" t="str">
            <v>MT</v>
          </cell>
          <cell r="E1066">
            <v>3990113</v>
          </cell>
          <cell r="F1066">
            <v>5492518</v>
          </cell>
        </row>
        <row r="1067">
          <cell r="A1067" t="str">
            <v>TŞ-D20/A</v>
          </cell>
          <cell r="B1067" t="str">
            <v>Trafik işaret levhası direği yapılması ve boyanması (4 mm. kalınlığında siyah sac)</v>
          </cell>
          <cell r="C1067" t="str">
            <v>MT</v>
          </cell>
          <cell r="E1067">
            <v>6207698</v>
          </cell>
          <cell r="F1067">
            <v>7869813</v>
          </cell>
        </row>
        <row r="1068">
          <cell r="A1068" t="str">
            <v>TŞ-D20/B</v>
          </cell>
          <cell r="B1068" t="str">
            <v>Trafik işaret levhası direği yapılması ve galvanizlenmesi (4 mm. kalınlığında siyah sac)</v>
          </cell>
          <cell r="C1068" t="str">
            <v>MT</v>
          </cell>
          <cell r="E1068">
            <v>6354048</v>
          </cell>
          <cell r="F1068">
            <v>8102803</v>
          </cell>
        </row>
        <row r="1069">
          <cell r="A1069" t="str">
            <v>TŞ-D21</v>
          </cell>
          <cell r="B1069" t="str">
            <v>Trafik bilgi ve yön levhaları için direk yapılması ve boyanması (Muhtelif ebat NPI profil demir)</v>
          </cell>
          <cell r="C1069" t="str">
            <v>KG</v>
          </cell>
          <cell r="E1069">
            <v>542522</v>
          </cell>
          <cell r="F1069">
            <v>755678</v>
          </cell>
          <cell r="H1069">
            <v>1901982</v>
          </cell>
        </row>
        <row r="1070">
          <cell r="A1070" t="str">
            <v>TŞ-D22xxxx</v>
          </cell>
          <cell r="B1070" t="str">
            <v>Kaplama  üstü levha taşıyıcı konstrüksiyonu imali ve boyanması</v>
          </cell>
          <cell r="C1070" t="str">
            <v>KG</v>
          </cell>
          <cell r="E1070">
            <v>772910</v>
          </cell>
          <cell r="F1070">
            <v>988703</v>
          </cell>
          <cell r="H1070">
            <v>2222263</v>
          </cell>
        </row>
        <row r="1071">
          <cell r="A1071" t="str">
            <v>TŞ-D23</v>
          </cell>
          <cell r="B1071" t="str">
            <v>Trafik işaret levhası boyanması (Standart ve bilgi trafik işaret levhaları)</v>
          </cell>
          <cell r="C1071" t="str">
            <v>M2</v>
          </cell>
          <cell r="E1071">
            <v>4505081</v>
          </cell>
          <cell r="F1071">
            <v>5736031</v>
          </cell>
          <cell r="H1071">
            <v>13523461</v>
          </cell>
        </row>
        <row r="1072">
          <cell r="A1072" t="str">
            <v>TŞ-D23/A xxxx</v>
          </cell>
          <cell r="B1072" t="str">
            <v>Trafik işaret levhalarına sembol, bordür ve yazı yazılması</v>
          </cell>
          <cell r="C1072" t="str">
            <v>M2</v>
          </cell>
          <cell r="E1072">
            <v>1056025</v>
          </cell>
          <cell r="F1072">
            <v>1370000</v>
          </cell>
          <cell r="H1072">
            <v>3023250</v>
          </cell>
        </row>
        <row r="1073">
          <cell r="A1073" t="str">
            <v>TŞ-D24</v>
          </cell>
          <cell r="B1073" t="str">
            <v>Trafik işaret levhalarına reflektif malzeme yapıştırılması (Standart ve bilgi işaret levhaları)</v>
          </cell>
          <cell r="C1073" t="str">
            <v>M2</v>
          </cell>
          <cell r="E1073">
            <v>4861571</v>
          </cell>
          <cell r="F1073">
            <v>6509031</v>
          </cell>
          <cell r="H1073">
            <v>14781461</v>
          </cell>
          <cell r="I1073">
            <v>17272976</v>
          </cell>
        </row>
        <row r="1074">
          <cell r="A1074" t="str">
            <v>TŞ-D24/A</v>
          </cell>
          <cell r="B1074" t="str">
            <v>Levhaya standart tam reflektif trafik işaretinin yapıştırılması</v>
          </cell>
          <cell r="C1074" t="str">
            <v>AD</v>
          </cell>
          <cell r="E1074">
            <v>983542</v>
          </cell>
          <cell r="F1074">
            <v>1314195</v>
          </cell>
          <cell r="H1074">
            <v>3015302</v>
          </cell>
        </row>
        <row r="1075">
          <cell r="A1075" t="str">
            <v>TŞ-D25</v>
          </cell>
          <cell r="B1075" t="str">
            <v>Standart trafik işaret levha direğinin yerine konulması</v>
          </cell>
          <cell r="C1075" t="str">
            <v>AD</v>
          </cell>
          <cell r="E1075">
            <v>3766380</v>
          </cell>
          <cell r="F1075">
            <v>4945392</v>
          </cell>
          <cell r="H1075">
            <v>12352405</v>
          </cell>
        </row>
        <row r="1076">
          <cell r="A1076" t="str">
            <v>TŞ-D25/A</v>
          </cell>
          <cell r="B1076" t="str">
            <v>Kaplama sınırlayıcı levhasının yerine konulması</v>
          </cell>
          <cell r="C1076" t="str">
            <v>AD</v>
          </cell>
          <cell r="E1076">
            <v>117335</v>
          </cell>
          <cell r="F1076">
            <v>153530</v>
          </cell>
        </row>
        <row r="1077">
          <cell r="A1077" t="str">
            <v>TŞ-D26</v>
          </cell>
          <cell r="B1077" t="str">
            <v>Trafik bilgi levhalarına temel yapımı ve levha direği montajı</v>
          </cell>
          <cell r="C1077" t="str">
            <v>AD</v>
          </cell>
          <cell r="E1077">
            <v>40184487</v>
          </cell>
          <cell r="F1077">
            <v>52583927</v>
          </cell>
          <cell r="H1077">
            <v>116411828</v>
          </cell>
        </row>
        <row r="1078">
          <cell r="A1078" t="str">
            <v>TŞ-D27xxxxx</v>
          </cell>
          <cell r="B1078" t="str">
            <v>Kaplama üstü levha taşıyıcı konstrüksiyonun komple yerine konulması</v>
          </cell>
          <cell r="C1078" t="str">
            <v>AD</v>
          </cell>
          <cell r="E1078">
            <v>709638382</v>
          </cell>
          <cell r="F1078">
            <v>922046378</v>
          </cell>
          <cell r="H1078">
            <v>2154209033</v>
          </cell>
        </row>
        <row r="1079">
          <cell r="A1079" t="str">
            <v>TŞ-D28</v>
          </cell>
          <cell r="B1079" t="str">
            <v>Standart trafik işaret levhalarının yerine konulması</v>
          </cell>
          <cell r="C1079" t="str">
            <v>AD</v>
          </cell>
          <cell r="E1079">
            <v>2026735</v>
          </cell>
          <cell r="F1079">
            <v>2666602</v>
          </cell>
          <cell r="H1079">
            <v>6597265</v>
          </cell>
        </row>
        <row r="1080">
          <cell r="A1080" t="str">
            <v>TŞ-D29</v>
          </cell>
          <cell r="B1080" t="str">
            <v>Trafik bilgi levhalarının yerine konulması</v>
          </cell>
          <cell r="C1080" t="str">
            <v>M2</v>
          </cell>
          <cell r="E1080">
            <v>4365650</v>
          </cell>
          <cell r="F1080">
            <v>5754892</v>
          </cell>
          <cell r="H1080">
            <v>14110280</v>
          </cell>
        </row>
        <row r="1081">
          <cell r="A1081" t="str">
            <v>TŞ-D3</v>
          </cell>
          <cell r="B1081" t="str">
            <v>3 mm. kalınlığındaki alüminyum malzemeden 75 cm.lik sekizgen levha yapılması</v>
          </cell>
          <cell r="C1081" t="str">
            <v>AD</v>
          </cell>
          <cell r="E1081">
            <v>12275885</v>
          </cell>
          <cell r="F1081">
            <v>18298015</v>
          </cell>
          <cell r="H1081">
            <v>39938076</v>
          </cell>
        </row>
        <row r="1082">
          <cell r="A1082" t="str">
            <v>TŞ-D3/A</v>
          </cell>
          <cell r="B1082" t="str">
            <v>3 mm. kalınlığındaki alüminyum malzemeden 90 cm.lik sekizgen levha yapılması</v>
          </cell>
          <cell r="C1082" t="str">
            <v>AD</v>
          </cell>
          <cell r="E1082">
            <v>15610268</v>
          </cell>
          <cell r="F1082">
            <v>23554836</v>
          </cell>
          <cell r="H1082">
            <v>51461930</v>
          </cell>
        </row>
        <row r="1083">
          <cell r="A1083" t="str">
            <v>TŞ-D30 xxxxx</v>
          </cell>
          <cell r="B1083" t="str">
            <v>Kaplama üstü bilgi levhalarının yerlerine konulması</v>
          </cell>
          <cell r="C1083" t="str">
            <v>M2</v>
          </cell>
          <cell r="E1083">
            <v>9304698</v>
          </cell>
          <cell r="F1083">
            <v>12456036</v>
          </cell>
          <cell r="H1083">
            <v>29523726</v>
          </cell>
        </row>
        <row r="1084">
          <cell r="A1084" t="str">
            <v>TŞ-D31</v>
          </cell>
          <cell r="B1084" t="str">
            <v>Standart trafik işaret levhalarının yerinden sökülmesi</v>
          </cell>
          <cell r="C1084" t="str">
            <v>AD</v>
          </cell>
          <cell r="E1084">
            <v>1631935</v>
          </cell>
          <cell r="F1084">
            <v>2133352</v>
          </cell>
          <cell r="H1084">
            <v>5439265</v>
          </cell>
        </row>
        <row r="1085">
          <cell r="A1085" t="str">
            <v>TŞ-D32</v>
          </cell>
          <cell r="B1085" t="str">
            <v>Trafik bilgi levhalarının yerlerinden sökülmesi</v>
          </cell>
          <cell r="C1085" t="str">
            <v>M2</v>
          </cell>
          <cell r="E1085">
            <v>3761760</v>
          </cell>
          <cell r="F1085">
            <v>4939267</v>
          </cell>
          <cell r="H1085">
            <v>12339030</v>
          </cell>
        </row>
        <row r="1086">
          <cell r="A1086" t="str">
            <v>TŞ-D33</v>
          </cell>
          <cell r="B1086" t="str">
            <v>Kaplama üstü bilgi levhalarının yerlerinden sökülmesi</v>
          </cell>
          <cell r="C1086" t="str">
            <v>M2</v>
          </cell>
          <cell r="E1086">
            <v>6146731</v>
          </cell>
          <cell r="F1086">
            <v>8082973</v>
          </cell>
          <cell r="H1086">
            <v>19726218</v>
          </cell>
        </row>
        <row r="1087">
          <cell r="A1087" t="str">
            <v>TŞ-D34</v>
          </cell>
          <cell r="B1087" t="str">
            <v>Standart levha direğinin yerinden sökülmesi</v>
          </cell>
          <cell r="C1087" t="str">
            <v>AD</v>
          </cell>
          <cell r="E1087">
            <v>3766380</v>
          </cell>
          <cell r="F1087">
            <v>4945392</v>
          </cell>
          <cell r="H1087">
            <v>12352405</v>
          </cell>
        </row>
        <row r="1088">
          <cell r="A1088" t="str">
            <v>TŞ-D35</v>
          </cell>
          <cell r="B1088" t="str">
            <v>Trafik bilgi levhası direklerinin yerlerinden sökülmesi</v>
          </cell>
          <cell r="C1088" t="str">
            <v>AD</v>
          </cell>
          <cell r="E1088">
            <v>6629016</v>
          </cell>
          <cell r="F1088">
            <v>8741057</v>
          </cell>
          <cell r="H1088">
            <v>21401546</v>
          </cell>
        </row>
        <row r="1089">
          <cell r="A1089" t="str">
            <v>TŞ-D36</v>
          </cell>
          <cell r="B1089" t="str">
            <v>Kaplama üstü levha taşıyıcı konstrüksiyonun komple yerinden sökülmesi</v>
          </cell>
          <cell r="C1089" t="str">
            <v>AD</v>
          </cell>
          <cell r="E1089">
            <v>219846875</v>
          </cell>
          <cell r="F1089">
            <v>290543842</v>
          </cell>
          <cell r="H1089">
            <v>685962110</v>
          </cell>
        </row>
        <row r="1090">
          <cell r="A1090" t="str">
            <v>TŞ-D4</v>
          </cell>
          <cell r="B1090" t="str">
            <v>3 mm. kalınlığındaki alüminyum malzemeden dörtgen levha yapılması</v>
          </cell>
          <cell r="C1090" t="str">
            <v>M2</v>
          </cell>
          <cell r="E1090">
            <v>19972351</v>
          </cell>
          <cell r="F1090">
            <v>30461031</v>
          </cell>
          <cell r="H1090">
            <v>66548707</v>
          </cell>
        </row>
        <row r="1091">
          <cell r="A1091" t="str">
            <v>TŞ-D5</v>
          </cell>
          <cell r="B1091" t="str">
            <v>3 mm. kalınlığındaki alüminyum malzemeden tehlikeli viraj yön levhası yapılması [T-33b (60x180 cm.) levhası]</v>
          </cell>
          <cell r="C1091" t="str">
            <v>AD</v>
          </cell>
          <cell r="E1091">
            <v>30906237</v>
          </cell>
          <cell r="F1091">
            <v>46734672</v>
          </cell>
          <cell r="H1091">
            <v>102105228</v>
          </cell>
        </row>
        <row r="1092">
          <cell r="A1092" t="str">
            <v>TŞ-D5/A</v>
          </cell>
          <cell r="B1092" t="str">
            <v>3 mm. kalınlığındaki alüminyum malzemeden tehlikeli viraj yön levhası yapılması [T-33c (50x150 cm.) levhası]</v>
          </cell>
          <cell r="C1092" t="str">
            <v>AD</v>
          </cell>
          <cell r="E1092">
            <v>25236111</v>
          </cell>
          <cell r="F1092">
            <v>37701656</v>
          </cell>
          <cell r="H1092">
            <v>82264996</v>
          </cell>
        </row>
        <row r="1093">
          <cell r="A1093" t="str">
            <v>TŞ-D5/B</v>
          </cell>
          <cell r="B1093" t="str">
            <v>3 mm. kalınlığındaki alüminyum malzemeden engel levhası yapılması</v>
          </cell>
          <cell r="C1093" t="str">
            <v>AD</v>
          </cell>
          <cell r="E1093">
            <v>19417917</v>
          </cell>
          <cell r="F1093">
            <v>28417051</v>
          </cell>
          <cell r="H1093">
            <v>61962102</v>
          </cell>
        </row>
        <row r="1094">
          <cell r="A1094" t="str">
            <v>TŞ-D6</v>
          </cell>
          <cell r="B1094" t="str">
            <v>Alüminyum özel profilden bilgi levhası yapılması (2,5 m2 ve 2,5 m2 den küçük)</v>
          </cell>
          <cell r="C1094" t="str">
            <v>M2</v>
          </cell>
          <cell r="E1094">
            <v>29525815</v>
          </cell>
          <cell r="F1094">
            <v>40875702</v>
          </cell>
        </row>
        <row r="1095">
          <cell r="A1095" t="str">
            <v>TŞ-D6/A</v>
          </cell>
          <cell r="B1095" t="str">
            <v>Alüminyum özel profilden bilgi levhası yapılması (2,5 m2 den büyük)</v>
          </cell>
          <cell r="C1095" t="str">
            <v>M2</v>
          </cell>
          <cell r="E1095">
            <v>30018752</v>
          </cell>
          <cell r="F1095">
            <v>41506128</v>
          </cell>
        </row>
        <row r="1096">
          <cell r="A1096" t="str">
            <v>TŞ-D7</v>
          </cell>
          <cell r="B1096" t="str">
            <v>2 mm. kalınlığındaki galvanizli sactan 90 cm. kenarlı eşkenar üçgen levha yapılması</v>
          </cell>
          <cell r="C1096" t="str">
            <v>AD</v>
          </cell>
          <cell r="E1096">
            <v>4679048</v>
          </cell>
          <cell r="F1096">
            <v>6230711</v>
          </cell>
        </row>
        <row r="1097">
          <cell r="A1097" t="str">
            <v>TŞ-D7/A</v>
          </cell>
          <cell r="B1097" t="str">
            <v>2 mm. kalınlığındaki galvanizli sactan 135 cm. kenarlı eşkenar üçgen levha yapılması</v>
          </cell>
          <cell r="C1097" t="str">
            <v>AD</v>
          </cell>
          <cell r="E1097">
            <v>10471706</v>
          </cell>
          <cell r="F1097">
            <v>13940618</v>
          </cell>
        </row>
        <row r="1098">
          <cell r="A1098" t="str">
            <v>TŞ-D8</v>
          </cell>
          <cell r="B1098" t="str">
            <v>2 mm. kalınlığındaki galvanizli sactan 60 cm. çaplı yuvarlak levha yapılması</v>
          </cell>
          <cell r="C1098" t="str">
            <v>AD</v>
          </cell>
          <cell r="E1098">
            <v>4440307</v>
          </cell>
          <cell r="F1098">
            <v>5922551</v>
          </cell>
        </row>
        <row r="1099">
          <cell r="A1099" t="str">
            <v>TŞ-D8/A</v>
          </cell>
          <cell r="B1099" t="str">
            <v>2 mm. kalınlığındaki galvanizli sactan 90 cm. çaplı yuvarlak levha yapılması</v>
          </cell>
          <cell r="C1099" t="str">
            <v>AD</v>
          </cell>
          <cell r="E1099">
            <v>8570181</v>
          </cell>
          <cell r="F1099">
            <v>11409262</v>
          </cell>
        </row>
        <row r="1100">
          <cell r="A1100" t="str">
            <v>TŞ-D9</v>
          </cell>
          <cell r="B1100" t="str">
            <v>2 mm. kalınlığındaki galvanizli sactan 75 cm.lik sekizgen levha yapılması</v>
          </cell>
          <cell r="C1100" t="str">
            <v>AD</v>
          </cell>
          <cell r="E1100">
            <v>6257981</v>
          </cell>
          <cell r="F1100">
            <v>8333281</v>
          </cell>
          <cell r="H1100">
            <v>20315711</v>
          </cell>
        </row>
        <row r="1101">
          <cell r="A1101" t="str">
            <v>TŞ-D9/A</v>
          </cell>
          <cell r="B1101" t="str">
            <v>2 mm. kalınlığındaki galvanizli sactan 90 cm.lik sekizgen levha yapılması</v>
          </cell>
          <cell r="C1101" t="str">
            <v>AD</v>
          </cell>
          <cell r="E1101">
            <v>8827947</v>
          </cell>
          <cell r="F1101">
            <v>11748672</v>
          </cell>
          <cell r="H1101">
            <v>28747567</v>
          </cell>
        </row>
        <row r="1102">
          <cell r="A1102" t="str">
            <v>TŞ-G1</v>
          </cell>
          <cell r="B1102" t="str">
            <v>Beton yol korkuluğu yapılması (A Tipi) (Yerinde)</v>
          </cell>
          <cell r="C1102" t="str">
            <v>MT</v>
          </cell>
          <cell r="E1102">
            <v>29898520</v>
          </cell>
          <cell r="F1102">
            <v>38960013</v>
          </cell>
        </row>
        <row r="1103">
          <cell r="A1103" t="str">
            <v>TŞ-G2</v>
          </cell>
          <cell r="B1103" t="str">
            <v>Beton yol korkuluğu yapılması (B Tipi) (Yerinde)</v>
          </cell>
          <cell r="C1103" t="str">
            <v>MT</v>
          </cell>
          <cell r="E1103">
            <v>31501337</v>
          </cell>
          <cell r="F1103">
            <v>41071811</v>
          </cell>
        </row>
        <row r="1104">
          <cell r="A1104" t="str">
            <v>TŞ-G3</v>
          </cell>
          <cell r="B1104" t="str">
            <v>Beton yol korkuluğu son elemanı yapılması (A Tipi) (Yerinde)</v>
          </cell>
          <cell r="C1104" t="str">
            <v>AD</v>
          </cell>
          <cell r="E1104">
            <v>59797040</v>
          </cell>
          <cell r="F1104">
            <v>77920027</v>
          </cell>
        </row>
        <row r="1105">
          <cell r="A1105" t="str">
            <v>TŞ-G4</v>
          </cell>
          <cell r="B1105" t="str">
            <v>Beton yol korkuluğu son elamanı yapılması (B Tipi) (Yerinde)</v>
          </cell>
          <cell r="C1105" t="str">
            <v>AD</v>
          </cell>
          <cell r="E1105">
            <v>63002675</v>
          </cell>
          <cell r="F1105">
            <v>82143622</v>
          </cell>
        </row>
        <row r="1106">
          <cell r="A1106" t="str">
            <v>TŞ-G5</v>
          </cell>
          <cell r="B1106" t="str">
            <v>Beton yol korkuluğu kalıbı yapılması  (Çelik)</v>
          </cell>
          <cell r="C1106" t="str">
            <v>M2</v>
          </cell>
          <cell r="E1106">
            <v>18469930</v>
          </cell>
          <cell r="F1106">
            <v>23993582</v>
          </cell>
        </row>
        <row r="1107">
          <cell r="A1107" t="str">
            <v>TŞ-IŞ1</v>
          </cell>
          <cell r="B1107" t="str">
            <v>Standard sinyal verici direği yapılması ve elektrostatik toz boya ile boyanması</v>
          </cell>
          <cell r="C1107" t="str">
            <v>AD</v>
          </cell>
          <cell r="E1107">
            <v>0</v>
          </cell>
          <cell r="F1107">
            <v>75169141</v>
          </cell>
          <cell r="G1107">
            <v>127206501</v>
          </cell>
        </row>
        <row r="1108">
          <cell r="A1108" t="str">
            <v>TŞ-IŞ10</v>
          </cell>
          <cell r="B1108" t="str">
            <v>Standart sinyal verici direği yerine konulması (temel dahil)</v>
          </cell>
          <cell r="C1108" t="str">
            <v>AD</v>
          </cell>
          <cell r="E1108">
            <v>0</v>
          </cell>
          <cell r="F1108">
            <v>24266243</v>
          </cell>
          <cell r="G1108">
            <v>36125135</v>
          </cell>
          <cell r="H1108">
            <v>57052206</v>
          </cell>
        </row>
        <row r="1109">
          <cell r="A1109" t="str">
            <v>TŞ-IŞ11</v>
          </cell>
          <cell r="B1109" t="str">
            <v>Baş üstü sinyal verici direği yerine konulması (temel dahil)</v>
          </cell>
          <cell r="C1109" t="str">
            <v>AD</v>
          </cell>
          <cell r="E1109">
            <v>0</v>
          </cell>
          <cell r="F1109">
            <v>36440847</v>
          </cell>
          <cell r="G1109">
            <v>54592978</v>
          </cell>
          <cell r="H1109">
            <v>85121740</v>
          </cell>
        </row>
        <row r="1110">
          <cell r="A1110" t="str">
            <v>TŞ-IŞ12</v>
          </cell>
          <cell r="B1110" t="str">
            <v>100 mm. Çaplı sinyal verici grupların standart ve baş üstü direklere montajı</v>
          </cell>
          <cell r="C1110" t="str">
            <v>GU</v>
          </cell>
          <cell r="E1110">
            <v>0</v>
          </cell>
          <cell r="F1110">
            <v>15232932</v>
          </cell>
          <cell r="G1110">
            <v>23287685</v>
          </cell>
        </row>
        <row r="1111">
          <cell r="A1111" t="str">
            <v>TŞ-IŞ13</v>
          </cell>
          <cell r="B1111" t="str">
            <v>200 mm. Çaplı sinyal vericisinin standart ve baş üstü direklere montajı</v>
          </cell>
          <cell r="C1111" t="str">
            <v>AD</v>
          </cell>
          <cell r="E1111">
            <v>0</v>
          </cell>
          <cell r="F1111">
            <v>9537568</v>
          </cell>
          <cell r="G1111">
            <v>15383913</v>
          </cell>
        </row>
        <row r="1112">
          <cell r="A1112" t="str">
            <v>TŞ-IŞ14</v>
          </cell>
          <cell r="B1112" t="str">
            <v>300 mm. Çaplı sinyal vericisinin standart ve baş üstü direklere montajı</v>
          </cell>
          <cell r="C1112" t="str">
            <v>AD</v>
          </cell>
          <cell r="E1112">
            <v>0</v>
          </cell>
          <cell r="F1112">
            <v>12629887</v>
          </cell>
          <cell r="G1112">
            <v>19606453</v>
          </cell>
        </row>
        <row r="1113">
          <cell r="A1113" t="str">
            <v>TŞ-IŞ15</v>
          </cell>
          <cell r="B1113" t="str">
            <v>200 mm. Çaplı sinyal verici gruplarının standart ve baş üstü direklere montajı</v>
          </cell>
          <cell r="C1113" t="str">
            <v>GU</v>
          </cell>
          <cell r="E1113">
            <v>0</v>
          </cell>
          <cell r="F1113">
            <v>21582491</v>
          </cell>
          <cell r="G1113">
            <v>32215551</v>
          </cell>
        </row>
        <row r="1114">
          <cell r="A1114" t="str">
            <v>TŞ-IŞ16</v>
          </cell>
          <cell r="B1114" t="str">
            <v>300 mm. Çaplı sinyal verici gruplarının standart ve baş üstü direklere montajı</v>
          </cell>
          <cell r="C1114" t="str">
            <v>GU</v>
          </cell>
          <cell r="E1114">
            <v>0</v>
          </cell>
          <cell r="F1114">
            <v>27154011</v>
          </cell>
          <cell r="G1114">
            <v>40126182</v>
          </cell>
        </row>
        <row r="1115">
          <cell r="A1115" t="str">
            <v>TŞ-IŞ17</v>
          </cell>
          <cell r="B1115" t="str">
            <v>200 mm. Çaplı sinyal verici gruplarının baş üstü L şeklindeki konsol direğe montajı</v>
          </cell>
          <cell r="C1115" t="str">
            <v>GU</v>
          </cell>
          <cell r="E1115">
            <v>0</v>
          </cell>
          <cell r="F1115">
            <v>47781548</v>
          </cell>
        </row>
        <row r="1116">
          <cell r="A1116" t="str">
            <v>TŞ-IŞ18</v>
          </cell>
          <cell r="B1116" t="str">
            <v>300 mm. Çaplı sinyal verici gruplarının baş üstü L şeklindeki konsol direğe montajı</v>
          </cell>
          <cell r="C1116" t="str">
            <v>GU</v>
          </cell>
          <cell r="E1116">
            <v>0</v>
          </cell>
          <cell r="F1116">
            <v>57028607</v>
          </cell>
          <cell r="G1116">
            <v>89632827</v>
          </cell>
        </row>
        <row r="1117">
          <cell r="A1117" t="str">
            <v>TŞ-IŞ19</v>
          </cell>
          <cell r="B1117" t="str">
            <v>Kavşak kontrol cihazın yerine konulması (temel dahil)</v>
          </cell>
          <cell r="C1117" t="str">
            <v>AD</v>
          </cell>
          <cell r="E1117">
            <v>0</v>
          </cell>
          <cell r="F1117">
            <v>22279076</v>
          </cell>
          <cell r="G1117">
            <v>35588852</v>
          </cell>
          <cell r="H1117">
            <v>50041520</v>
          </cell>
        </row>
        <row r="1118">
          <cell r="A1118" t="str">
            <v>TŞ-IŞ2</v>
          </cell>
          <cell r="B1118" t="str">
            <v>Baş üstü sinyal verici direği yapılması ve elektrostatik toz Boya ile boyanması</v>
          </cell>
          <cell r="C1118" t="str">
            <v>AD</v>
          </cell>
          <cell r="E1118">
            <v>0</v>
          </cell>
          <cell r="F1118">
            <v>208702937</v>
          </cell>
          <cell r="G1118">
            <v>324600308</v>
          </cell>
        </row>
        <row r="1119">
          <cell r="A1119" t="str">
            <v>TŞ-IŞ20</v>
          </cell>
          <cell r="B1119" t="str">
            <v>Yol altından kablo geçişi</v>
          </cell>
          <cell r="C1119" t="str">
            <v>MT</v>
          </cell>
          <cell r="E1119">
            <v>0</v>
          </cell>
          <cell r="F1119">
            <v>4847415</v>
          </cell>
          <cell r="G1119">
            <v>6502347</v>
          </cell>
          <cell r="H1119">
            <v>9622775</v>
          </cell>
        </row>
        <row r="1120">
          <cell r="A1120" t="str">
            <v>TŞ-IŞ21</v>
          </cell>
          <cell r="B1120" t="str">
            <v>Orta refüj ve kaldırım altından kablo geçişi</v>
          </cell>
          <cell r="C1120" t="str">
            <v>MT</v>
          </cell>
          <cell r="E1120">
            <v>0</v>
          </cell>
          <cell r="F1120">
            <v>2268441</v>
          </cell>
          <cell r="G1120">
            <v>3599558</v>
          </cell>
          <cell r="H1120">
            <v>4796468</v>
          </cell>
        </row>
        <row r="1121">
          <cell r="A1121" t="str">
            <v>TŞ-IŞ3</v>
          </cell>
          <cell r="B1121" t="str">
            <v>100 mm. Çaplı polikarbonat malzemeden sinyal vericisi yapılması (Gövde,kapak ve siperlik)</v>
          </cell>
          <cell r="C1121" t="str">
            <v>AD</v>
          </cell>
          <cell r="E1121">
            <v>0</v>
          </cell>
          <cell r="F1121">
            <v>13282537</v>
          </cell>
          <cell r="G1121">
            <v>43176297</v>
          </cell>
        </row>
        <row r="1122">
          <cell r="A1122" t="str">
            <v>TŞ-IŞ3/A</v>
          </cell>
          <cell r="B1122" t="str">
            <v>200 mm. Çaplı polikarbonat malzemeden sinyal vericisi yapılması (Gövde,kapak ve siperlik)</v>
          </cell>
          <cell r="C1122" t="str">
            <v>AD</v>
          </cell>
          <cell r="E1122">
            <v>0</v>
          </cell>
          <cell r="F1122">
            <v>21967437</v>
          </cell>
          <cell r="G1122">
            <v>56886005</v>
          </cell>
        </row>
        <row r="1123">
          <cell r="A1123" t="str">
            <v>TŞ-IŞ3/B</v>
          </cell>
          <cell r="B1123" t="str">
            <v>300 mm. Çaplı polikarbonat malzemeden sinyal vericisi yapılması (Gövde,kapak ve siperlik)</v>
          </cell>
          <cell r="C1123" t="str">
            <v>AD</v>
          </cell>
          <cell r="E1123">
            <v>0</v>
          </cell>
          <cell r="F1123">
            <v>32189875</v>
          </cell>
          <cell r="G1123">
            <v>74321317</v>
          </cell>
        </row>
        <row r="1124">
          <cell r="A1124" t="str">
            <v>TŞ-IŞ4</v>
          </cell>
          <cell r="B1124" t="str">
            <v>100 mm. Çaplı alümimyum injeksiyon olarak sinyal vericisi yapılması ve elektrostatik toz boya ile boyanması (Gövde,kapak,siperlik ve dirsekler)</v>
          </cell>
          <cell r="C1124" t="str">
            <v>AD</v>
          </cell>
          <cell r="E1124">
            <v>0</v>
          </cell>
          <cell r="F1124">
            <v>34639971</v>
          </cell>
        </row>
        <row r="1125">
          <cell r="A1125" t="str">
            <v>TŞ-IŞ4/A</v>
          </cell>
          <cell r="B1125" t="str">
            <v>200 mm. Çaplı alüminyum injeksiyon olarak sinyal vericisi yapılması ve elektrostatik toz boya ile boyanması (Gövde,kapak,siperlik ve dirsekler)</v>
          </cell>
          <cell r="C1125" t="str">
            <v>AD</v>
          </cell>
          <cell r="E1125">
            <v>0</v>
          </cell>
          <cell r="F1125">
            <v>65583041</v>
          </cell>
        </row>
        <row r="1126">
          <cell r="A1126" t="str">
            <v>TŞ-IŞ4/B</v>
          </cell>
          <cell r="B1126" t="str">
            <v>300 mm. Çaplı alüminyum injeksiyon olarak sinyal vericisi yapılması ve elektrostatik toz boya ile boyanması (Gövde,kapak,siperlik ve dirsekler)</v>
          </cell>
          <cell r="C1126" t="str">
            <v>AD</v>
          </cell>
          <cell r="E1126">
            <v>0</v>
          </cell>
          <cell r="F1126">
            <v>78248552</v>
          </cell>
        </row>
        <row r="1127">
          <cell r="A1127" t="str">
            <v>TŞ-IŞ5</v>
          </cell>
          <cell r="B1127" t="str">
            <v>Kamaşma panosu yapılması ve elektrostatik toz boya ile boyanması (200 mm. Çaplı sinyal verici gruplar için)</v>
          </cell>
          <cell r="C1127" t="str">
            <v>AD</v>
          </cell>
          <cell r="E1127">
            <v>0</v>
          </cell>
          <cell r="F1127">
            <v>16199625</v>
          </cell>
          <cell r="G1127">
            <v>33422537</v>
          </cell>
        </row>
        <row r="1128">
          <cell r="A1128" t="str">
            <v>TŞ-IŞ5/A</v>
          </cell>
          <cell r="B1128" t="str">
            <v>Kamaşma panosu yapılması ve elektrostatik toz boya ile boyanması (300 mm. Çaplı sinyal verici gruplar için)</v>
          </cell>
          <cell r="C1128" t="str">
            <v>AD</v>
          </cell>
          <cell r="E1128">
            <v>0</v>
          </cell>
          <cell r="F1128">
            <v>20104125</v>
          </cell>
          <cell r="G1128">
            <v>41537225</v>
          </cell>
        </row>
        <row r="1129">
          <cell r="A1129" t="str">
            <v>TŞ-IŞ6</v>
          </cell>
          <cell r="B1129" t="str">
            <v>100 mm. Çaplı sinyal vericileri oto sinyal verici grubu haline getirilmesi montajı ( Polikarbonat malzemeden)</v>
          </cell>
          <cell r="C1129" t="str">
            <v>GU</v>
          </cell>
          <cell r="E1129">
            <v>0</v>
          </cell>
          <cell r="F1129">
            <v>15277102</v>
          </cell>
        </row>
        <row r="1130">
          <cell r="A1130" t="str">
            <v>TŞ-IŞ6/A</v>
          </cell>
          <cell r="B1130" t="str">
            <v>100 mm. Çaplı sinyal vericileri oto sinyal verici grubu haline getirilmesi montajı (Alüminyum malzemeden)</v>
          </cell>
          <cell r="C1130" t="str">
            <v>GU</v>
          </cell>
          <cell r="E1130">
            <v>0</v>
          </cell>
          <cell r="F1130">
            <v>21090091</v>
          </cell>
        </row>
        <row r="1131">
          <cell r="A1131" t="str">
            <v>TŞ-IŞ7</v>
          </cell>
          <cell r="B1131" t="str">
            <v>200 mm. Çaplı sinyal vericileri yaya sinyal verici grubu haline getirilmesi montajı (polikarbonat malzemeden) 200 mm. Çaplı sinyal vericileri oto sinyal verici grubu haline getirilmesi montajı (Polikarbonat malzemeden) 200 mm. Çaplı sinyal vericileri yaya</v>
          </cell>
          <cell r="C1131" t="str">
            <v>GU</v>
          </cell>
          <cell r="E1131">
            <v>0</v>
          </cell>
          <cell r="F1131">
            <v>16830602</v>
          </cell>
          <cell r="G1131">
            <v>23666340</v>
          </cell>
        </row>
        <row r="1132">
          <cell r="A1132" t="str">
            <v>TŞ-IŞ7/A</v>
          </cell>
          <cell r="B1132" t="str">
            <v>200 mm. Çaplı sinyal vericileri oto sinyal verici grubu haline getirilmesi montajı (Polikarbonat malzemeden) 200 mm. Çaplı sinyal vericileri yaya sinyal verici grubu haline getirilmesi montajı (Alüminyum malzemeden)</v>
          </cell>
          <cell r="C1132" t="str">
            <v>GU</v>
          </cell>
          <cell r="E1132">
            <v>0</v>
          </cell>
          <cell r="F1132">
            <v>16830602</v>
          </cell>
          <cell r="G1132">
            <v>29974467</v>
          </cell>
        </row>
        <row r="1133">
          <cell r="A1133" t="str">
            <v>TŞ-IŞ7/B</v>
          </cell>
          <cell r="B1133" t="str">
            <v>200 mm. Çaplı sinyal vericileri yaya sinyal verici grubu haline getirilmesi montajı (Alüminyum malzemeden)</v>
          </cell>
          <cell r="C1133" t="str">
            <v>GU</v>
          </cell>
          <cell r="E1133">
            <v>0</v>
          </cell>
          <cell r="F1133">
            <v>16830602</v>
          </cell>
          <cell r="G1133">
            <v>27002935</v>
          </cell>
        </row>
        <row r="1134">
          <cell r="A1134" t="str">
            <v>TŞ-IŞ7/C</v>
          </cell>
          <cell r="B1134" t="str">
            <v>200 mm. Çaplı sinyal vericileri oto sinyal verici grubu haline getirilmesi montajı (Alüminyum malzemeden)</v>
          </cell>
          <cell r="C1134" t="str">
            <v>GU</v>
          </cell>
          <cell r="E1134">
            <v>0</v>
          </cell>
          <cell r="F1134">
            <v>21563330</v>
          </cell>
        </row>
        <row r="1135">
          <cell r="A1135" t="str">
            <v>TŞ-IŞ8</v>
          </cell>
          <cell r="B1135" t="str">
            <v>300 mm. Çaplı sinyal vericileri oto sinyal verici grubu halne getirilmesi montajı (Polikarbonat malzemeden)</v>
          </cell>
          <cell r="C1135" t="str">
            <v>GU</v>
          </cell>
          <cell r="E1135">
            <v>0</v>
          </cell>
          <cell r="F1135">
            <v>20674580</v>
          </cell>
          <cell r="G1135">
            <v>34697165</v>
          </cell>
        </row>
        <row r="1136">
          <cell r="A1136" t="str">
            <v>TŞ-IŞ8/A</v>
          </cell>
          <cell r="B1136" t="str">
            <v>300 mm. Çaplı sinyal vericileri oto sinyal verici grup haline getirilmesi montajı (Alüminyum malzemeden)</v>
          </cell>
          <cell r="C1136" t="str">
            <v>GU</v>
          </cell>
          <cell r="E1136">
            <v>0</v>
          </cell>
          <cell r="F1136">
            <v>23110318</v>
          </cell>
        </row>
        <row r="1137">
          <cell r="A1137" t="str">
            <v>TŞ-IŞ9</v>
          </cell>
          <cell r="B1137" t="str">
            <v>Kamaşma panosunun sinyal verici grubuna montajı (200'lük ile 300'lük oto sinyal verici gruplarına)</v>
          </cell>
          <cell r="C1137" t="str">
            <v>AD</v>
          </cell>
          <cell r="E1137">
            <v>0</v>
          </cell>
          <cell r="F1137">
            <v>9272602</v>
          </cell>
          <cell r="G1137">
            <v>15229145</v>
          </cell>
        </row>
        <row r="1138">
          <cell r="A1138" t="str">
            <v>TŞ-Y1</v>
          </cell>
          <cell r="B1138" t="str">
            <v>Soğuk yol çizgi boyası ile yol çizgilerinin çizilmesi (Makine ile)</v>
          </cell>
          <cell r="C1138" t="str">
            <v>M2</v>
          </cell>
          <cell r="E1138">
            <v>1679366</v>
          </cell>
          <cell r="F1138">
            <v>2115506</v>
          </cell>
        </row>
        <row r="1139">
          <cell r="A1139" t="str">
            <v>TŞ-Y1/A</v>
          </cell>
          <cell r="B1139" t="str">
            <v>Soğuk yol çizgi boyası silinmesi</v>
          </cell>
          <cell r="C1139" t="str">
            <v>M2</v>
          </cell>
          <cell r="E1139">
            <v>1291223</v>
          </cell>
          <cell r="F1139">
            <v>1716216</v>
          </cell>
        </row>
        <row r="1140">
          <cell r="A1140" t="str">
            <v>TŞ-Y2</v>
          </cell>
          <cell r="B1140" t="str">
            <v>Termoplastik boya ile püskürtme (Sprey) yöntemiyle yol çizgilerinin çizilmesi (Makine ile) (1,5 mm. kalınlıkta)</v>
          </cell>
          <cell r="C1140" t="str">
            <v>M2</v>
          </cell>
          <cell r="E1140">
            <v>5191968</v>
          </cell>
          <cell r="F1140">
            <v>6412710</v>
          </cell>
          <cell r="H1140">
            <v>18036517</v>
          </cell>
        </row>
        <row r="1141">
          <cell r="A1141" t="str">
            <v>TŞ-Y2/A</v>
          </cell>
          <cell r="B1141" t="str">
            <v>Termoplastik boya ile püskürtme (Sprey) yöntemiyle yol çizgilerinin çizilmesi (Makine ile) (2 mm. kalınlıkta)</v>
          </cell>
          <cell r="C1141" t="str">
            <v>M2</v>
          </cell>
          <cell r="E1141">
            <v>6839282</v>
          </cell>
          <cell r="F1141">
            <v>8440501</v>
          </cell>
          <cell r="H1141">
            <v>23782006</v>
          </cell>
        </row>
        <row r="1142">
          <cell r="A1142" t="str">
            <v>TŞ-Y3</v>
          </cell>
          <cell r="B1142" t="str">
            <v>Yaya çizgi ekibinin 1 saatlik ücreti</v>
          </cell>
          <cell r="C1142" t="str">
            <v>SA</v>
          </cell>
          <cell r="E1142">
            <v>8333411</v>
          </cell>
          <cell r="F1142">
            <v>10998402</v>
          </cell>
          <cell r="H1142">
            <v>26796081</v>
          </cell>
        </row>
        <row r="1143">
          <cell r="A1143" t="str">
            <v>TŞ-Y4</v>
          </cell>
          <cell r="B1143" t="str">
            <v>Yaya geçitlerinin çizilmesi (Soğuk yol çizgi boyası ile)</v>
          </cell>
          <cell r="C1143" t="str">
            <v>M2</v>
          </cell>
          <cell r="E1143">
            <v>3158875</v>
          </cell>
          <cell r="F1143">
            <v>4096310</v>
          </cell>
        </row>
        <row r="1144">
          <cell r="A1144" t="str">
            <v>TŞ-Y4/A</v>
          </cell>
          <cell r="B1144" t="str">
            <v>Yaya geçitlerinin çizilmesi (Çift kompenantlı boya ile) (2 mm. kalınlıkta)</v>
          </cell>
          <cell r="C1144" t="str">
            <v>M2</v>
          </cell>
          <cell r="E1144">
            <v>9411878</v>
          </cell>
          <cell r="F1144">
            <v>10847150</v>
          </cell>
        </row>
        <row r="1145">
          <cell r="A1145" t="str">
            <v>TŞ-Y4/B</v>
          </cell>
          <cell r="B1145" t="str">
            <v>Yaya geçitlerinin çizilmesi (Çift kompenantlı boya ile) (3 mm. kalınlıkta)</v>
          </cell>
          <cell r="C1145" t="str">
            <v>M2</v>
          </cell>
          <cell r="E1145">
            <v>12439628</v>
          </cell>
          <cell r="F1145">
            <v>14065650</v>
          </cell>
        </row>
        <row r="1146">
          <cell r="A1146" t="str">
            <v>TŞ-Y4/C</v>
          </cell>
          <cell r="B1146" t="str">
            <v>Yaya geçitlerinin çizilmesi (Termoplastik boya ile) (3 mm. kalınlıkta)</v>
          </cell>
          <cell r="C1146" t="str">
            <v>M2</v>
          </cell>
          <cell r="E1146">
            <v>8283966</v>
          </cell>
          <cell r="F1146">
            <v>10478300</v>
          </cell>
        </row>
        <row r="1147">
          <cell r="A1147" t="str">
            <v>TŞ-Y5</v>
          </cell>
          <cell r="B1147" t="str">
            <v>Ofset taraması çizilmesi (Soğuk yol çizgi boyası ile)</v>
          </cell>
          <cell r="C1147" t="str">
            <v>M2</v>
          </cell>
          <cell r="E1147">
            <v>3529175</v>
          </cell>
          <cell r="F1147">
            <v>4598460</v>
          </cell>
        </row>
        <row r="1148">
          <cell r="A1148" t="str">
            <v>TŞ-Y5/A</v>
          </cell>
          <cell r="B1148" t="str">
            <v>Ofset taraması çizilmesi (Çift kompenantlı boya ile) (2 mm. kalınlığında)</v>
          </cell>
          <cell r="C1148" t="str">
            <v>M2</v>
          </cell>
          <cell r="E1148">
            <v>8837713</v>
          </cell>
          <cell r="F1148">
            <v>10292110</v>
          </cell>
          <cell r="H1148">
            <v>24815931</v>
          </cell>
        </row>
        <row r="1149">
          <cell r="A1149" t="str">
            <v>TŞ-Y5/B</v>
          </cell>
          <cell r="B1149" t="str">
            <v>Ofset taraması çizilmesi (Çift kompenantlı boya ile) (3 mm. kalınlığında)</v>
          </cell>
          <cell r="C1149" t="str">
            <v>M2</v>
          </cell>
          <cell r="E1149">
            <v>11451463</v>
          </cell>
          <cell r="F1149">
            <v>13065860</v>
          </cell>
        </row>
        <row r="1150">
          <cell r="A1150" t="str">
            <v>TŞ-Y5/C</v>
          </cell>
          <cell r="B1150" t="str">
            <v>Ofset taraması çizilmesi (Termoplastik boya ile) (3 mm. kalınlıkta)</v>
          </cell>
          <cell r="C1150" t="str">
            <v>M2</v>
          </cell>
          <cell r="E1150">
            <v>7956302</v>
          </cell>
          <cell r="F1150">
            <v>10103260</v>
          </cell>
        </row>
        <row r="1151">
          <cell r="A1151" t="str">
            <v>TŞ-Y6</v>
          </cell>
          <cell r="B1151" t="str">
            <v>Seyrek refüj taramaları çizilmesi(Soğuk yol çizgi boyası ile)</v>
          </cell>
          <cell r="C1151" t="str">
            <v>M2</v>
          </cell>
          <cell r="E1151">
            <v>2262286</v>
          </cell>
          <cell r="F1151">
            <v>2947035</v>
          </cell>
        </row>
        <row r="1152">
          <cell r="A1152" t="str">
            <v>TŞ-Y6/A</v>
          </cell>
          <cell r="B1152" t="str">
            <v>Seyrek refüj taramaları çizilmesi (Çift kompenantlı boya ile) (2 mm. kalınlıkta)</v>
          </cell>
          <cell r="C1152" t="str">
            <v>M2</v>
          </cell>
          <cell r="E1152">
            <v>6488250</v>
          </cell>
          <cell r="F1152">
            <v>7529810</v>
          </cell>
          <cell r="H1152">
            <v>18159546</v>
          </cell>
        </row>
        <row r="1153">
          <cell r="A1153" t="str">
            <v>TŞ-Y6/B</v>
          </cell>
          <cell r="B1153" t="str">
            <v>Seyrek refüj taramaları çizilmesi (Çift kompenantlı boya ile) (3 mm. kalınlıkta)</v>
          </cell>
          <cell r="C1153" t="str">
            <v>M2</v>
          </cell>
          <cell r="E1153">
            <v>8438000</v>
          </cell>
          <cell r="F1153">
            <v>9596310</v>
          </cell>
        </row>
        <row r="1154">
          <cell r="A1154" t="str">
            <v>TŞ-Y6/C</v>
          </cell>
          <cell r="B1154" t="str">
            <v>Seyrek refüj taramaları çizilmesi (Termoplastik boya ile) (3 mm. kalınlıkta)</v>
          </cell>
          <cell r="C1154" t="str">
            <v>M2</v>
          </cell>
          <cell r="E1154">
            <v>5915962</v>
          </cell>
          <cell r="F1154">
            <v>7505835</v>
          </cell>
        </row>
        <row r="1155">
          <cell r="A1155" t="str">
            <v>TŞ-Y7</v>
          </cell>
          <cell r="B1155" t="str">
            <v>Standart ok ve yazıların çizilmesi (Soğuk yol çizgi boyası ile)</v>
          </cell>
          <cell r="C1155" t="str">
            <v>AD</v>
          </cell>
          <cell r="E1155">
            <v>9850120</v>
          </cell>
          <cell r="F1155">
            <v>12694426</v>
          </cell>
        </row>
        <row r="1156">
          <cell r="A1156" t="str">
            <v>TŞ-Y7/A</v>
          </cell>
          <cell r="B1156" t="str">
            <v>Standart ok ve yazıların çizilmesi (Çift kompenantlı boya ile) (2 mm. kalınlıkta)</v>
          </cell>
          <cell r="C1156" t="str">
            <v>AD</v>
          </cell>
          <cell r="E1156">
            <v>35254233</v>
          </cell>
          <cell r="F1156">
            <v>39501851</v>
          </cell>
          <cell r="H1156">
            <v>94831570</v>
          </cell>
        </row>
        <row r="1157">
          <cell r="A1157" t="str">
            <v>TŞ-Y7/B</v>
          </cell>
          <cell r="B1157" t="str">
            <v>Standart ok ve yazıların çizilmesi (Çift kompenantlı boya ile) (3 mm. kalınlıkta)</v>
          </cell>
          <cell r="C1157" t="str">
            <v>AD</v>
          </cell>
          <cell r="E1157">
            <v>49649535</v>
          </cell>
          <cell r="F1157">
            <v>55037401</v>
          </cell>
        </row>
        <row r="1158">
          <cell r="A1158" t="str">
            <v>TŞ-Y7/C</v>
          </cell>
          <cell r="B1158" t="str">
            <v>Standart ok ve yazıların çizilmesi (Termoplastik boya ile) (3 mm. kalınlıkta)</v>
          </cell>
          <cell r="C1158" t="str">
            <v>AD</v>
          </cell>
          <cell r="E1158">
            <v>30080273</v>
          </cell>
          <cell r="F1158">
            <v>37609801</v>
          </cell>
        </row>
        <row r="1159">
          <cell r="A1159" t="str">
            <v>TŞ-Y8</v>
          </cell>
          <cell r="B1159" t="str">
            <v>Standart çift ok çizilmesi (Soğuk yol çizgi boyası ile)</v>
          </cell>
          <cell r="C1159" t="str">
            <v>AD</v>
          </cell>
          <cell r="E1159">
            <v>12505597</v>
          </cell>
          <cell r="F1159">
            <v>16154651</v>
          </cell>
        </row>
        <row r="1160">
          <cell r="A1160" t="str">
            <v>TŞ-Y8/A</v>
          </cell>
          <cell r="B1160" t="str">
            <v>Standart çift ok çizilmesi (Çift kompenantlı boya ile) (2 mm. kalınlıkta)</v>
          </cell>
          <cell r="C1160" t="str">
            <v>AD</v>
          </cell>
          <cell r="E1160">
            <v>39427336</v>
          </cell>
          <cell r="F1160">
            <v>44542576</v>
          </cell>
          <cell r="H1160">
            <v>107054340</v>
          </cell>
        </row>
        <row r="1161">
          <cell r="A1161" t="str">
            <v>TŞ-Y8/B</v>
          </cell>
          <cell r="B1161" t="str">
            <v>Standart çift ok çizilmesi (Çift kompenantlı boya ile) (3 mm. kalınlıkta)</v>
          </cell>
          <cell r="C1161" t="str">
            <v>AD</v>
          </cell>
          <cell r="E1161">
            <v>54769451</v>
          </cell>
          <cell r="F1161">
            <v>61093440</v>
          </cell>
        </row>
        <row r="1162">
          <cell r="A1162" t="str">
            <v>TŞ-Y8/C</v>
          </cell>
          <cell r="B1162" t="str">
            <v>Standart çift ok çizilmesi (Termoplastik boya ile) (3 mm. kalınlıkta)</v>
          </cell>
          <cell r="C1162" t="str">
            <v>AD</v>
          </cell>
          <cell r="E1162">
            <v>33183601</v>
          </cell>
          <cell r="F1162">
            <v>41616902</v>
          </cell>
        </row>
        <row r="1163">
          <cell r="A1163" t="str">
            <v>14.020/K-1</v>
          </cell>
          <cell r="B1163" t="str">
            <v>El ile kuruda veya suda 3 m2'den daha büyük kesitteki kutu veya kemer menfez ile her türlü mecra kanallarının içindeki batak balçık ve alüvyon vs. birikinti malzemelerin temizlenmesi</v>
          </cell>
          <cell r="C1163" t="str">
            <v>M3</v>
          </cell>
          <cell r="G1163">
            <v>16305000</v>
          </cell>
          <cell r="H1163">
            <v>23160000</v>
          </cell>
        </row>
        <row r="1164">
          <cell r="A1164" t="str">
            <v>14.020/K-3</v>
          </cell>
          <cell r="B1164" t="str">
            <v>El ile kuruda veya suda 1 m2 ve daha küçük kesitteki kutu veya kemer menfez ile her türlü mecra kanallarının içindeki batak balçık ve alüvyon vs. birikinti malzemelerin temizlenmesi</v>
          </cell>
          <cell r="C1164" t="str">
            <v>M3</v>
          </cell>
          <cell r="G1164">
            <v>25136875</v>
          </cell>
          <cell r="H1164">
            <v>35705000</v>
          </cell>
        </row>
        <row r="1165">
          <cell r="A1165" t="str">
            <v>2540/A</v>
          </cell>
          <cell r="B1165" t="str">
            <v>Bordürle çevrilmiş refüjlerde, esanjörlerde ve düz sahalarda bitkisel toprak tabakası teşkili</v>
          </cell>
          <cell r="C1165" t="str">
            <v>M3</v>
          </cell>
          <cell r="D1165">
            <v>13957</v>
          </cell>
          <cell r="H1165">
            <v>5067039</v>
          </cell>
        </row>
        <row r="1166">
          <cell r="A1166" t="str">
            <v>04.290/7</v>
          </cell>
          <cell r="B1166" t="str">
            <v xml:space="preserve">Cam elfay takviyeli (CTP) polyester, yol kenar dikmesi tip 5 </v>
          </cell>
          <cell r="C1166" t="str">
            <v>AD</v>
          </cell>
          <cell r="D1166">
            <v>0</v>
          </cell>
          <cell r="H1166">
            <v>6500000</v>
          </cell>
        </row>
        <row r="1167">
          <cell r="A1167" t="str">
            <v>3985/2A-1</v>
          </cell>
          <cell r="B1167" t="str">
            <v>Cam elfay takviyeli (CTP) polyester, yol kenar dikmesi tip 5 temini</v>
          </cell>
          <cell r="C1167" t="str">
            <v>AD</v>
          </cell>
          <cell r="D1167">
            <v>32569</v>
          </cell>
          <cell r="H1167">
            <v>8125000</v>
          </cell>
        </row>
        <row r="1168">
          <cell r="A1168" t="str">
            <v>23.176</v>
          </cell>
          <cell r="B1168" t="str">
            <v>Çeşitli demir işleri yapılması ve yerine konulması</v>
          </cell>
          <cell r="C1168" t="str">
            <v>KG</v>
          </cell>
          <cell r="D1168">
            <v>6604</v>
          </cell>
          <cell r="H1168">
            <v>2241981</v>
          </cell>
        </row>
        <row r="1169">
          <cell r="A1169" t="str">
            <v>03.010/3</v>
          </cell>
          <cell r="B1169" t="str">
            <v>Traktör buldozer (160 DHP gücünde, motor + bıçak)</v>
          </cell>
          <cell r="C1169" t="str">
            <v>AD</v>
          </cell>
          <cell r="D1169">
            <v>233654450</v>
          </cell>
          <cell r="H1169">
            <v>55744000000</v>
          </cell>
        </row>
        <row r="1170">
          <cell r="A1170" t="str">
            <v>03.045/3</v>
          </cell>
          <cell r="B1170" t="str">
            <v>Lastik tek.sil.(ken.yürür)(80-100 HP,35 ton st.ağır.)</v>
          </cell>
          <cell r="C1170" t="str">
            <v>AD</v>
          </cell>
          <cell r="D1170">
            <v>153916050</v>
          </cell>
          <cell r="H1170">
            <v>36724000000</v>
          </cell>
        </row>
        <row r="1171">
          <cell r="A1171" t="str">
            <v>01.408</v>
          </cell>
          <cell r="B1171" t="str">
            <v>Yağcı</v>
          </cell>
          <cell r="C1171" t="str">
            <v>SA</v>
          </cell>
          <cell r="D1171">
            <v>4444</v>
          </cell>
          <cell r="H1171">
            <v>1742000</v>
          </cell>
        </row>
        <row r="1172">
          <cell r="A1172" t="str">
            <v>01.403</v>
          </cell>
          <cell r="B1172" t="str">
            <v>Makinist</v>
          </cell>
          <cell r="C1172" t="str">
            <v>SA</v>
          </cell>
          <cell r="D1172">
            <v>6016</v>
          </cell>
          <cell r="H1172">
            <v>2359000</v>
          </cell>
        </row>
        <row r="1173">
          <cell r="A1173" t="str">
            <v>4300/PMB</v>
          </cell>
          <cell r="B1173" t="str">
            <v>Özel plentte Polimer Modifiye Bitüm (PMB) hazırlanması</v>
          </cell>
          <cell r="C1173" t="str">
            <v>TN</v>
          </cell>
          <cell r="D1173">
            <v>322746</v>
          </cell>
        </row>
        <row r="1174">
          <cell r="A1174" t="str">
            <v>4358/1</v>
          </cell>
          <cell r="B1174" t="str">
            <v>Bitümlü malzemenin sarnıç veya tanklarda emiş derecesinden tatbik derecesine kadar ısıtılması</v>
          </cell>
          <cell r="C1174" t="str">
            <v>TN</v>
          </cell>
          <cell r="D1174">
            <v>27682</v>
          </cell>
          <cell r="H1174">
            <v>10743080</v>
          </cell>
        </row>
        <row r="1175">
          <cell r="A1175" t="str">
            <v>1911/A</v>
          </cell>
          <cell r="B1175" t="str">
            <v>PMB'ün tesise ait özel servis tankında depolanması karşılığı</v>
          </cell>
          <cell r="C1175" t="str">
            <v>GÜN</v>
          </cell>
          <cell r="D1175">
            <v>158641</v>
          </cell>
          <cell r="I1175">
            <v>42513165</v>
          </cell>
        </row>
        <row r="1176">
          <cell r="A1176" t="str">
            <v>1943</v>
          </cell>
          <cell r="B1176" t="str">
            <v>Bir saatlik Polimer Modifiye Bitüm plentinin ücreti</v>
          </cell>
          <cell r="C1176" t="str">
            <v>SA</v>
          </cell>
          <cell r="D1176">
            <v>743285</v>
          </cell>
          <cell r="H1176">
            <v>68248047</v>
          </cell>
        </row>
        <row r="1177">
          <cell r="A1177" t="str">
            <v>4436/2</v>
          </cell>
          <cell r="B1177" t="str">
            <v>Büyük plent ünitesinde Polimer Modifiye Bitüm kullanılarak "Asfalt Betonu Kaplama" ve Bitümlü Sıcak Temel hazırlanması için gerekli ilave işler</v>
          </cell>
          <cell r="C1177" t="str">
            <v>TN</v>
          </cell>
          <cell r="D1177">
            <v>11104</v>
          </cell>
          <cell r="H1177">
            <v>4332078</v>
          </cell>
        </row>
        <row r="1178">
          <cell r="A1178" t="str">
            <v>ÖZEL/8</v>
          </cell>
          <cell r="B1178" t="str">
            <v>Soyulma mukavemetini artırıcı katkı (TAKRİBEN)</v>
          </cell>
          <cell r="C1178" t="str">
            <v>TN</v>
          </cell>
          <cell r="D1178">
            <v>0</v>
          </cell>
          <cell r="H1178">
            <v>7500000000</v>
          </cell>
        </row>
        <row r="1179">
          <cell r="A1179" t="str">
            <v>ÖZEL/9</v>
          </cell>
          <cell r="B1179" t="str">
            <v>Teker izini önleyici katkı (TAKRİBEN)</v>
          </cell>
          <cell r="C1179" t="str">
            <v>TN</v>
          </cell>
          <cell r="D1179">
            <v>0</v>
          </cell>
          <cell r="H1179">
            <v>2347631655</v>
          </cell>
        </row>
        <row r="1180">
          <cell r="A1180" t="str">
            <v>ÖZEL/10</v>
          </cell>
          <cell r="B1180" t="str">
            <v>Modifiye Bitüm için katkı maddesi (TAKRİBEN)</v>
          </cell>
          <cell r="C1180" t="str">
            <v>TN</v>
          </cell>
          <cell r="D1180">
            <v>0</v>
          </cell>
          <cell r="H1180">
            <v>4471627125</v>
          </cell>
        </row>
        <row r="1181">
          <cell r="A1181" t="str">
            <v>04.255</v>
          </cell>
          <cell r="B1181" t="str">
            <v>Lamalar</v>
          </cell>
          <cell r="C1181" t="str">
            <v>KG</v>
          </cell>
          <cell r="D1181">
            <v>1581</v>
          </cell>
          <cell r="H1181">
            <v>379000</v>
          </cell>
        </row>
        <row r="1182">
          <cell r="A1182" t="str">
            <v>04.256</v>
          </cell>
          <cell r="B1182" t="str">
            <v>Profil demirler (i-u-t-omega)</v>
          </cell>
          <cell r="C1182" t="str">
            <v>KG</v>
          </cell>
          <cell r="D1182">
            <v>1877</v>
          </cell>
          <cell r="H1182">
            <v>495000</v>
          </cell>
        </row>
        <row r="1183">
          <cell r="A1183" t="str">
            <v>01.013</v>
          </cell>
          <cell r="B1183" t="str">
            <v>Duvarcı ustası</v>
          </cell>
          <cell r="C1183" t="str">
            <v>SA</v>
          </cell>
          <cell r="D1183">
            <v>6016</v>
          </cell>
          <cell r="H1183">
            <v>2359000</v>
          </cell>
        </row>
        <row r="1184">
          <cell r="A1184" t="str">
            <v>01.018</v>
          </cell>
          <cell r="B1184" t="str">
            <v>Sıcak demirci ustası</v>
          </cell>
          <cell r="C1184" t="str">
            <v>SA</v>
          </cell>
          <cell r="D1184">
            <v>6016</v>
          </cell>
          <cell r="H1184">
            <v>2359000</v>
          </cell>
        </row>
        <row r="1185">
          <cell r="A1185" t="str">
            <v>PLENTMİKS</v>
          </cell>
          <cell r="I1185">
            <v>9191476</v>
          </cell>
        </row>
        <row r="1186">
          <cell r="A1186" t="str">
            <v>ÖZEL-11</v>
          </cell>
          <cell r="B1186" t="str">
            <v>Yüksek performanslı (basınçla yapışan) soğuk yapışkan reflektif malzeme</v>
          </cell>
          <cell r="C1186" t="str">
            <v>M2</v>
          </cell>
          <cell r="I1186">
            <v>69123275.831022426</v>
          </cell>
        </row>
        <row r="1187">
          <cell r="A1187" t="str">
            <v>01.507/1</v>
          </cell>
          <cell r="B1187" t="str">
            <v>Birinci sınıf usta yardımcısı</v>
          </cell>
          <cell r="C1187" t="str">
            <v>SA</v>
          </cell>
          <cell r="I1187">
            <v>2004000</v>
          </cell>
        </row>
        <row r="1188">
          <cell r="A1188" t="str">
            <v>01.508/1</v>
          </cell>
          <cell r="B1188" t="str">
            <v>İkinci sınıf usta yardımcısı</v>
          </cell>
          <cell r="C1188" t="str">
            <v>SA</v>
          </cell>
          <cell r="I1188">
            <v>2004000</v>
          </cell>
        </row>
        <row r="1189">
          <cell r="A1189" t="str">
            <v>003.538/2</v>
          </cell>
          <cell r="B1189" t="str">
            <v>Kamyonun 1 saatlik ücreti (120 HP gücünde, 7 ton kapasiteli)</v>
          </cell>
          <cell r="C1189" t="str">
            <v>SA</v>
          </cell>
          <cell r="I1189">
            <v>37797264</v>
          </cell>
        </row>
        <row r="1190">
          <cell r="A1190" t="str">
            <v>TŞ-D10/A</v>
          </cell>
          <cell r="I1190">
            <v>41849167</v>
          </cell>
        </row>
        <row r="1191">
          <cell r="A1191" t="str">
            <v>TŞ-D20/B-1</v>
          </cell>
          <cell r="I1191">
            <v>14906750</v>
          </cell>
        </row>
        <row r="1192">
          <cell r="A1192" t="str">
            <v>TŞ-D22</v>
          </cell>
          <cell r="I1192">
            <v>2605440</v>
          </cell>
        </row>
        <row r="1193">
          <cell r="A1193" t="str">
            <v>TŞ-D23/A</v>
          </cell>
        </row>
        <row r="1194">
          <cell r="A1194" t="str">
            <v>TŞ-D24/2</v>
          </cell>
          <cell r="B1194" t="str">
            <v>Levhaya tam reflektif malzeme yapıştırılması (reflektif malzeme dahil, yüksek performanslı)</v>
          </cell>
          <cell r="C1194" t="str">
            <v>M2</v>
          </cell>
          <cell r="I1194">
            <v>155519526</v>
          </cell>
        </row>
        <row r="1195">
          <cell r="A1195" t="str">
            <v>TŞ-D27</v>
          </cell>
          <cell r="I1195">
            <v>2428121865</v>
          </cell>
        </row>
        <row r="1196">
          <cell r="A1196" t="str">
            <v>TŞ-D30</v>
          </cell>
          <cell r="I1196">
            <v>33329167</v>
          </cell>
        </row>
      </sheetData>
      <sheetData sheetId="1"/>
      <sheetData sheetId="2"/>
      <sheetData sheetId="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21-193"/>
      <sheetName val="Sıralı Akım"/>
      <sheetName val="Grafik1"/>
      <sheetName val="Kor21-193 ve UzundalGöleti"/>
    </sheetNames>
    <sheetDataSet>
      <sheetData sheetId="0">
        <row r="8">
          <cell r="F8" t="str">
            <v>518,1</v>
          </cell>
        </row>
      </sheetData>
      <sheetData sheetId="1"/>
      <sheetData sheetId="2"/>
      <sheetData sheetId="3" refreshError="1"/>
      <sheetData sheetId="4"/>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Sediment-O"/>
      <sheetName val="Sediment-T"/>
    </sheetNames>
    <sheetDataSet>
      <sheetData sheetId="0">
        <row r="13">
          <cell r="C13">
            <v>0.2</v>
          </cell>
        </row>
        <row r="17">
          <cell r="C17">
            <v>3.9100000000000003E-2</v>
          </cell>
        </row>
        <row r="18">
          <cell r="C18">
            <v>0.76910000000000001</v>
          </cell>
        </row>
        <row r="22">
          <cell r="C22">
            <v>6.2106000000000003</v>
          </cell>
        </row>
        <row r="23">
          <cell r="C23">
            <v>1.3605</v>
          </cell>
        </row>
      </sheetData>
      <sheetData sheetId="1" refreshError="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DEFTER"/>
      <sheetName val="NAKLİYE"/>
      <sheetName val="ZAM TARİHLERİ"/>
      <sheetName val="Üst Yapı"/>
    </sheetNames>
    <sheetDataSet>
      <sheetData sheetId="0"/>
      <sheetData sheetId="1"/>
      <sheetData sheetId="2"/>
      <sheetData sheetId="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yfa1"/>
      <sheetName val="sera CIKTI"/>
      <sheetName val="tarla CIKTI"/>
      <sheetName val="Tablo -1"/>
      <sheetName val="Tablo-2-3"/>
      <sheetName val="Tablo-2-3 (2)"/>
      <sheetName val="Tablo -4 "/>
      <sheetName val="Sayfa3"/>
      <sheetName val="T-5 PAL-ÇAV-OVA SULAMA"/>
      <sheetName val="Tablo3.44"/>
      <sheetName val="Tablo3.45"/>
      <sheetName val="Tablo3.46"/>
      <sheetName val="Tablo3.37"/>
      <sheetName val="Tablo 3.36"/>
      <sheetName val="Tablo3.42"/>
      <sheetName val="Tablo3.43"/>
      <sheetName val="Tablo 3.3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L BILGI"/>
      <sheetName val="BF_LISTESI"/>
      <sheetName val="ANALIZ 2003"/>
      <sheetName val="Sayfa1"/>
      <sheetName val="ANALIZ 2004"/>
      <sheetName val="Sheet1"/>
      <sheetName val="Sheet3"/>
      <sheetName val="BF_LISTESI (2)"/>
      <sheetName val="TCK&amp;Rayic2004_BeyazKitap"/>
      <sheetName val="RayicVeTCK2004F_YANLIS"/>
      <sheetName val="Sayfa2"/>
      <sheetName val="Sayfa3"/>
    </sheetNames>
    <sheetDataSet>
      <sheetData sheetId="0" refreshError="1"/>
      <sheetData sheetId="1" refreshError="1"/>
      <sheetData sheetId="2"/>
      <sheetData sheetId="3" refreshError="1">
        <row r="4">
          <cell r="B4" t="str">
            <v>ANALİZİN ADI:</v>
          </cell>
          <cell r="F4" t="str">
            <v>ÖLÇÜ</v>
          </cell>
        </row>
        <row r="5">
          <cell r="B5" t="str">
            <v xml:space="preserve">Ocak Taşından İst.Tiplerde Konkasörle kırılmış ve elenmiş asfalt mıcırı temini </v>
          </cell>
          <cell r="F5" t="str">
            <v>m3</v>
          </cell>
        </row>
        <row r="7">
          <cell r="B7" t="str">
            <v>2004 YILI BİRİM FİYATLARIYLA</v>
          </cell>
        </row>
        <row r="8">
          <cell r="B8" t="str">
            <v>Cinsi</v>
          </cell>
          <cell r="C8" t="str">
            <v>Birim</v>
          </cell>
          <cell r="D8" t="str">
            <v>Miktarı</v>
          </cell>
          <cell r="E8" t="str">
            <v>Birim Fiyat</v>
          </cell>
          <cell r="F8" t="str">
            <v>Tutar</v>
          </cell>
        </row>
        <row r="10">
          <cell r="B10" t="str">
            <v>Ocak taşından ist.tiplerde konkasörle kırılmış ve elenmiş asfalt mıcırı temini ve yıkanması</v>
          </cell>
        </row>
        <row r="11">
          <cell r="C11" t="str">
            <v>m3</v>
          </cell>
          <cell r="D11">
            <v>1</v>
          </cell>
          <cell r="E11">
            <v>18817880</v>
          </cell>
          <cell r="F11">
            <v>18817880</v>
          </cell>
        </row>
        <row r="14">
          <cell r="B14" t="str">
            <v>AGREGANIN YIKANMASI KARŞILIĞI:</v>
          </cell>
        </row>
        <row r="15">
          <cell r="B15" t="str">
            <v>Makinaya Yükleme ve Makine Altından Alıp Depoya Boşaltılma Karşılığı:</v>
          </cell>
        </row>
        <row r="18">
          <cell r="B18" t="str">
            <v>1 saat.last.tek.yük.üc.(1 1/2 yd3 ve 5500 lib.taş.güçlü, takriben 80 dHP muadili)</v>
          </cell>
          <cell r="C18" t="str">
            <v>SA</v>
          </cell>
          <cell r="D18">
            <v>0.02</v>
          </cell>
          <cell r="E18">
            <v>25282888</v>
          </cell>
          <cell r="F18">
            <v>-505657.76</v>
          </cell>
        </row>
        <row r="21">
          <cell r="B21" t="str">
            <v>Yıkama Karşılığı:</v>
          </cell>
        </row>
        <row r="22">
          <cell r="B22" t="str">
            <v>1 Saatlik yıkama makinası ücreti (Takriben 30 HP gücünde, saatte ortalama 25 m3 kapasiteli)</v>
          </cell>
          <cell r="C22" t="str">
            <v>SA</v>
          </cell>
          <cell r="D22">
            <v>0.04</v>
          </cell>
          <cell r="E22">
            <v>14548765</v>
          </cell>
          <cell r="F22">
            <v>-581950.6</v>
          </cell>
        </row>
        <row r="25">
          <cell r="B25" t="str">
            <v>Suyun Temini, Ortalama 150 m. Mesafeye Kadar Taşınması ve Yıkama Makinesine Verilmesi Karşılığı:</v>
          </cell>
        </row>
        <row r="27">
          <cell r="B27" t="str">
            <v>1 saatlik motorlu tulumba ücreti (20 ps.)</v>
          </cell>
          <cell r="C27" t="str">
            <v>SA</v>
          </cell>
          <cell r="D27">
            <v>0.03</v>
          </cell>
          <cell r="E27">
            <v>6484872</v>
          </cell>
          <cell r="F27">
            <v>-194546.16</v>
          </cell>
        </row>
        <row r="29">
          <cell r="B29" t="str">
            <v>YIKAMA MAKİNASINA SU TAŞINMASI KARŞILIĞI:</v>
          </cell>
        </row>
        <row r="30">
          <cell r="B30" t="str">
            <v>Yıkama Makinasına Su Nakli</v>
          </cell>
          <cell r="C30" t="str">
            <v>TN</v>
          </cell>
          <cell r="D30">
            <v>1</v>
          </cell>
          <cell r="E30">
            <v>2016000</v>
          </cell>
          <cell r="F30">
            <v>-2016000</v>
          </cell>
        </row>
        <row r="31">
          <cell r="B31" t="str">
            <v>F=K x (0,0007 x M + 0,01)</v>
          </cell>
        </row>
        <row r="32">
          <cell r="B32" t="str">
            <v>M=20 Km.</v>
          </cell>
        </row>
        <row r="36">
          <cell r="B36" t="str">
            <v>NOT : TAŞIN OCAKTAN KONKASÖRE NAKLİ VE AGREGANIN KONKASÖRDEN ŞANTİYEYE SAHASINA  (PLENT SAHASINA) NAKLİ  ÖDENMEYECEKTİR.</v>
          </cell>
        </row>
        <row r="47">
          <cell r="B47" t="str">
            <v xml:space="preserve">T O P L A M </v>
          </cell>
          <cell r="F47">
            <v>15519725.479999997</v>
          </cell>
        </row>
        <row r="48">
          <cell r="B48" t="str">
            <v>%25 Yüklenici karı ve genel giderler :</v>
          </cell>
          <cell r="F48">
            <v>3879931</v>
          </cell>
        </row>
        <row r="49">
          <cell r="B49" t="str">
            <v xml:space="preserve">2004 YILI FİYATI (Kar ve genel giderler dahil 1 M3 fiyatı)  (TL) </v>
          </cell>
          <cell r="F49">
            <v>19399656</v>
          </cell>
        </row>
        <row r="50">
          <cell r="B50" t="str">
            <v>2005 YILI FİYATI (Kar ve genel giderler dahil 1 M3 fiyatı)(YTL)(8403,8/7382,1=%13,84)</v>
          </cell>
          <cell r="F50">
            <v>22.08</v>
          </cell>
        </row>
        <row r="51">
          <cell r="B51" t="str">
            <v>İşin Keşif bedeli</v>
          </cell>
          <cell r="C51">
            <v>465330</v>
          </cell>
          <cell r="D51" t="str">
            <v>YTL</v>
          </cell>
        </row>
        <row r="52">
          <cell r="B52" t="str">
            <v>İşin sözleşme bedeli</v>
          </cell>
          <cell r="C52">
            <v>252640</v>
          </cell>
          <cell r="D52" t="str">
            <v>YTL</v>
          </cell>
        </row>
        <row r="53">
          <cell r="B53" t="str">
            <v>İşin tenzilatı(1-işin sözleşme bedeli/İşin keşfi)</v>
          </cell>
          <cell r="D53">
            <v>0.45707347473835769</v>
          </cell>
        </row>
        <row r="54">
          <cell r="B54" t="str">
            <v>İş kaleminin sözleşme bedeli(YTL)</v>
          </cell>
          <cell r="F54">
            <v>10.092182322222937</v>
          </cell>
        </row>
        <row r="55">
          <cell r="B55" t="str">
            <v xml:space="preserve">DÜZENLEYEN </v>
          </cell>
          <cell r="C55" t="str">
            <v>KONTROL EDEN</v>
          </cell>
          <cell r="E55" t="str">
            <v>ONAYLAYAN</v>
          </cell>
        </row>
        <row r="56">
          <cell r="B56">
            <v>38539</v>
          </cell>
          <cell r="C56">
            <v>38539</v>
          </cell>
          <cell r="E56">
            <v>38539</v>
          </cell>
        </row>
        <row r="64">
          <cell r="B64" t="str">
            <v>Muzaffer Oktay</v>
          </cell>
          <cell r="C64" t="str">
            <v>Kenan KESKİN</v>
          </cell>
          <cell r="E64" t="str">
            <v>Şemsettin ZEREN</v>
          </cell>
        </row>
        <row r="65">
          <cell r="B65" t="str">
            <v>Kontrol Şefi</v>
          </cell>
          <cell r="C65" t="str">
            <v>Asfalt Başmüh.</v>
          </cell>
          <cell r="E65" t="str">
            <v>BÖLGE MÜDÜRÜ YRD.</v>
          </cell>
        </row>
      </sheetData>
      <sheetData sheetId="4"/>
      <sheetData sheetId="5"/>
      <sheetData sheetId="6"/>
      <sheetData sheetId="7"/>
      <sheetData sheetId="8"/>
      <sheetData sheetId="9"/>
      <sheetData sheetId="10"/>
      <sheetData sheetId="1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ÇIKLAMALAR"/>
      <sheetName val="Muay.ArçSay.2001"/>
      <sheetName val="Tesc.ArçSay.2001"/>
      <sheetName val="Yıllara Göre Muay Sonuç."/>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7"/>
      <sheetName val="48"/>
      <sheetName val="49"/>
      <sheetName val="50"/>
      <sheetName val="51"/>
      <sheetName val="52"/>
      <sheetName val="53"/>
      <sheetName val="54"/>
      <sheetName val="55"/>
      <sheetName val="5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5">
          <cell r="F5" t="str">
            <v>BOYA</v>
          </cell>
        </row>
      </sheetData>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BASLIKLAR"/>
      <sheetName val="OZET"/>
      <sheetName val="ANALIZ"/>
      <sheetName val="YA_OZ"/>
    </sheetNames>
    <sheetDataSet>
      <sheetData sheetId="0" refreshError="1">
        <row r="5">
          <cell r="B5">
            <v>4.38</v>
          </cell>
          <cell r="C5">
            <v>6397</v>
          </cell>
          <cell r="D5">
            <v>27962.82228</v>
          </cell>
        </row>
        <row r="6">
          <cell r="B6">
            <v>22.9</v>
          </cell>
          <cell r="C6">
            <v>11</v>
          </cell>
          <cell r="D6">
            <v>251.39619999999996</v>
          </cell>
        </row>
        <row r="7">
          <cell r="D7">
            <v>28214.21848</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gir"/>
      <sheetName val="CIKTI"/>
      <sheetName val="ÖZET"/>
      <sheetName val="Sayfa2"/>
    </sheetNames>
    <sheetDataSet>
      <sheetData sheetId="0"/>
      <sheetData sheetId="1"/>
      <sheetData sheetId="2" refreshError="1"/>
      <sheetData sheetId="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gir"/>
      <sheetName val="CIKTI"/>
      <sheetName val="S ve Y"/>
      <sheetName val="FAO"/>
      <sheetName val="KAR"/>
      <sheetName val="FAO P_M (2)"/>
    </sheetNames>
    <sheetDataSet>
      <sheetData sheetId="0" refreshError="1"/>
      <sheetData sheetId="1"/>
      <sheetData sheetId="2" refreshError="1"/>
      <sheetData sheetId="3" refreshError="1"/>
      <sheetData sheetId="4" refreshError="1"/>
      <sheetData sheetId="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1"/>
      <sheetName val="İ2"/>
      <sheetName val="İ3"/>
      <sheetName val="İ4"/>
      <sheetName val="İ5"/>
      <sheetName val="İ6"/>
      <sheetName val="İ7"/>
      <sheetName val="İ8"/>
      <sheetName val="İ9-1A"/>
      <sheetName val="İ9-1B"/>
      <sheetName val="İ9-2A"/>
      <sheetName val="İ9-2B"/>
      <sheetName val="İ9-3A"/>
      <sheetName val="İ9-3B"/>
      <sheetName val="İ9-4A"/>
      <sheetName val="İ9-4B"/>
      <sheetName val="İ9-4.1A"/>
      <sheetName val="İ9-4.1B"/>
      <sheetName val="İ9-4.2A"/>
      <sheetName val="İ9-4.2B"/>
      <sheetName val="İ9-4.3A"/>
      <sheetName val="İ9-4.3B"/>
      <sheetName val="İ9-4.4A"/>
      <sheetName val="İ9-4.4B"/>
      <sheetName val="İ9-4.5A"/>
      <sheetName val="İ9-4.5B"/>
      <sheetName val="İ9-4.6A"/>
      <sheetName val="İ9-4.6B"/>
      <sheetName val="İ9-4.7A"/>
      <sheetName val="İ9-4.7B"/>
      <sheetName val="İ9-4.8A"/>
      <sheetName val="İ9-4.8B"/>
      <sheetName val="İ9-4.9A"/>
      <sheetName val="İ9-4.9B"/>
      <sheetName val="İ9-4.10A"/>
      <sheetName val="İ9-4.10B  "/>
      <sheetName val="İ9-4.11A"/>
      <sheetName val="İ9-4.11B"/>
      <sheetName val="İ9-4.12A"/>
      <sheetName val="İ9-4.12B"/>
      <sheetName val="İ9-4.13A"/>
      <sheetName val="İ9-4.13B"/>
      <sheetName val="İ9-5A"/>
      <sheetName val="İ9-5B"/>
      <sheetName val="İ9-5.1A"/>
      <sheetName val="İ9-5.1B"/>
      <sheetName val="İ9-5.2A"/>
      <sheetName val="İ9-5.2B"/>
      <sheetName val="İ9-5.3A"/>
      <sheetName val="İ9-5.3B"/>
      <sheetName val="İ9-5.4A"/>
      <sheetName val="İ9-5.4B"/>
      <sheetName val="İ9-5.5A"/>
      <sheetName val="İ9-5.5B"/>
      <sheetName val="İ9-5.6A"/>
      <sheetName val="İ9-5.6B"/>
      <sheetName val="İ9-5.7A"/>
      <sheetName val="İ9-5.7B"/>
      <sheetName val="İ9-5.8A"/>
      <sheetName val="İ9-5.8B"/>
      <sheetName val="İ9-5.9A"/>
      <sheetName val="İ9-5.9B"/>
      <sheetName val="İ9-6A"/>
      <sheetName val="İ9-6B"/>
      <sheetName val="İ9-6.1A"/>
      <sheetName val="İ9-6.1B"/>
      <sheetName val="İ9-6.2A"/>
      <sheetName val="İ9-6.2B"/>
      <sheetName val="İ9-6.3A"/>
      <sheetName val="İ9-6.3B"/>
      <sheetName val="İ9-6.4A"/>
      <sheetName val="İ9-6.4B"/>
      <sheetName val="İ9-7A"/>
      <sheetName val="İ9-7B"/>
      <sheetName val="İ9-7.1A"/>
      <sheetName val="İ9-7.1B"/>
      <sheetName val="İ9-7.2A"/>
      <sheetName val="İ9-7.2B"/>
      <sheetName val="İ10-1"/>
      <sheetName val="İ10-2"/>
      <sheetName val="İ10-4"/>
      <sheetName val="İ10-3"/>
      <sheetName val="İ10-4.1"/>
      <sheetName val="İ10-4.2"/>
      <sheetName val="İ10-4.3"/>
      <sheetName val="İ10-4.4"/>
      <sheetName val="İ10-4.5"/>
      <sheetName val="İ10-4.6"/>
      <sheetName val="İ10-4.7"/>
      <sheetName val="İ10-4.8"/>
      <sheetName val="İ10-4.9"/>
      <sheetName val="İ10-4.10"/>
      <sheetName val="İ10-4.11"/>
      <sheetName val="İ10-4.12"/>
      <sheetName val="İ10-4.13"/>
      <sheetName val="İ10-5"/>
      <sheetName val="İ10-5.1"/>
      <sheetName val="İ10-5.2"/>
      <sheetName val="İ10-5.3"/>
      <sheetName val="İ10-5.4"/>
      <sheetName val="İ10-5.5A"/>
      <sheetName val="İ10-5.5B"/>
      <sheetName val="İ10-5.6A"/>
      <sheetName val="İ10-5.6B"/>
      <sheetName val="İ10-5.7"/>
      <sheetName val="İ10-5.8"/>
      <sheetName val="İ10-5.9"/>
      <sheetName val="İ10-6"/>
      <sheetName val="İ10-6.1"/>
      <sheetName val="İ10-6.2"/>
      <sheetName val="İ10-6.3"/>
      <sheetName val="İ10-6.4"/>
      <sheetName val="İ10-7"/>
      <sheetName val="İ10-7.1"/>
      <sheetName val="İ10-7.2"/>
      <sheetName val="İ11"/>
      <sheetName val="İ12"/>
      <sheetName val="İ13-1.1"/>
      <sheetName val="İ13-1.2"/>
      <sheetName val="İ13-1.3"/>
      <sheetName val="İ13-2.1"/>
      <sheetName val="İ13-2.2"/>
      <sheetName val="İ13-2.3"/>
      <sheetName val="İ13-3"/>
      <sheetName val="İ13-4.1"/>
      <sheetName val="İ13-4.2"/>
      <sheetName val="İ13-4.3"/>
      <sheetName val="İ13-5A"/>
      <sheetName val="İ13-5B"/>
      <sheetName val="İ13-5.1"/>
      <sheetName val="İ13-5.2"/>
      <sheetName val="İ13-5.3"/>
      <sheetName val="İ13-5.4"/>
      <sheetName val="İ13-5.5"/>
      <sheetName val="İ13-5.6"/>
      <sheetName val="İ13-5.7"/>
      <sheetName val="İ13-5.8"/>
      <sheetName val="İ13-5.9"/>
      <sheetName val="İ13-5.10"/>
      <sheetName val="İ13-5.11"/>
      <sheetName val="İ13-5.12"/>
      <sheetName val="İ13-5.13"/>
      <sheetName val="İ13-6.1"/>
      <sheetName val="İ13-6.2"/>
      <sheetName val="İ13-6.3"/>
      <sheetName val="İ13-7A"/>
      <sheetName val="İ13-7B"/>
      <sheetName val="İ13-7.1"/>
      <sheetName val="İ13-7.2"/>
      <sheetName val="İ13-7.3"/>
      <sheetName val="İ13-7.4"/>
      <sheetName val="İ13-7.5"/>
      <sheetName val="İ13-7.6"/>
      <sheetName val="İ13-7.7"/>
      <sheetName val="İ13-7.8"/>
      <sheetName val="İ13.7.9"/>
      <sheetName val="İ13-8.1"/>
      <sheetName val="İ13-8.2"/>
      <sheetName val="İ13-8.3"/>
      <sheetName val="İ13-9A"/>
      <sheetName val="İ13-9B"/>
      <sheetName val="İ13-9.1A"/>
      <sheetName val="İ13-9.1B"/>
      <sheetName val="İ13-9.2A"/>
      <sheetName val="İ13-9.2B"/>
      <sheetName val="İ13-9.3A"/>
      <sheetName val="İ13-9.3B"/>
      <sheetName val="İ13-9.4"/>
      <sheetName val="İ13-10.1"/>
      <sheetName val="İ13-10.2"/>
      <sheetName val="İ13-10.3"/>
      <sheetName val="İ13-11A"/>
      <sheetName val="İ13-11B"/>
      <sheetName val="İ13-11.1A"/>
      <sheetName val="İ13-11.1B"/>
      <sheetName val="İ13-11.2"/>
      <sheetName val="İ13-12"/>
      <sheetName val="İ14"/>
      <sheetName val="Şekil 3.İ1_"/>
      <sheetName val="Şİ2-1.1"/>
      <sheetName val="Şİ2-1.2"/>
      <sheetName val="Şİ2-2.1"/>
      <sheetName val="Şİ2-2.2"/>
      <sheetName val="Şİ2-3"/>
      <sheetName val="Şİ2-4.1"/>
      <sheetName val="Şİ2-4.2"/>
      <sheetName val="Şİ2-5"/>
      <sheetName val="Şİ2-5.1"/>
      <sheetName val="Şİ2-5.2"/>
      <sheetName val="Şİ2-5.3"/>
      <sheetName val="Şİ2-5.4"/>
      <sheetName val="Şİ2-5.5"/>
      <sheetName val="Şİ2-5.6"/>
      <sheetName val="Şİ2-5.7"/>
      <sheetName val="Şİ2-5.8"/>
      <sheetName val="Şİ2-5.9"/>
      <sheetName val="Şİ2-5.10"/>
      <sheetName val="Şİ2-5.11"/>
      <sheetName val="Şİ2-5.12"/>
      <sheetName val="Şİ2-5.13"/>
      <sheetName val="Şİ2-6.1"/>
      <sheetName val="Şİ2-6.2"/>
      <sheetName val="Şİ2-7"/>
      <sheetName val="Şİ2-7.1"/>
      <sheetName val="Şİ2-7.2"/>
      <sheetName val="Şİ2-7.3"/>
      <sheetName val="Şİ2-7.4"/>
      <sheetName val="Şİ2-7.5"/>
      <sheetName val="Şİ2-7.6"/>
      <sheetName val="Şİ2-7.7"/>
      <sheetName val="Şİ2-7.8"/>
      <sheetName val="Şİ2-7.9"/>
      <sheetName val="Şİ2-8.1"/>
      <sheetName val="Şİ2-8.2"/>
      <sheetName val="Şİ2-9"/>
      <sheetName val="Şİ2-9.1"/>
      <sheetName val="Şİ2-9.2"/>
      <sheetName val="Şİ2-9.4"/>
      <sheetName val="Şİ2-9.3"/>
      <sheetName val="Şİ2-10.1"/>
      <sheetName val="Şİ2-10.2"/>
      <sheetName val="Şİ2-11"/>
      <sheetName val="Şİ2-11.1"/>
      <sheetName val="Şİ2-11.2"/>
      <sheetName val="Şİ2-12"/>
      <sheetName val="Ş3.i3-1"/>
      <sheetName val="Ş3.i3-2"/>
      <sheetName val="Ş3.i3-3"/>
      <sheetName val="Ş3.i3-4"/>
      <sheetName val="Ş3.i3-5"/>
      <sheetName val="Ş3.i3-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6">
          <cell r="B6">
            <v>3.07218382601424</v>
          </cell>
        </row>
        <row r="7">
          <cell r="B7">
            <v>6.6349088851570936</v>
          </cell>
        </row>
        <row r="8">
          <cell r="B8">
            <v>9.6686128200125179</v>
          </cell>
        </row>
        <row r="9">
          <cell r="B9">
            <v>14.097663290432866</v>
          </cell>
        </row>
        <row r="10">
          <cell r="B10">
            <v>17.736267355895937</v>
          </cell>
        </row>
        <row r="11">
          <cell r="B11">
            <v>21.596187960323299</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OLAR"/>
      <sheetName val="1-A"/>
      <sheetName val="1-B"/>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6"/>
      <sheetName val="47"/>
      <sheetName val="48"/>
      <sheetName val="49"/>
      <sheetName val="50"/>
      <sheetName val="51"/>
      <sheetName val="52"/>
      <sheetName val="53"/>
      <sheetName val="54"/>
      <sheetName val="55"/>
      <sheetName val="56"/>
      <sheetName val="57"/>
      <sheetName val="58"/>
      <sheetName val="59"/>
      <sheetName val="60"/>
      <sheetName val="61"/>
      <sheetName val="62"/>
      <sheetName val="63"/>
      <sheetName val="64"/>
      <sheetName val="65"/>
      <sheetName val="66"/>
      <sheetName val="67"/>
      <sheetName val="68"/>
      <sheetName val="69"/>
      <sheetName val="70."/>
      <sheetName val="71."/>
      <sheetName val="72"/>
      <sheetName val="73"/>
      <sheetName val="74"/>
      <sheetName val="75"/>
      <sheetName val="76"/>
      <sheetName val="77"/>
      <sheetName val="78."/>
      <sheetName val="79."/>
      <sheetName val="80."/>
      <sheetName val="81."/>
      <sheetName val="82."/>
      <sheetName val="83."/>
      <sheetName val="84"/>
      <sheetName val="85"/>
      <sheetName val="86"/>
      <sheetName val="87"/>
      <sheetName val="88"/>
      <sheetName val="89"/>
      <sheetName val="90"/>
      <sheetName val="91"/>
      <sheetName val="92"/>
      <sheetName val="93"/>
      <sheetName val="94"/>
      <sheetName val="95"/>
      <sheetName val="96"/>
      <sheetName val="97"/>
      <sheetName val="98"/>
      <sheetName val="99"/>
      <sheetName val="100"/>
      <sheetName val="101"/>
      <sheetName val="102"/>
      <sheetName val="103"/>
      <sheetName val="104"/>
      <sheetName val="105"/>
      <sheetName val="106"/>
      <sheetName val="107"/>
      <sheetName val="108_"/>
      <sheetName val="109_"/>
      <sheetName val="110_"/>
      <sheetName val="111_"/>
      <sheetName val="124"/>
      <sheetName val="125"/>
      <sheetName val="126"/>
      <sheetName val="127"/>
      <sheetName val="128"/>
      <sheetName val="112.baz"/>
      <sheetName val="129-1A"/>
      <sheetName val="129-1B"/>
      <sheetName val="129-2A"/>
      <sheetName val="129-2B"/>
      <sheetName val="129-3A"/>
      <sheetName val="129-3B"/>
      <sheetName val="129-4A"/>
      <sheetName val="129-4B"/>
      <sheetName val="129-5A"/>
      <sheetName val="129-5B"/>
      <sheetName val="129-6A"/>
      <sheetName val="129-6B"/>
      <sheetName val="129-7A"/>
      <sheetName val="129-7B"/>
      <sheetName val="129-8A"/>
      <sheetName val="129-8B"/>
      <sheetName val="129-9A"/>
      <sheetName val="129-9B"/>
      <sheetName val="129-10A"/>
      <sheetName val="129-10B"/>
      <sheetName val="129-11A"/>
      <sheetName val="129-11B"/>
      <sheetName val="129-12A"/>
      <sheetName val="129-12B"/>
      <sheetName val="129-13A"/>
      <sheetName val="129-13B"/>
      <sheetName val="129-14A"/>
      <sheetName val="129-14B"/>
      <sheetName val="129-15A"/>
      <sheetName val="129-15B"/>
      <sheetName val="129-16A"/>
      <sheetName val="129-16B"/>
      <sheetName val="129-17A"/>
      <sheetName val="129-17B"/>
      <sheetName val="129-18A"/>
      <sheetName val="129-18B"/>
      <sheetName val="129-19A"/>
      <sheetName val="129-19B"/>
      <sheetName val="129-20A"/>
      <sheetName val="129-20B"/>
      <sheetName val="130-1"/>
      <sheetName val="130-2"/>
      <sheetName val="130-3"/>
      <sheetName val="130-4"/>
      <sheetName val="130-5"/>
      <sheetName val="130-6"/>
      <sheetName val="130-7"/>
      <sheetName val="130-8"/>
      <sheetName val="130-9"/>
      <sheetName val="130-10"/>
      <sheetName val="130-11"/>
      <sheetName val="130-12"/>
      <sheetName val="130-13"/>
      <sheetName val="130-14"/>
      <sheetName val="130-15"/>
      <sheetName val="130-16"/>
      <sheetName val="130-17"/>
      <sheetName val="130-18"/>
      <sheetName val="130-19"/>
      <sheetName val="130-20"/>
      <sheetName val="131"/>
      <sheetName val="Şekil 3.11"/>
      <sheetName val="T 3.161"/>
      <sheetName val="132-1A"/>
      <sheetName val="132-1B"/>
      <sheetName val="132-1C"/>
      <sheetName val="132-2A"/>
      <sheetName val="132-2B"/>
      <sheetName val="132_2C"/>
      <sheetName val="132-3A"/>
      <sheetName val="132-3B"/>
      <sheetName val="132-3C"/>
      <sheetName val="132-4"/>
      <sheetName val="132-5A"/>
      <sheetName val="132-5B"/>
      <sheetName val="132-6A"/>
      <sheetName val="132-6B"/>
      <sheetName val="132-7"/>
      <sheetName val="132-8A"/>
      <sheetName val="132-8B"/>
      <sheetName val="132-9A"/>
      <sheetName val="132-9B.1"/>
      <sheetName val="132-9B.2"/>
      <sheetName val="132-9C"/>
      <sheetName val="132-10"/>
      <sheetName val="132-11A"/>
      <sheetName val="132-11B"/>
      <sheetName val="132-12"/>
      <sheetName val="132-13A"/>
      <sheetName val="132-13B"/>
      <sheetName val="132-14A"/>
      <sheetName val="132-14B"/>
      <sheetName val="132-14C"/>
      <sheetName val="132-15A"/>
      <sheetName val="132-15B"/>
      <sheetName val="132-15.1A"/>
      <sheetName val="132-15.1B"/>
      <sheetName val="132-15.2A"/>
      <sheetName val="132-15.2B"/>
      <sheetName val="132-15.3A"/>
      <sheetName val="132-15.3B"/>
      <sheetName val="132-15.4A"/>
      <sheetName val="132-15.4B"/>
      <sheetName val="132-15.5"/>
      <sheetName val="132-16A"/>
      <sheetName val="132-16B"/>
      <sheetName val="132-17A"/>
      <sheetName val="132-17B"/>
      <sheetName val="132-17.1A"/>
      <sheetName val="132-17.1B"/>
      <sheetName val="132-17.2A"/>
      <sheetName val="132-17.2B"/>
      <sheetName val="132-17.3"/>
      <sheetName val="132-18"/>
      <sheetName val="107.3"/>
      <sheetName val="107.4"/>
      <sheetName val="107.5"/>
      <sheetName val="107.6"/>
      <sheetName val="107.7"/>
      <sheetName val="111.3"/>
      <sheetName val="111.4"/>
      <sheetName val="111.5"/>
      <sheetName val="111.6"/>
      <sheetName val="111.7"/>
      <sheetName val="267."/>
      <sheetName val="OZ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ow r="6">
          <cell r="B6">
            <v>3.9773736955176813</v>
          </cell>
        </row>
      </sheetData>
      <sheetData sheetId="121"/>
      <sheetData sheetId="122">
        <row r="6">
          <cell r="B6">
            <v>2.4625952435977667</v>
          </cell>
        </row>
        <row r="7">
          <cell r="B7">
            <v>5.8044009615512451</v>
          </cell>
        </row>
        <row r="8">
          <cell r="B8">
            <v>8.8819357565390451</v>
          </cell>
        </row>
        <row r="9">
          <cell r="B9">
            <v>13.763571644569428</v>
          </cell>
        </row>
        <row r="10">
          <cell r="B10">
            <v>18.132183560943897</v>
          </cell>
        </row>
        <row r="11">
          <cell r="B11">
            <v>23.123580906451984</v>
          </cell>
        </row>
        <row r="12">
          <cell r="B12">
            <v>32.978799350191736</v>
          </cell>
        </row>
        <row r="13">
          <cell r="B13">
            <v>37.222809604865795</v>
          </cell>
        </row>
      </sheetData>
      <sheetData sheetId="123"/>
      <sheetData sheetId="124">
        <row r="6">
          <cell r="C6">
            <v>9.8214508684331303</v>
          </cell>
        </row>
      </sheetData>
      <sheetData sheetId="125"/>
      <sheetData sheetId="126">
        <row r="6">
          <cell r="D6">
            <v>8.6761983949032331</v>
          </cell>
        </row>
      </sheetData>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s>
    <sheetDataSet>
      <sheetData sheetId="0"/>
      <sheetData sheetId="1"/>
      <sheetData sheetId="2"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s>
    <sheetDataSet>
      <sheetData sheetId="0"/>
      <sheetData sheetId="1"/>
      <sheetData sheetId="2"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_02"/>
      <sheetName val="SulMvc"/>
      <sheetName val="Derive-Mvc"/>
      <sheetName val="(Sul&amp;Duz.Derive)Mvc"/>
      <sheetName val="(Sul&amp;Duz.Derive)Mvc.Duz"/>
      <sheetName val="Derive-Duz.Mvc"/>
      <sheetName val="Sul-Duz.Mvc"/>
      <sheetName val="Kontrol (2)"/>
      <sheetName val="Kontrol"/>
      <sheetName val="Dogallastirma"/>
      <sheetName val="Sul_Pln"/>
      <sheetName val="TopSuKul_Pln"/>
      <sheetName val="Birim"/>
      <sheetName val="CiftKutle"/>
    </sheetNames>
    <sheetDataSet>
      <sheetData sheetId="0"/>
      <sheetData sheetId="1">
        <row r="6">
          <cell r="Q6">
            <v>0.15</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YDARI"/>
      <sheetName val="EX"/>
      <sheetName val="HADDAD_4RES (2)"/>
      <sheetName val="ver1"/>
      <sheetName val="ver2"/>
      <sheetName val="ver2 t1"/>
      <sheetName val="ver2 t2"/>
      <sheetName val="ver3"/>
      <sheetName val="ver3 TEZ"/>
      <sheetName val="ver3 TEZ (2)"/>
      <sheetName val="ver4"/>
      <sheetName val="ver5"/>
      <sheetName val="MATLAB_HYD_EX"/>
      <sheetName val="ver6"/>
      <sheetName val="Alparslan 1"/>
      <sheetName val="Yazıcı"/>
      <sheetName val="Patnos"/>
      <sheetName val="exam"/>
      <sheetName val="CURVE"/>
    </sheetNames>
    <sheetDataSet>
      <sheetData sheetId="0" refreshError="1"/>
      <sheetData sheetId="1" refreshError="1"/>
      <sheetData sheetId="2" refreshError="1"/>
      <sheetData sheetId="3">
        <row r="7">
          <cell r="K7">
            <v>204</v>
          </cell>
          <cell r="O7">
            <v>0</v>
          </cell>
          <cell r="Q7">
            <v>200</v>
          </cell>
        </row>
        <row r="8">
          <cell r="O8">
            <v>0</v>
          </cell>
        </row>
        <row r="14">
          <cell r="C14">
            <v>0</v>
          </cell>
          <cell r="E14">
            <v>200</v>
          </cell>
          <cell r="G14">
            <v>0</v>
          </cell>
          <cell r="K14">
            <v>90.909091578384874</v>
          </cell>
          <cell r="O14">
            <v>0</v>
          </cell>
          <cell r="Q14">
            <v>50</v>
          </cell>
        </row>
        <row r="15">
          <cell r="C15">
            <v>0</v>
          </cell>
          <cell r="O15">
            <v>0</v>
          </cell>
        </row>
        <row r="21">
          <cell r="I21">
            <v>90.909090853316414</v>
          </cell>
          <cell r="O21">
            <v>0</v>
          </cell>
          <cell r="Q21">
            <v>100</v>
          </cell>
        </row>
        <row r="22">
          <cell r="O22">
            <v>0</v>
          </cell>
        </row>
      </sheetData>
      <sheetData sheetId="4">
        <row r="8">
          <cell r="L8">
            <v>6.0000000000000044</v>
          </cell>
          <cell r="P8">
            <v>6</v>
          </cell>
          <cell r="R8">
            <v>220</v>
          </cell>
        </row>
        <row r="17">
          <cell r="C17">
            <v>2</v>
          </cell>
          <cell r="E17">
            <v>35</v>
          </cell>
          <cell r="H17">
            <v>2.0000000000000013</v>
          </cell>
          <cell r="L17">
            <v>6.1740146909017684</v>
          </cell>
          <cell r="P17">
            <v>6</v>
          </cell>
          <cell r="R17">
            <v>220</v>
          </cell>
        </row>
        <row r="26">
          <cell r="J26">
            <v>1159.9999999999995</v>
          </cell>
          <cell r="P26">
            <v>1160</v>
          </cell>
          <cell r="R26">
            <v>2900</v>
          </cell>
        </row>
      </sheetData>
      <sheetData sheetId="5" refreshError="1"/>
      <sheetData sheetId="6" refreshError="1"/>
      <sheetData sheetId="7">
        <row r="7">
          <cell r="L7">
            <v>5</v>
          </cell>
        </row>
      </sheetData>
      <sheetData sheetId="8" refreshError="1"/>
      <sheetData sheetId="9" refreshError="1"/>
      <sheetData sheetId="10">
        <row r="10">
          <cell r="E10">
            <v>209.56331216092735</v>
          </cell>
          <cell r="F10">
            <v>241.95459195711979</v>
          </cell>
          <cell r="L10">
            <v>390.19465563751061</v>
          </cell>
          <cell r="O10">
            <v>274.32478303427075</v>
          </cell>
        </row>
        <row r="11">
          <cell r="E11">
            <v>7.1926443426324917</v>
          </cell>
          <cell r="F11">
            <v>8.1106078915204609</v>
          </cell>
          <cell r="L11">
            <v>8.3979200221199246</v>
          </cell>
          <cell r="O11">
            <v>8.5276865794572121</v>
          </cell>
        </row>
        <row r="12">
          <cell r="E12">
            <v>6.3675707423900851</v>
          </cell>
          <cell r="F12">
            <v>9.2308041701952739</v>
          </cell>
          <cell r="L12">
            <v>48.900324787397125</v>
          </cell>
          <cell r="O12">
            <v>1.9125400255008804</v>
          </cell>
        </row>
        <row r="13">
          <cell r="E13">
            <v>1564.2497843140045</v>
          </cell>
          <cell r="F13">
            <v>1397.2404469618355</v>
          </cell>
          <cell r="L13">
            <v>1436.3340401691144</v>
          </cell>
          <cell r="O13">
            <v>1160.0151701519817</v>
          </cell>
        </row>
        <row r="23">
          <cell r="E23">
            <v>20</v>
          </cell>
        </row>
        <row r="24">
          <cell r="E24">
            <v>400</v>
          </cell>
        </row>
        <row r="25">
          <cell r="E25">
            <v>5</v>
          </cell>
        </row>
        <row r="26">
          <cell r="E26">
            <v>10</v>
          </cell>
        </row>
        <row r="27">
          <cell r="E27">
            <v>1160</v>
          </cell>
        </row>
        <row r="28">
          <cell r="E28">
            <v>2900</v>
          </cell>
        </row>
        <row r="29">
          <cell r="E29">
            <v>6.3633333333333333</v>
          </cell>
        </row>
        <row r="33">
          <cell r="E33">
            <v>0</v>
          </cell>
        </row>
        <row r="34">
          <cell r="E34">
            <v>0</v>
          </cell>
        </row>
        <row r="35">
          <cell r="E35">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SKKapakForm"/>
      <sheetName val="HakTanForm"/>
      <sheetName val="ImalMikForm"/>
      <sheetName val="IhzMikForm"/>
      <sheetName val="YolaNakForm"/>
      <sheetName val="DepoNakForm"/>
      <sheetName val="BFiyForm"/>
      <sheetName val="YÖNETİM"/>
      <sheetName val="Genel"/>
      <sheetName val="YAZ"/>
      <sheetName val="Miktarlar"/>
      <sheetName val="Grup"/>
      <sheetName val="MFFZam"/>
      <sheetName val="Ek Bilgi"/>
      <sheetName val="ÖzelPoz"/>
      <sheetName val="BFLIST"/>
      <sheetName val="NAKLİYE"/>
      <sheetName val="YolFigList"/>
      <sheetName val="PakFigList"/>
      <sheetName val="PaketFigure"/>
      <sheetName val="M&lt;10.000"/>
      <sheetName val="M&gt;10.000"/>
      <sheetName val="AtsDisSay"/>
      <sheetName val="UYiliOdenMFF"/>
      <sheetName val="MFFIcmal"/>
      <sheetName val="MFFTesbitMik"/>
      <sheetName val="Kesif"/>
      <sheetName val="IsTesTut"/>
      <sheetName val="IseBasTut"/>
      <sheetName val="Muk.Keşif"/>
      <sheetName val="KesifArtis"/>
      <sheetName val="SureUzat"/>
      <sheetName val="Sheet1"/>
      <sheetName val="YesDefKap"/>
      <sheetName val="YesDefIc"/>
      <sheetName val="YilSonuTesTut"/>
      <sheetName val="HakIcSay"/>
      <sheetName val="Icmal"/>
      <sheetName val="MFFTesbitTut"/>
      <sheetName val="MMikHesTab"/>
      <sheetName val="MFFHesTab"/>
      <sheetName val="Fatura"/>
      <sheetName val="OdeCet"/>
      <sheetName val="HakRap"/>
      <sheetName val="YeniFiyTut"/>
      <sheetName val="Ilan"/>
      <sheetName val="IlanTut"/>
      <sheetName val="DiziPus"/>
      <sheetName val="GenFiyAnlz"/>
      <sheetName val="MFFEntListe"/>
      <sheetName val="MFFListe"/>
      <sheetName val="RAYIC"/>
      <sheetName val="TESISAT"/>
      <sheetName val="IhzTesTut"/>
      <sheetName val="IhzKesC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5">
          <cell r="C5" t="str">
            <v>Uşak-Kula ( II.Kısım) Yolu Tesviye İşleri, Sanat Yapıları ve Üstyapı Yapımı</v>
          </cell>
        </row>
        <row r="10">
          <cell r="F10" t="str">
            <v>Contransimex S.A. + Kisan İnş.Müh.San.ve Tic.A.Ş. Ort.Gir.</v>
          </cell>
        </row>
        <row r="30">
          <cell r="H30" t="str">
            <v>Adnan TUSKAN</v>
          </cell>
        </row>
        <row r="31">
          <cell r="H31" t="str">
            <v>Emin KARABACAK</v>
          </cell>
        </row>
        <row r="32">
          <cell r="H32" t="str">
            <v>İbrahim ÜNAL</v>
          </cell>
        </row>
      </sheetData>
      <sheetData sheetId="9" refreshError="1"/>
      <sheetData sheetId="10" refreshError="1"/>
      <sheetData sheetId="11" refreshError="1"/>
      <sheetData sheetId="12" refreshError="1"/>
      <sheetData sheetId="13" refreshError="1">
        <row r="45">
          <cell r="D45">
            <v>1</v>
          </cell>
        </row>
        <row r="88">
          <cell r="D88">
            <v>84000000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llanım"/>
      <sheetName val="Input"/>
      <sheetName val="Yüzey Akım"/>
      <sheetName val="Cikti Sayfasi"/>
      <sheetName val="Cikti Sayfasi (2)"/>
      <sheetName val="Isletme Ozeti"/>
      <sheetName val="Dolusavak"/>
      <sheetName val="Enerji"/>
      <sheetName val="Mansap Eksik Kalan"/>
      <sheetName val="Rezervuardan Çekilen"/>
      <sheetName val="E. Üretimi"/>
      <sheetName val="İşletme Grafiği"/>
      <sheetName val="İşletme Grafiği (2)"/>
      <sheetName val="Sheet3"/>
      <sheetName val="O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Şekil 4.1"/>
      <sheetName val="Şekil 4.2-3"/>
      <sheetName val="Tablo 4.1 4.2"/>
      <sheetName val="Tablo 4.3"/>
      <sheetName val="Tablo 4.4"/>
      <sheetName val="Tablo 4.5"/>
      <sheetName val="Tablo 4.6"/>
      <sheetName val="Tablo 4.8"/>
      <sheetName val="Tablo 4.9"/>
      <sheetName val="Tablo 4.10"/>
      <sheetName val="Tablo 4.11"/>
      <sheetName val="Tablo 4.12"/>
      <sheetName val="Tablo 4.13"/>
      <sheetName val="Tablo 4.14"/>
      <sheetName val="Tablo 4.15-1"/>
      <sheetName val="Tablo 4.15-2"/>
      <sheetName val="Tablo 4.15-3"/>
      <sheetName val="Tablo 4.15-4"/>
      <sheetName val="Tablo 4.15-5"/>
      <sheetName val="Tablo 4.15-6"/>
      <sheetName val="Tablo 4.15-7"/>
      <sheetName val="Tablo 4.15-8"/>
      <sheetName val="Tablo 4.15-9"/>
      <sheetName val="Tablo 4.15-10"/>
      <sheetName val="Tablo 4.15-11"/>
      <sheetName val="Tablo 4.15-12"/>
      <sheetName val="Tablo 4.15-13"/>
      <sheetName val="Tablo 4.15-14"/>
      <sheetName val="Tablo 4.15-15"/>
      <sheetName val="Tablo 4.15-16"/>
      <sheetName val="Tablo 4.15-17"/>
      <sheetName val="Tablo 4.15-18"/>
      <sheetName val="Tablo 4.15-19"/>
      <sheetName val="Tablo 4.15-20"/>
      <sheetName val="Tablo 4.15-21"/>
      <sheetName val="Tablo 4.15-22"/>
      <sheetName val="Tablo 4.15-23"/>
      <sheetName val="Tablo 4.15-24"/>
      <sheetName val="Tablo 4.15-25"/>
      <sheetName val="Tablo 4.15-26"/>
      <sheetName val="Tablo 4.15-27"/>
      <sheetName val="Tablo 4.15-28"/>
      <sheetName val="Tablo 4.15-29"/>
      <sheetName val="Tablo 4.15-30"/>
      <sheetName val="Tablo 4.15-31"/>
      <sheetName val="Tablo 4.15-32"/>
      <sheetName val="Tablo 4.15-33"/>
      <sheetName val="Tablo 4.15-34"/>
      <sheetName val="Tablo 4.15-35"/>
      <sheetName val="Tablo 4.15-36"/>
      <sheetName val="Tablo 4.15-37"/>
      <sheetName val="Tablo 4.15-38"/>
      <sheetName val="Tablo 4.15-39"/>
      <sheetName val="Tablo 4.15-40"/>
      <sheetName val="Tablo 4.15-41"/>
      <sheetName val="Tablo 4.16"/>
      <sheetName val="Tablo 4.17"/>
      <sheetName val="Tablo 4.18"/>
      <sheetName val="Tablo 4.19"/>
      <sheetName val="Tablo 4.19 (ham)"/>
      <sheetName val="Tablo 4.21"/>
      <sheetName val="Tablo 4.22"/>
      <sheetName val="Tablo 4.23"/>
      <sheetName val="Tablo 4.24"/>
      <sheetName val="Tablo 4.25"/>
      <sheetName val="Tablo 4.26"/>
      <sheetName val="Tablo 4.27"/>
      <sheetName val="Şekil 4.4"/>
      <sheetName val="Şekil 4.5"/>
      <sheetName val="Tablo 4.30"/>
      <sheetName val="Tablo 4.31"/>
      <sheetName val="Tablo 4.32"/>
      <sheetName val="Tablo 4.33"/>
      <sheetName val="Tablo 4.34"/>
      <sheetName val="Tablo 4.35"/>
      <sheetName val="Tablo 4.36"/>
      <sheetName val="Şekil 4.6"/>
      <sheetName val="Tablo 4_3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row r="1">
          <cell r="A1" t="str">
            <v>Tablo 4.31</v>
          </cell>
          <cell r="C1" t="str">
            <v>Proje Sahası İçi ve Çevresindeki Yağış Gözlem</v>
          </cell>
        </row>
        <row r="2">
          <cell r="C2" t="str">
            <v>İstasyonlarının Yılda Günlük Maksimum Yağış Değerleri (mm)</v>
          </cell>
        </row>
        <row r="3">
          <cell r="A3" t="str">
            <v>Adı</v>
          </cell>
          <cell r="B3" t="str">
            <v>YAVUZKEMAL</v>
          </cell>
          <cell r="D3" t="str">
            <v>TAMDERE</v>
          </cell>
          <cell r="F3" t="str">
            <v>GİRESUN</v>
          </cell>
          <cell r="H3" t="str">
            <v>KEŞAP</v>
          </cell>
          <cell r="J3" t="str">
            <v>BULANCAK</v>
          </cell>
          <cell r="L3" t="str">
            <v>TİREBOLU</v>
          </cell>
          <cell r="N3" t="str">
            <v>MERYEMANA</v>
          </cell>
        </row>
        <row r="4">
          <cell r="A4" t="str">
            <v>Kot</v>
          </cell>
          <cell r="B4">
            <v>1625</v>
          </cell>
          <cell r="D4">
            <v>1700</v>
          </cell>
          <cell r="F4">
            <v>38</v>
          </cell>
          <cell r="H4">
            <v>30</v>
          </cell>
          <cell r="J4">
            <v>10</v>
          </cell>
          <cell r="L4">
            <v>10</v>
          </cell>
          <cell r="N4">
            <v>1100</v>
          </cell>
        </row>
        <row r="5">
          <cell r="A5" t="str">
            <v>Kur</v>
          </cell>
          <cell r="B5" t="str">
            <v>DMİ</v>
          </cell>
          <cell r="D5" t="str">
            <v>DSİ</v>
          </cell>
          <cell r="F5" t="str">
            <v>DMİ</v>
          </cell>
          <cell r="H5" t="str">
            <v>DMİ</v>
          </cell>
          <cell r="J5" t="str">
            <v>DMİ</v>
          </cell>
          <cell r="L5" t="str">
            <v>DMİ</v>
          </cell>
          <cell r="N5" t="str">
            <v>DMİ</v>
          </cell>
        </row>
        <row r="6">
          <cell r="A6" t="str">
            <v>Yıl</v>
          </cell>
          <cell r="B6" t="str">
            <v>Yeb</v>
          </cell>
          <cell r="C6" t="str">
            <v>g-ay</v>
          </cell>
          <cell r="D6" t="str">
            <v>Yeb</v>
          </cell>
          <cell r="E6" t="str">
            <v>g-ay</v>
          </cell>
          <cell r="F6" t="str">
            <v>Yeb</v>
          </cell>
          <cell r="G6" t="str">
            <v>g-ay</v>
          </cell>
          <cell r="H6" t="str">
            <v>Yeb</v>
          </cell>
          <cell r="I6" t="str">
            <v>g-ay</v>
          </cell>
          <cell r="J6" t="str">
            <v>Yeb</v>
          </cell>
          <cell r="K6" t="str">
            <v>g-ay</v>
          </cell>
          <cell r="L6" t="str">
            <v>Yeb</v>
          </cell>
          <cell r="M6" t="str">
            <v>g-ay</v>
          </cell>
          <cell r="N6" t="str">
            <v>Yeb</v>
          </cell>
          <cell r="O6" t="str">
            <v>g-ay</v>
          </cell>
        </row>
        <row r="7">
          <cell r="A7">
            <v>2002</v>
          </cell>
          <cell r="F7">
            <v>72.599999999999994</v>
          </cell>
        </row>
        <row r="8">
          <cell r="A8">
            <v>2001</v>
          </cell>
          <cell r="F8">
            <v>68</v>
          </cell>
        </row>
        <row r="9">
          <cell r="A9">
            <v>2000</v>
          </cell>
          <cell r="F9">
            <v>68.400000000000006</v>
          </cell>
          <cell r="L9">
            <v>42.5</v>
          </cell>
          <cell r="M9">
            <v>1</v>
          </cell>
        </row>
        <row r="10">
          <cell r="A10">
            <v>1999</v>
          </cell>
          <cell r="F10">
            <v>69.8</v>
          </cell>
          <cell r="L10">
            <v>92.4</v>
          </cell>
          <cell r="M10">
            <v>9</v>
          </cell>
        </row>
        <row r="11">
          <cell r="A11">
            <v>1998</v>
          </cell>
          <cell r="F11">
            <v>62.2</v>
          </cell>
          <cell r="L11">
            <v>108.9</v>
          </cell>
          <cell r="M11">
            <v>12</v>
          </cell>
        </row>
        <row r="12">
          <cell r="A12">
            <v>1997</v>
          </cell>
          <cell r="F12">
            <v>50.4</v>
          </cell>
          <cell r="L12">
            <v>71.2</v>
          </cell>
          <cell r="M12">
            <v>7</v>
          </cell>
        </row>
        <row r="13">
          <cell r="A13">
            <v>1996</v>
          </cell>
          <cell r="F13">
            <v>75.400000000000006</v>
          </cell>
          <cell r="L13">
            <v>59.7</v>
          </cell>
          <cell r="M13">
            <v>10</v>
          </cell>
        </row>
        <row r="14">
          <cell r="A14">
            <v>1995</v>
          </cell>
          <cell r="F14">
            <v>55</v>
          </cell>
          <cell r="L14">
            <v>76.2</v>
          </cell>
          <cell r="M14">
            <v>6</v>
          </cell>
        </row>
        <row r="15">
          <cell r="A15">
            <v>1994</v>
          </cell>
          <cell r="F15">
            <v>70.2</v>
          </cell>
          <cell r="L15">
            <v>82.3</v>
          </cell>
          <cell r="M15">
            <v>10</v>
          </cell>
        </row>
        <row r="16">
          <cell r="A16">
            <v>1993</v>
          </cell>
          <cell r="F16">
            <v>53.1</v>
          </cell>
          <cell r="L16">
            <v>94.4</v>
          </cell>
          <cell r="M16">
            <v>8</v>
          </cell>
        </row>
        <row r="17">
          <cell r="A17">
            <v>1992</v>
          </cell>
          <cell r="F17">
            <v>103.7</v>
          </cell>
          <cell r="L17">
            <v>134.1</v>
          </cell>
          <cell r="M17">
            <v>7</v>
          </cell>
        </row>
        <row r="18">
          <cell r="A18">
            <v>1991</v>
          </cell>
          <cell r="F18">
            <v>72.400000000000006</v>
          </cell>
          <cell r="L18">
            <v>93.5</v>
          </cell>
          <cell r="M18">
            <v>8</v>
          </cell>
        </row>
        <row r="19">
          <cell r="A19">
            <v>1990</v>
          </cell>
          <cell r="F19">
            <v>65.7</v>
          </cell>
          <cell r="L19">
            <v>81.400000000000006</v>
          </cell>
          <cell r="M19">
            <v>6</v>
          </cell>
        </row>
        <row r="20">
          <cell r="A20">
            <v>1989</v>
          </cell>
          <cell r="F20">
            <v>85.8</v>
          </cell>
          <cell r="L20">
            <v>87.6</v>
          </cell>
          <cell r="M20">
            <v>7</v>
          </cell>
        </row>
        <row r="21">
          <cell r="A21">
            <v>1988</v>
          </cell>
          <cell r="F21">
            <v>78.2</v>
          </cell>
          <cell r="L21">
            <v>242.3</v>
          </cell>
          <cell r="M21">
            <v>8</v>
          </cell>
          <cell r="N21">
            <v>40.299999999999997</v>
          </cell>
        </row>
        <row r="22">
          <cell r="A22">
            <v>1987</v>
          </cell>
          <cell r="D22">
            <v>60.4</v>
          </cell>
          <cell r="E22">
            <v>1</v>
          </cell>
          <cell r="F22">
            <v>50.8</v>
          </cell>
          <cell r="H22">
            <v>54.7</v>
          </cell>
          <cell r="I22">
            <v>11</v>
          </cell>
          <cell r="J22">
            <v>40.700000000000003</v>
          </cell>
          <cell r="L22">
            <v>75</v>
          </cell>
          <cell r="M22">
            <v>8</v>
          </cell>
          <cell r="N22">
            <v>42.5</v>
          </cell>
          <cell r="O22">
            <v>1</v>
          </cell>
        </row>
        <row r="23">
          <cell r="A23">
            <v>1986</v>
          </cell>
          <cell r="D23">
            <v>34.5</v>
          </cell>
          <cell r="E23">
            <v>11</v>
          </cell>
          <cell r="F23">
            <v>95.4</v>
          </cell>
          <cell r="H23">
            <v>71.099999999999994</v>
          </cell>
          <cell r="I23">
            <v>11</v>
          </cell>
          <cell r="J23">
            <v>44</v>
          </cell>
          <cell r="L23">
            <v>53.3</v>
          </cell>
          <cell r="M23">
            <v>11</v>
          </cell>
          <cell r="N23">
            <v>32.5</v>
          </cell>
          <cell r="O23">
            <v>1</v>
          </cell>
        </row>
        <row r="24">
          <cell r="A24">
            <v>1985</v>
          </cell>
          <cell r="D24">
            <v>27.2</v>
          </cell>
          <cell r="E24">
            <v>10</v>
          </cell>
          <cell r="F24">
            <v>53.8</v>
          </cell>
          <cell r="J24">
            <v>57.2</v>
          </cell>
          <cell r="L24">
            <v>61.6</v>
          </cell>
          <cell r="M24">
            <v>12</v>
          </cell>
          <cell r="N24">
            <v>47.2</v>
          </cell>
          <cell r="O24">
            <v>6</v>
          </cell>
        </row>
        <row r="25">
          <cell r="A25">
            <v>1984</v>
          </cell>
          <cell r="B25">
            <v>43.1</v>
          </cell>
          <cell r="D25">
            <v>27.8</v>
          </cell>
          <cell r="E25">
            <v>4</v>
          </cell>
          <cell r="F25">
            <v>56.2</v>
          </cell>
          <cell r="L25">
            <v>91</v>
          </cell>
          <cell r="M25">
            <v>10</v>
          </cell>
          <cell r="N25">
            <v>25.8</v>
          </cell>
          <cell r="O25">
            <v>5</v>
          </cell>
        </row>
        <row r="26">
          <cell r="A26">
            <v>1983</v>
          </cell>
          <cell r="B26">
            <v>44.6</v>
          </cell>
          <cell r="D26">
            <v>70.3</v>
          </cell>
          <cell r="E26">
            <v>11</v>
          </cell>
          <cell r="F26">
            <v>53.7</v>
          </cell>
          <cell r="L26">
            <v>86.5</v>
          </cell>
          <cell r="M26">
            <v>7</v>
          </cell>
          <cell r="N26">
            <v>36.200000000000003</v>
          </cell>
          <cell r="O26">
            <v>1</v>
          </cell>
        </row>
        <row r="27">
          <cell r="A27">
            <v>1982</v>
          </cell>
          <cell r="B27">
            <v>38.700000000000003</v>
          </cell>
          <cell r="D27">
            <v>36.700000000000003</v>
          </cell>
          <cell r="E27">
            <v>6</v>
          </cell>
          <cell r="F27">
            <v>50.7</v>
          </cell>
          <cell r="H27">
            <v>66.8</v>
          </cell>
          <cell r="I27">
            <v>10</v>
          </cell>
          <cell r="L27">
            <v>76.8</v>
          </cell>
          <cell r="M27">
            <v>9</v>
          </cell>
          <cell r="N27">
            <v>31</v>
          </cell>
          <cell r="O27">
            <v>7</v>
          </cell>
        </row>
        <row r="28">
          <cell r="A28">
            <v>1981</v>
          </cell>
          <cell r="B28">
            <v>58.7</v>
          </cell>
          <cell r="D28">
            <v>100.8</v>
          </cell>
          <cell r="E28">
            <v>12</v>
          </cell>
          <cell r="F28">
            <v>128.30000000000001</v>
          </cell>
          <cell r="H28">
            <v>108.8</v>
          </cell>
          <cell r="I28">
            <v>10</v>
          </cell>
          <cell r="L28">
            <v>73.7</v>
          </cell>
          <cell r="M28">
            <v>10</v>
          </cell>
          <cell r="N28">
            <v>28</v>
          </cell>
          <cell r="O28">
            <v>10</v>
          </cell>
        </row>
        <row r="29">
          <cell r="A29">
            <v>1980</v>
          </cell>
          <cell r="B29">
            <v>32.700000000000003</v>
          </cell>
          <cell r="D29">
            <v>60.7</v>
          </cell>
          <cell r="E29">
            <v>5</v>
          </cell>
          <cell r="F29">
            <v>47.4</v>
          </cell>
          <cell r="H29">
            <v>57.6</v>
          </cell>
          <cell r="I29">
            <v>6</v>
          </cell>
          <cell r="J29">
            <v>36.799999999999997</v>
          </cell>
          <cell r="L29">
            <v>64.2</v>
          </cell>
          <cell r="M29">
            <v>11</v>
          </cell>
          <cell r="N29">
            <v>31</v>
          </cell>
          <cell r="O29">
            <v>5</v>
          </cell>
        </row>
        <row r="30">
          <cell r="A30">
            <v>1979</v>
          </cell>
          <cell r="B30">
            <v>40.799999999999997</v>
          </cell>
          <cell r="D30">
            <v>41.2</v>
          </cell>
          <cell r="E30">
            <v>11</v>
          </cell>
          <cell r="F30">
            <v>72.900000000000006</v>
          </cell>
          <cell r="H30">
            <v>100.7</v>
          </cell>
          <cell r="I30">
            <v>7</v>
          </cell>
          <cell r="J30">
            <v>57.4</v>
          </cell>
          <cell r="L30">
            <v>92.6</v>
          </cell>
          <cell r="M30">
            <v>5</v>
          </cell>
          <cell r="N30">
            <v>37.200000000000003</v>
          </cell>
          <cell r="O30">
            <v>5</v>
          </cell>
        </row>
        <row r="31">
          <cell r="A31">
            <v>1978</v>
          </cell>
          <cell r="B31">
            <v>42.3</v>
          </cell>
          <cell r="D31">
            <v>46.1</v>
          </cell>
          <cell r="E31">
            <v>3</v>
          </cell>
          <cell r="F31">
            <v>34.5</v>
          </cell>
          <cell r="H31">
            <v>69.8</v>
          </cell>
          <cell r="I31">
            <v>6</v>
          </cell>
          <cell r="J31">
            <v>76.3</v>
          </cell>
          <cell r="L31">
            <v>54.3</v>
          </cell>
          <cell r="M31">
            <v>10</v>
          </cell>
          <cell r="N31">
            <v>32.1</v>
          </cell>
          <cell r="O31">
            <v>6</v>
          </cell>
        </row>
        <row r="32">
          <cell r="A32">
            <v>1977</v>
          </cell>
          <cell r="B32">
            <v>43.8</v>
          </cell>
          <cell r="D32">
            <v>41.3</v>
          </cell>
          <cell r="E32">
            <v>5</v>
          </cell>
          <cell r="F32">
            <v>77</v>
          </cell>
          <cell r="H32">
            <v>66.3</v>
          </cell>
          <cell r="I32">
            <v>12</v>
          </cell>
          <cell r="J32">
            <v>70.400000000000006</v>
          </cell>
          <cell r="L32">
            <v>241.3</v>
          </cell>
          <cell r="M32">
            <v>7</v>
          </cell>
          <cell r="N32">
            <v>26.1</v>
          </cell>
          <cell r="O32">
            <v>10</v>
          </cell>
        </row>
        <row r="33">
          <cell r="A33">
            <v>1976</v>
          </cell>
          <cell r="B33">
            <v>43.2</v>
          </cell>
          <cell r="D33">
            <v>26.2</v>
          </cell>
          <cell r="E33">
            <v>6</v>
          </cell>
          <cell r="F33">
            <v>37.5</v>
          </cell>
          <cell r="H33">
            <v>56.2</v>
          </cell>
          <cell r="I33">
            <v>12</v>
          </cell>
          <cell r="J33">
            <v>42.5</v>
          </cell>
          <cell r="L33">
            <v>181.3</v>
          </cell>
          <cell r="M33">
            <v>8</v>
          </cell>
          <cell r="N33">
            <v>130.9</v>
          </cell>
          <cell r="O33">
            <v>5</v>
          </cell>
        </row>
        <row r="34">
          <cell r="A34">
            <v>1975</v>
          </cell>
          <cell r="B34">
            <v>73.2</v>
          </cell>
          <cell r="D34">
            <v>60.5</v>
          </cell>
          <cell r="E34">
            <v>4</v>
          </cell>
          <cell r="F34">
            <v>49.7</v>
          </cell>
          <cell r="H34">
            <v>71.400000000000006</v>
          </cell>
          <cell r="I34">
            <v>9</v>
          </cell>
          <cell r="L34">
            <v>70</v>
          </cell>
          <cell r="M34">
            <v>9</v>
          </cell>
          <cell r="N34">
            <v>25.5</v>
          </cell>
          <cell r="O34">
            <v>10</v>
          </cell>
        </row>
        <row r="35">
          <cell r="A35">
            <v>1974</v>
          </cell>
          <cell r="B35">
            <v>45.7</v>
          </cell>
          <cell r="D35">
            <v>41.7</v>
          </cell>
          <cell r="E35">
            <v>10</v>
          </cell>
          <cell r="F35">
            <v>61.7</v>
          </cell>
          <cell r="H35">
            <v>91.8</v>
          </cell>
          <cell r="I35">
            <v>11</v>
          </cell>
          <cell r="L35">
            <v>31.3</v>
          </cell>
          <cell r="M35">
            <v>8</v>
          </cell>
        </row>
        <row r="36">
          <cell r="A36">
            <v>1973</v>
          </cell>
          <cell r="B36">
            <v>37.6</v>
          </cell>
          <cell r="D36">
            <v>24.5</v>
          </cell>
          <cell r="E36">
            <v>6</v>
          </cell>
          <cell r="F36">
            <v>63.1</v>
          </cell>
          <cell r="H36">
            <v>61.9</v>
          </cell>
          <cell r="I36">
            <v>10</v>
          </cell>
          <cell r="J36">
            <v>52.5</v>
          </cell>
          <cell r="L36">
            <v>8.67</v>
          </cell>
        </row>
        <row r="37">
          <cell r="A37">
            <v>1972</v>
          </cell>
          <cell r="B37">
            <v>54.2</v>
          </cell>
          <cell r="D37">
            <v>56.6</v>
          </cell>
          <cell r="E37">
            <v>10</v>
          </cell>
          <cell r="F37">
            <v>83.8</v>
          </cell>
          <cell r="H37">
            <v>64.8</v>
          </cell>
          <cell r="I37">
            <v>6</v>
          </cell>
          <cell r="J37">
            <v>98.4</v>
          </cell>
          <cell r="L37">
            <v>6.07</v>
          </cell>
        </row>
        <row r="38">
          <cell r="A38">
            <v>1971</v>
          </cell>
          <cell r="B38">
            <v>41.6</v>
          </cell>
          <cell r="D38">
            <v>29.2</v>
          </cell>
          <cell r="E38">
            <v>10</v>
          </cell>
          <cell r="F38">
            <v>55.9</v>
          </cell>
          <cell r="H38">
            <v>66.2</v>
          </cell>
          <cell r="I38">
            <v>11</v>
          </cell>
          <cell r="J38">
            <v>50.6</v>
          </cell>
          <cell r="L38">
            <v>0</v>
          </cell>
        </row>
        <row r="39">
          <cell r="A39">
            <v>1970</v>
          </cell>
          <cell r="B39">
            <v>34.200000000000003</v>
          </cell>
          <cell r="D39">
            <v>45.9</v>
          </cell>
          <cell r="E39">
            <v>11</v>
          </cell>
          <cell r="F39">
            <v>66.8</v>
          </cell>
          <cell r="H39">
            <v>50.2</v>
          </cell>
          <cell r="I39">
            <v>9</v>
          </cell>
          <cell r="J39">
            <v>38.9</v>
          </cell>
          <cell r="L39">
            <v>62</v>
          </cell>
        </row>
        <row r="40">
          <cell r="A40">
            <v>1969</v>
          </cell>
          <cell r="B40">
            <v>32.1</v>
          </cell>
          <cell r="D40">
            <v>23.7</v>
          </cell>
          <cell r="E40">
            <v>11</v>
          </cell>
          <cell r="F40">
            <v>39.799999999999997</v>
          </cell>
          <cell r="H40">
            <v>58.2</v>
          </cell>
          <cell r="I40">
            <v>7</v>
          </cell>
          <cell r="J40">
            <v>63.5</v>
          </cell>
          <cell r="L40">
            <v>92.3</v>
          </cell>
        </row>
        <row r="41">
          <cell r="A41">
            <v>1968</v>
          </cell>
          <cell r="B41">
            <v>33.799999999999997</v>
          </cell>
          <cell r="D41">
            <v>30.5</v>
          </cell>
          <cell r="E41">
            <v>11</v>
          </cell>
          <cell r="F41">
            <v>98</v>
          </cell>
          <cell r="H41">
            <v>86.5</v>
          </cell>
          <cell r="I41">
            <v>10</v>
          </cell>
          <cell r="J41">
            <v>40.6</v>
          </cell>
          <cell r="L41">
            <v>62.2</v>
          </cell>
        </row>
        <row r="42">
          <cell r="A42">
            <v>1967</v>
          </cell>
          <cell r="B42">
            <v>51.3</v>
          </cell>
          <cell r="D42">
            <v>37.6</v>
          </cell>
          <cell r="E42">
            <v>11</v>
          </cell>
          <cell r="F42">
            <v>61.9</v>
          </cell>
          <cell r="H42">
            <v>131.4</v>
          </cell>
          <cell r="I42">
            <v>8</v>
          </cell>
          <cell r="J42">
            <v>76.099999999999994</v>
          </cell>
          <cell r="L42">
            <v>92.5</v>
          </cell>
        </row>
        <row r="43">
          <cell r="A43">
            <v>1966</v>
          </cell>
          <cell r="B43">
            <v>39.799999999999997</v>
          </cell>
          <cell r="D43">
            <v>36.200000000000003</v>
          </cell>
          <cell r="E43">
            <v>11</v>
          </cell>
          <cell r="F43">
            <v>110.5</v>
          </cell>
          <cell r="H43">
            <v>67.8</v>
          </cell>
          <cell r="I43">
            <v>12</v>
          </cell>
          <cell r="L43">
            <v>0</v>
          </cell>
        </row>
        <row r="44">
          <cell r="A44">
            <v>1965</v>
          </cell>
          <cell r="B44">
            <v>72.099999999999994</v>
          </cell>
          <cell r="D44">
            <v>50.5</v>
          </cell>
          <cell r="E44">
            <v>6</v>
          </cell>
          <cell r="F44">
            <v>95.5</v>
          </cell>
          <cell r="H44">
            <v>60.1</v>
          </cell>
          <cell r="I44">
            <v>9</v>
          </cell>
          <cell r="J44">
            <v>63.5</v>
          </cell>
          <cell r="L44">
            <v>82.9</v>
          </cell>
        </row>
        <row r="45">
          <cell r="A45">
            <v>1964</v>
          </cell>
          <cell r="B45">
            <v>51.3</v>
          </cell>
          <cell r="D45">
            <v>24.2</v>
          </cell>
          <cell r="E45">
            <v>3</v>
          </cell>
          <cell r="F45">
            <v>103.2</v>
          </cell>
          <cell r="H45">
            <v>87.7</v>
          </cell>
          <cell r="I45">
            <v>9</v>
          </cell>
          <cell r="J45">
            <v>37.799999999999997</v>
          </cell>
          <cell r="L45">
            <v>78.3</v>
          </cell>
        </row>
        <row r="46">
          <cell r="A46">
            <v>1963</v>
          </cell>
          <cell r="B46">
            <v>42.1</v>
          </cell>
          <cell r="D46">
            <v>28.2</v>
          </cell>
          <cell r="E46">
            <v>1</v>
          </cell>
          <cell r="F46">
            <v>45.9</v>
          </cell>
          <cell r="H46">
            <v>56</v>
          </cell>
          <cell r="I46">
            <v>3</v>
          </cell>
          <cell r="J46">
            <v>41.2</v>
          </cell>
          <cell r="L46">
            <v>78.900000000000006</v>
          </cell>
        </row>
        <row r="47">
          <cell r="A47">
            <v>1962</v>
          </cell>
          <cell r="B47">
            <v>38.299999999999997</v>
          </cell>
          <cell r="D47">
            <v>33.200000000000003</v>
          </cell>
          <cell r="E47">
            <v>12</v>
          </cell>
          <cell r="F47">
            <v>55.3</v>
          </cell>
          <cell r="H47">
            <v>68.900000000000006</v>
          </cell>
          <cell r="I47">
            <v>9</v>
          </cell>
          <cell r="J47">
            <v>144.1</v>
          </cell>
          <cell r="L47">
            <v>64.400000000000006</v>
          </cell>
        </row>
        <row r="48">
          <cell r="A48">
            <v>1961</v>
          </cell>
          <cell r="B48">
            <v>53.2</v>
          </cell>
          <cell r="D48">
            <v>30.1</v>
          </cell>
          <cell r="E48">
            <v>11</v>
          </cell>
          <cell r="F48">
            <v>59.6</v>
          </cell>
          <cell r="H48">
            <v>92.7</v>
          </cell>
          <cell r="I48">
            <v>11</v>
          </cell>
          <cell r="J48">
            <v>62.9</v>
          </cell>
          <cell r="L48">
            <v>10.63</v>
          </cell>
        </row>
        <row r="49">
          <cell r="A49">
            <v>1960</v>
          </cell>
          <cell r="B49">
            <v>49.4</v>
          </cell>
          <cell r="D49">
            <v>62.5</v>
          </cell>
          <cell r="E49">
            <v>6</v>
          </cell>
          <cell r="F49">
            <v>44.5</v>
          </cell>
          <cell r="H49">
            <v>68.099999999999994</v>
          </cell>
          <cell r="I49">
            <v>2</v>
          </cell>
          <cell r="J49">
            <v>55.6</v>
          </cell>
          <cell r="L49">
            <v>8.68</v>
          </cell>
        </row>
        <row r="50">
          <cell r="A50">
            <v>1959</v>
          </cell>
          <cell r="B50">
            <v>38.5</v>
          </cell>
          <cell r="D50">
            <v>24</v>
          </cell>
          <cell r="E50">
            <v>11</v>
          </cell>
          <cell r="F50">
            <v>63.2</v>
          </cell>
          <cell r="H50">
            <v>135.80000000000001</v>
          </cell>
          <cell r="I50">
            <v>8</v>
          </cell>
          <cell r="J50">
            <v>57.6</v>
          </cell>
          <cell r="L50">
            <v>16.47</v>
          </cell>
        </row>
        <row r="51">
          <cell r="A51">
            <v>1958</v>
          </cell>
          <cell r="F51">
            <v>58.6</v>
          </cell>
          <cell r="H51">
            <v>73.2</v>
          </cell>
          <cell r="I51">
            <v>7</v>
          </cell>
          <cell r="J51">
            <v>50.1</v>
          </cell>
          <cell r="L51">
            <v>13.77</v>
          </cell>
        </row>
        <row r="52">
          <cell r="A52">
            <v>1957</v>
          </cell>
          <cell r="F52">
            <v>67.2</v>
          </cell>
          <cell r="H52">
            <v>77.5</v>
          </cell>
          <cell r="I52">
            <v>10</v>
          </cell>
          <cell r="J52">
            <v>72.7</v>
          </cell>
          <cell r="L52">
            <v>132.80000000000001</v>
          </cell>
        </row>
        <row r="53">
          <cell r="A53">
            <v>1956</v>
          </cell>
          <cell r="F53">
            <v>138.30000000000001</v>
          </cell>
          <cell r="H53">
            <v>88</v>
          </cell>
          <cell r="I53">
            <v>9</v>
          </cell>
          <cell r="J53">
            <v>63.8</v>
          </cell>
          <cell r="L53">
            <v>61.8</v>
          </cell>
        </row>
        <row r="54">
          <cell r="A54">
            <v>1955</v>
          </cell>
          <cell r="F54">
            <v>74.2</v>
          </cell>
          <cell r="H54">
            <v>89.3</v>
          </cell>
          <cell r="I54">
            <v>9</v>
          </cell>
          <cell r="J54">
            <v>51.7</v>
          </cell>
          <cell r="L54">
            <v>112.5</v>
          </cell>
        </row>
        <row r="55">
          <cell r="A55">
            <v>1954</v>
          </cell>
          <cell r="F55">
            <v>60.7</v>
          </cell>
          <cell r="H55">
            <v>58.8</v>
          </cell>
          <cell r="I55">
            <v>7</v>
          </cell>
          <cell r="J55">
            <v>61.7</v>
          </cell>
          <cell r="L55">
            <v>112.5</v>
          </cell>
        </row>
        <row r="56">
          <cell r="A56">
            <v>1953</v>
          </cell>
          <cell r="F56">
            <v>53.5</v>
          </cell>
          <cell r="J56">
            <v>35.5</v>
          </cell>
          <cell r="L56">
            <v>55</v>
          </cell>
        </row>
        <row r="57">
          <cell r="A57">
            <v>1952</v>
          </cell>
          <cell r="F57">
            <v>41.2</v>
          </cell>
          <cell r="L57">
            <v>78.900000000000006</v>
          </cell>
        </row>
        <row r="58">
          <cell r="A58">
            <v>1951</v>
          </cell>
          <cell r="F58">
            <v>54</v>
          </cell>
          <cell r="L58">
            <v>68</v>
          </cell>
        </row>
        <row r="59">
          <cell r="A59">
            <v>1950</v>
          </cell>
          <cell r="F59">
            <v>50.3</v>
          </cell>
          <cell r="L59">
            <v>80.099999999999994</v>
          </cell>
        </row>
        <row r="60">
          <cell r="A60" t="str">
            <v>N-Yıl</v>
          </cell>
          <cell r="B60">
            <v>26</v>
          </cell>
          <cell r="D60">
            <v>29</v>
          </cell>
          <cell r="F60">
            <v>74</v>
          </cell>
          <cell r="H60">
            <v>31</v>
          </cell>
          <cell r="J60">
            <v>28</v>
          </cell>
          <cell r="L60">
            <v>51</v>
          </cell>
          <cell r="N60">
            <v>14</v>
          </cell>
        </row>
        <row r="61">
          <cell r="A61" t="str">
            <v>UDF</v>
          </cell>
          <cell r="B61" t="str">
            <v>G2P</v>
          </cell>
          <cell r="D61" t="str">
            <v>G2P</v>
          </cell>
          <cell r="F61" t="str">
            <v>LN3</v>
          </cell>
          <cell r="H61" t="str">
            <v>LP3</v>
          </cell>
          <cell r="J61" t="str">
            <v>LN3</v>
          </cell>
          <cell r="L61" t="str">
            <v>G</v>
          </cell>
          <cell r="N61" t="str">
            <v>G2P</v>
          </cell>
        </row>
        <row r="62">
          <cell r="A62" t="str">
            <v>P-2</v>
          </cell>
          <cell r="B62">
            <v>42.82</v>
          </cell>
          <cell r="D62">
            <v>37.61</v>
          </cell>
          <cell r="F62">
            <v>64.150000000000006</v>
          </cell>
          <cell r="H62">
            <v>71.11</v>
          </cell>
          <cell r="J62">
            <v>53.25</v>
          </cell>
          <cell r="L62">
            <v>72.069999999999993</v>
          </cell>
          <cell r="N62">
            <v>29.63</v>
          </cell>
        </row>
        <row r="63">
          <cell r="A63" t="str">
            <v>P-5</v>
          </cell>
          <cell r="B63">
            <v>52.5</v>
          </cell>
          <cell r="D63">
            <v>53.9</v>
          </cell>
          <cell r="F63">
            <v>86.12</v>
          </cell>
          <cell r="H63">
            <v>89.41</v>
          </cell>
          <cell r="J63">
            <v>72.010000000000005</v>
          </cell>
          <cell r="L63">
            <v>118.85</v>
          </cell>
          <cell r="N63">
            <v>49.23</v>
          </cell>
        </row>
        <row r="64">
          <cell r="A64" t="str">
            <v>P-10</v>
          </cell>
          <cell r="B64">
            <v>59.09</v>
          </cell>
          <cell r="D64">
            <v>65.23</v>
          </cell>
          <cell r="F64">
            <v>101.92</v>
          </cell>
          <cell r="H64">
            <v>102.96</v>
          </cell>
          <cell r="J64">
            <v>86.13</v>
          </cell>
          <cell r="L64">
            <v>149.81</v>
          </cell>
          <cell r="N64">
            <v>68.66</v>
          </cell>
        </row>
        <row r="65">
          <cell r="A65" t="str">
            <v>P-25</v>
          </cell>
          <cell r="B65">
            <v>67.42</v>
          </cell>
          <cell r="D65">
            <v>79.73</v>
          </cell>
          <cell r="F65">
            <v>123.15</v>
          </cell>
          <cell r="H65">
            <v>121.71</v>
          </cell>
          <cell r="J65">
            <v>105.77</v>
          </cell>
          <cell r="L65">
            <v>188.94</v>
          </cell>
          <cell r="N65">
            <v>98.48</v>
          </cell>
        </row>
        <row r="66">
          <cell r="A66" t="str">
            <v>P-50</v>
          </cell>
          <cell r="B66">
            <v>73.56</v>
          </cell>
          <cell r="D66">
            <v>90.5</v>
          </cell>
          <cell r="F66">
            <v>139.76</v>
          </cell>
          <cell r="H66">
            <v>136.93</v>
          </cell>
          <cell r="J66">
            <v>121.58</v>
          </cell>
          <cell r="L66">
            <v>217.97</v>
          </cell>
          <cell r="N66">
            <v>123.46</v>
          </cell>
        </row>
        <row r="67">
          <cell r="A67" t="str">
            <v>P-100</v>
          </cell>
          <cell r="B67">
            <v>79.62</v>
          </cell>
          <cell r="D67">
            <v>101.21</v>
          </cell>
          <cell r="F67">
            <v>157.06</v>
          </cell>
          <cell r="H67">
            <v>153.21</v>
          </cell>
          <cell r="J67">
            <v>138.4</v>
          </cell>
          <cell r="L67">
            <v>246.78</v>
          </cell>
          <cell r="N67">
            <v>150.29</v>
          </cell>
        </row>
      </sheetData>
      <sheetData sheetId="71" refreshError="1"/>
      <sheetData sheetId="72" refreshError="1"/>
      <sheetData sheetId="73" refreshError="1"/>
      <sheetData sheetId="74" refreshError="1"/>
      <sheetData sheetId="75" refreshError="1"/>
      <sheetData sheetId="76" refreshError="1"/>
      <sheetData sheetId="77"/>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sıl"/>
      <sheetName val="Dataset1"/>
      <sheetName val="Dataset2"/>
      <sheetName val="DatasetCombo"/>
      <sheetName val="Linear"/>
      <sheetName val="Logaritmic"/>
      <sheetName val="Power"/>
      <sheetName val="Exponential"/>
      <sheetName val="PL2 Polynomial"/>
      <sheetName val="PL3 Polynomial"/>
      <sheetName val="Completed"/>
      <sheetName val="Formatlı Tablo"/>
    </sheetNames>
    <sheetDataSet>
      <sheetData sheetId="0"/>
      <sheetData sheetId="1"/>
      <sheetData sheetId="2"/>
      <sheetData sheetId="3">
        <row r="2">
          <cell r="S2">
            <v>-19.562711187248624</v>
          </cell>
          <cell r="Y2">
            <v>455.40683041557202</v>
          </cell>
          <cell r="AE2">
            <v>1.4895815683629059</v>
          </cell>
          <cell r="AK2">
            <v>101.91430928752277</v>
          </cell>
          <cell r="AQ2">
            <v>1.806808757010006E-4</v>
          </cell>
          <cell r="AW2">
            <v>-1.8246664978361475E-6</v>
          </cell>
        </row>
        <row r="3">
          <cell r="S3">
            <v>1.4759153876708411</v>
          </cell>
          <cell r="Y3">
            <v>-2116.5983398741964</v>
          </cell>
          <cell r="AE3">
            <v>0.98912195040803708</v>
          </cell>
          <cell r="AK3">
            <v>4.7723448840095032E-3</v>
          </cell>
          <cell r="AQ3">
            <v>1.3228992751841018</v>
          </cell>
          <cell r="AW3">
            <v>2.557940208920736E-3</v>
          </cell>
        </row>
        <row r="4">
          <cell r="AQ4">
            <v>6.1073198531007264</v>
          </cell>
          <cell r="AW4">
            <v>0.44463914027896256</v>
          </cell>
        </row>
        <row r="5">
          <cell r="AW5">
            <v>96.188200523274375</v>
          </cell>
        </row>
      </sheetData>
      <sheetData sheetId="4" refreshError="1"/>
      <sheetData sheetId="5" refreshError="1"/>
      <sheetData sheetId="6" refreshError="1"/>
      <sheetData sheetId="7" refreshError="1"/>
      <sheetData sheetId="8" refreshError="1"/>
      <sheetData sheetId="9" refreshError="1"/>
      <sheetData sheetId="10"/>
      <sheetData sheetId="1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KAL DÖN.YAP.İŞL.İTİNERERİ"/>
      <sheetName val="TIRMANMA ŞERİTLERİ"/>
      <sheetName val="HAKEDİŞLER"/>
      <sheetName val="İŞ PROĞRAMI"/>
      <sheetName val="DOSYA KAP. YAZILARI"/>
      <sheetName val="TİP ENKESİT"/>
      <sheetName val="NUMUNE KARTI"/>
      <sheetName val="BETON BAS.DAY.FORMU"/>
      <sheetName val="ARAZİ  PUANTAJI"/>
      <sheetName val="KUTU MEF 2"/>
      <sheetName val="TES.İŞ.KÜBJ.İCMALİ"/>
      <sheetName val="fazla ödeme"/>
      <sheetName val="Fotoğraf Km.si"/>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s>
    <sheetDataSet>
      <sheetData sheetId="0"/>
      <sheetData sheetId="1"/>
      <sheetData sheetId="2"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rivasyon"/>
      <sheetName val="Basınçlı+serbest"/>
      <sheetName val="Derivasy.deşarj graf."/>
      <sheetName val="DİPSAVAK"/>
      <sheetName val="Sulamaya deşarj"/>
      <sheetName val="Dere deşarj"/>
      <sheetName val="KELEBEK"/>
      <sheetName val="KONDÜVİ"/>
      <sheetName val="KEŞİF"/>
      <sheetName val="Optimizasyon"/>
      <sheetName val="BİRİM_FİYATLAR"/>
    </sheetNames>
    <sheetDataSet>
      <sheetData sheetId="0">
        <row r="3">
          <cell r="C3">
            <v>100</v>
          </cell>
        </row>
      </sheetData>
      <sheetData sheetId="1"/>
      <sheetData sheetId="2" refreshError="1"/>
      <sheetData sheetId="3"/>
      <sheetData sheetId="4" refreshError="1"/>
      <sheetData sheetId="5" refreshError="1"/>
      <sheetData sheetId="6"/>
      <sheetData sheetId="7"/>
      <sheetData sheetId="8"/>
      <sheetData sheetId="9"/>
      <sheetData sheetId="10"/>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fen_hes (2)"/>
      <sheetName val="tefen_hes"/>
      <sheetName val="bartın-hes"/>
      <sheetName val="bartın-hes (2)"/>
      <sheetName val="Çatören B. İşl. Çal."/>
    </sheetNames>
    <sheetDataSet>
      <sheetData sheetId="0"/>
      <sheetData sheetId="1"/>
      <sheetData sheetId="2"/>
      <sheetData sheetId="3"/>
      <sheetData sheetId="4"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LLANIM"/>
      <sheetName val="Bilgi"/>
      <sheetName val="Giriş Hidrografı"/>
      <sheetName val="Hacim-Satıh"/>
      <sheetName val="DeşarjEğrisi"/>
      <sheetName val="Ho Hesabı"/>
      <sheetName val="Sheet1"/>
      <sheetName val="Routing"/>
      <sheetName val="Taşkın Öteleme"/>
      <sheetName val="Co Hesabı"/>
      <sheetName val="Çatören B. İşl. Çal."/>
    </sheetNames>
    <sheetDataSet>
      <sheetData sheetId="0"/>
      <sheetData sheetId="1"/>
      <sheetData sheetId="2"/>
      <sheetData sheetId="3"/>
      <sheetData sheetId="4" refreshError="1"/>
      <sheetData sheetId="5"/>
      <sheetData sheetId="6">
        <row r="2">
          <cell r="G2">
            <v>1</v>
          </cell>
          <cell r="H2">
            <v>0</v>
          </cell>
          <cell r="J2">
            <v>7</v>
          </cell>
        </row>
        <row r="3">
          <cell r="G3">
            <v>2</v>
          </cell>
          <cell r="H3">
            <v>0.5</v>
          </cell>
          <cell r="J3">
            <v>8.2350542700800524</v>
          </cell>
        </row>
        <row r="4">
          <cell r="G4">
            <v>3</v>
          </cell>
          <cell r="H4">
            <v>1</v>
          </cell>
          <cell r="J4">
            <v>13.171268631325546</v>
          </cell>
        </row>
        <row r="5">
          <cell r="G5">
            <v>4</v>
          </cell>
          <cell r="H5">
            <v>1.5</v>
          </cell>
          <cell r="J5">
            <v>20.165462029473936</v>
          </cell>
        </row>
        <row r="6">
          <cell r="G6">
            <v>5</v>
          </cell>
          <cell r="H6">
            <v>2</v>
          </cell>
          <cell r="J6">
            <v>30.036556512273357</v>
          </cell>
        </row>
        <row r="7">
          <cell r="G7">
            <v>6</v>
          </cell>
          <cell r="H7">
            <v>2.5</v>
          </cell>
          <cell r="J7">
            <v>43.348645619827181</v>
          </cell>
        </row>
        <row r="8">
          <cell r="G8">
            <v>7</v>
          </cell>
          <cell r="H8">
            <v>3</v>
          </cell>
          <cell r="J8">
            <v>61.222762819471846</v>
          </cell>
        </row>
        <row r="9">
          <cell r="G9">
            <v>8</v>
          </cell>
          <cell r="H9">
            <v>3.5</v>
          </cell>
          <cell r="J9">
            <v>80.725792058226176</v>
          </cell>
        </row>
        <row r="10">
          <cell r="G10">
            <v>9</v>
          </cell>
          <cell r="H10">
            <v>4</v>
          </cell>
          <cell r="J10">
            <v>98.407768987100468</v>
          </cell>
        </row>
        <row r="11">
          <cell r="G11">
            <v>10</v>
          </cell>
          <cell r="H11">
            <v>4.5</v>
          </cell>
          <cell r="J11">
            <v>115.57854375293989</v>
          </cell>
        </row>
        <row r="12">
          <cell r="G12">
            <v>11</v>
          </cell>
          <cell r="H12">
            <v>5</v>
          </cell>
          <cell r="J12">
            <v>132.46366316921387</v>
          </cell>
        </row>
        <row r="13">
          <cell r="G13">
            <v>12</v>
          </cell>
          <cell r="H13">
            <v>5.5</v>
          </cell>
          <cell r="J13">
            <v>146.64567145649573</v>
          </cell>
        </row>
        <row r="14">
          <cell r="G14">
            <v>13</v>
          </cell>
          <cell r="H14">
            <v>6</v>
          </cell>
          <cell r="J14">
            <v>156.27292980783258</v>
          </cell>
        </row>
        <row r="15">
          <cell r="G15">
            <v>14</v>
          </cell>
          <cell r="H15">
            <v>6.5</v>
          </cell>
          <cell r="J15">
            <v>163.87684598784114</v>
          </cell>
        </row>
        <row r="16">
          <cell r="G16">
            <v>15</v>
          </cell>
          <cell r="H16">
            <v>7</v>
          </cell>
          <cell r="J16">
            <v>170.19849401931182</v>
          </cell>
        </row>
        <row r="17">
          <cell r="G17">
            <v>16</v>
          </cell>
          <cell r="H17">
            <v>7.5</v>
          </cell>
          <cell r="J17">
            <v>174.2</v>
          </cell>
        </row>
        <row r="18">
          <cell r="G18">
            <v>17</v>
          </cell>
          <cell r="H18">
            <v>8</v>
          </cell>
          <cell r="J18">
            <v>173.30044065167843</v>
          </cell>
        </row>
        <row r="19">
          <cell r="G19">
            <v>18</v>
          </cell>
          <cell r="H19">
            <v>8.5</v>
          </cell>
          <cell r="J19">
            <v>172.76018273643959</v>
          </cell>
        </row>
        <row r="20">
          <cell r="G20">
            <v>19</v>
          </cell>
          <cell r="H20">
            <v>9</v>
          </cell>
          <cell r="J20">
            <v>170.73143518577564</v>
          </cell>
        </row>
        <row r="21">
          <cell r="G21">
            <v>20</v>
          </cell>
          <cell r="H21">
            <v>9.5</v>
          </cell>
          <cell r="J21">
            <v>168.16789364400142</v>
          </cell>
        </row>
        <row r="22">
          <cell r="G22">
            <v>21</v>
          </cell>
          <cell r="H22">
            <v>10</v>
          </cell>
          <cell r="J22">
            <v>161.83880952488133</v>
          </cell>
        </row>
        <row r="23">
          <cell r="G23">
            <v>22</v>
          </cell>
          <cell r="H23">
            <v>10.5</v>
          </cell>
          <cell r="J23">
            <v>156.72516895458958</v>
          </cell>
        </row>
        <row r="24">
          <cell r="G24">
            <v>23</v>
          </cell>
          <cell r="H24">
            <v>11</v>
          </cell>
          <cell r="J24">
            <v>150.77767094385672</v>
          </cell>
        </row>
        <row r="25">
          <cell r="G25">
            <v>24</v>
          </cell>
          <cell r="H25">
            <v>11.5</v>
          </cell>
          <cell r="J25">
            <v>145.61022321298299</v>
          </cell>
        </row>
        <row r="26">
          <cell r="G26">
            <v>25</v>
          </cell>
          <cell r="H26">
            <v>12</v>
          </cell>
          <cell r="J26">
            <v>137.925064215964</v>
          </cell>
        </row>
        <row r="27">
          <cell r="G27">
            <v>26</v>
          </cell>
          <cell r="H27">
            <v>12.5</v>
          </cell>
          <cell r="J27">
            <v>131.78462271628672</v>
          </cell>
        </row>
        <row r="28">
          <cell r="G28">
            <v>27</v>
          </cell>
          <cell r="H28">
            <v>13</v>
          </cell>
          <cell r="J28">
            <v>124.45596075783347</v>
          </cell>
        </row>
        <row r="29">
          <cell r="G29">
            <v>28</v>
          </cell>
          <cell r="H29">
            <v>13.5</v>
          </cell>
          <cell r="J29">
            <v>118.26335268113279</v>
          </cell>
        </row>
        <row r="30">
          <cell r="G30">
            <v>29</v>
          </cell>
          <cell r="H30">
            <v>14</v>
          </cell>
          <cell r="J30">
            <v>109.61186231500363</v>
          </cell>
        </row>
        <row r="31">
          <cell r="G31">
            <v>30</v>
          </cell>
          <cell r="H31">
            <v>14.5</v>
          </cell>
          <cell r="J31">
            <v>101.84751692128573</v>
          </cell>
        </row>
        <row r="32">
          <cell r="G32">
            <v>31</v>
          </cell>
          <cell r="H32">
            <v>15</v>
          </cell>
          <cell r="J32">
            <v>92.763046862634766</v>
          </cell>
        </row>
        <row r="33">
          <cell r="G33">
            <v>32</v>
          </cell>
          <cell r="H33">
            <v>15.5</v>
          </cell>
          <cell r="J33">
            <v>84.70155662381039</v>
          </cell>
        </row>
        <row r="34">
          <cell r="G34">
            <v>33</v>
          </cell>
          <cell r="H34">
            <v>16</v>
          </cell>
          <cell r="J34">
            <v>75.547425242917072</v>
          </cell>
        </row>
        <row r="35">
          <cell r="G35">
            <v>34</v>
          </cell>
          <cell r="H35">
            <v>16.5</v>
          </cell>
          <cell r="J35">
            <v>67.634172127894999</v>
          </cell>
        </row>
        <row r="36">
          <cell r="G36">
            <v>35</v>
          </cell>
          <cell r="H36">
            <v>17</v>
          </cell>
          <cell r="J36">
            <v>59.534438254915457</v>
          </cell>
        </row>
        <row r="37">
          <cell r="G37">
            <v>36</v>
          </cell>
          <cell r="H37">
            <v>17.5</v>
          </cell>
          <cell r="J37">
            <v>53.030811145673532</v>
          </cell>
        </row>
        <row r="38">
          <cell r="G38">
            <v>37</v>
          </cell>
          <cell r="H38">
            <v>18</v>
          </cell>
          <cell r="J38">
            <v>46.682911405673778</v>
          </cell>
        </row>
        <row r="39">
          <cell r="G39">
            <v>38</v>
          </cell>
          <cell r="H39">
            <v>18.5</v>
          </cell>
          <cell r="J39">
            <v>41.679776921668129</v>
          </cell>
        </row>
        <row r="40">
          <cell r="G40">
            <v>39</v>
          </cell>
          <cell r="H40">
            <v>19</v>
          </cell>
          <cell r="J40">
            <v>36.70623935767221</v>
          </cell>
        </row>
        <row r="41">
          <cell r="G41">
            <v>40</v>
          </cell>
          <cell r="H41">
            <v>19.5</v>
          </cell>
          <cell r="J41">
            <v>32.947848239041733</v>
          </cell>
        </row>
        <row r="42">
          <cell r="G42">
            <v>41</v>
          </cell>
          <cell r="H42">
            <v>20</v>
          </cell>
          <cell r="J42">
            <v>29.482315829799255</v>
          </cell>
        </row>
        <row r="43">
          <cell r="G43">
            <v>42</v>
          </cell>
          <cell r="H43">
            <v>20.5</v>
          </cell>
          <cell r="J43">
            <v>26.67490198017142</v>
          </cell>
        </row>
        <row r="44">
          <cell r="G44">
            <v>43</v>
          </cell>
          <cell r="H44">
            <v>21</v>
          </cell>
          <cell r="J44">
            <v>23.887115532538949</v>
          </cell>
        </row>
        <row r="45">
          <cell r="G45">
            <v>44</v>
          </cell>
          <cell r="H45">
            <v>21.5</v>
          </cell>
          <cell r="J45">
            <v>21.677964948226595</v>
          </cell>
        </row>
        <row r="46">
          <cell r="G46">
            <v>45</v>
          </cell>
          <cell r="H46">
            <v>22</v>
          </cell>
          <cell r="J46">
            <v>19.711884493083438</v>
          </cell>
        </row>
        <row r="47">
          <cell r="G47">
            <v>46</v>
          </cell>
          <cell r="H47">
            <v>22.5</v>
          </cell>
          <cell r="J47">
            <v>18.08908773118635</v>
          </cell>
        </row>
        <row r="48">
          <cell r="G48">
            <v>47</v>
          </cell>
          <cell r="H48">
            <v>23</v>
          </cell>
          <cell r="J48">
            <v>16.540454163133177</v>
          </cell>
        </row>
        <row r="49">
          <cell r="G49">
            <v>48</v>
          </cell>
          <cell r="H49">
            <v>23.5</v>
          </cell>
          <cell r="J49">
            <v>15.283042863732813</v>
          </cell>
        </row>
        <row r="50">
          <cell r="G50">
            <v>49</v>
          </cell>
          <cell r="H50">
            <v>24</v>
          </cell>
          <cell r="J50">
            <v>14.183555671732005</v>
          </cell>
        </row>
        <row r="51">
          <cell r="G51">
            <v>50</v>
          </cell>
          <cell r="H51" t="str">
            <v/>
          </cell>
          <cell r="J51" t="str">
            <v/>
          </cell>
        </row>
        <row r="52">
          <cell r="G52">
            <v>51</v>
          </cell>
          <cell r="H52" t="str">
            <v/>
          </cell>
          <cell r="J52" t="str">
            <v/>
          </cell>
        </row>
        <row r="53">
          <cell r="G53">
            <v>52</v>
          </cell>
          <cell r="H53" t="str">
            <v/>
          </cell>
          <cell r="J53" t="str">
            <v/>
          </cell>
        </row>
        <row r="54">
          <cell r="G54">
            <v>53</v>
          </cell>
          <cell r="H54" t="str">
            <v/>
          </cell>
          <cell r="J54" t="str">
            <v/>
          </cell>
        </row>
        <row r="55">
          <cell r="G55">
            <v>54</v>
          </cell>
          <cell r="H55" t="str">
            <v/>
          </cell>
          <cell r="J55" t="str">
            <v/>
          </cell>
        </row>
        <row r="56">
          <cell r="G56">
            <v>55</v>
          </cell>
          <cell r="H56" t="str">
            <v/>
          </cell>
          <cell r="J56" t="str">
            <v/>
          </cell>
        </row>
        <row r="57">
          <cell r="G57">
            <v>56</v>
          </cell>
          <cell r="H57" t="str">
            <v/>
          </cell>
          <cell r="J57" t="str">
            <v/>
          </cell>
        </row>
        <row r="58">
          <cell r="G58">
            <v>57</v>
          </cell>
          <cell r="H58" t="str">
            <v/>
          </cell>
          <cell r="J58" t="str">
            <v/>
          </cell>
        </row>
        <row r="59">
          <cell r="G59">
            <v>58</v>
          </cell>
          <cell r="H59" t="str">
            <v/>
          </cell>
          <cell r="J59" t="str">
            <v/>
          </cell>
        </row>
        <row r="60">
          <cell r="G60">
            <v>59</v>
          </cell>
          <cell r="H60" t="str">
            <v/>
          </cell>
          <cell r="J60" t="str">
            <v/>
          </cell>
        </row>
        <row r="61">
          <cell r="G61">
            <v>60</v>
          </cell>
          <cell r="H61" t="str">
            <v/>
          </cell>
          <cell r="J61" t="str">
            <v/>
          </cell>
        </row>
        <row r="62">
          <cell r="G62">
            <v>61</v>
          </cell>
          <cell r="H62" t="str">
            <v/>
          </cell>
          <cell r="J62" t="str">
            <v/>
          </cell>
        </row>
        <row r="63">
          <cell r="G63">
            <v>62</v>
          </cell>
          <cell r="H63" t="str">
            <v/>
          </cell>
          <cell r="J63" t="str">
            <v/>
          </cell>
        </row>
        <row r="64">
          <cell r="G64">
            <v>63</v>
          </cell>
          <cell r="H64" t="str">
            <v/>
          </cell>
          <cell r="J64" t="str">
            <v/>
          </cell>
        </row>
        <row r="65">
          <cell r="G65">
            <v>64</v>
          </cell>
          <cell r="H65" t="str">
            <v/>
          </cell>
          <cell r="J65" t="str">
            <v/>
          </cell>
        </row>
        <row r="66">
          <cell r="G66">
            <v>65</v>
          </cell>
          <cell r="H66" t="str">
            <v/>
          </cell>
          <cell r="J66" t="str">
            <v/>
          </cell>
        </row>
        <row r="67">
          <cell r="G67">
            <v>66</v>
          </cell>
          <cell r="H67" t="str">
            <v/>
          </cell>
          <cell r="J67" t="str">
            <v/>
          </cell>
        </row>
        <row r="68">
          <cell r="G68">
            <v>67</v>
          </cell>
          <cell r="H68" t="str">
            <v/>
          </cell>
          <cell r="J68" t="str">
            <v/>
          </cell>
        </row>
        <row r="69">
          <cell r="G69">
            <v>68</v>
          </cell>
          <cell r="H69" t="str">
            <v/>
          </cell>
          <cell r="J69" t="str">
            <v/>
          </cell>
        </row>
        <row r="70">
          <cell r="G70">
            <v>69</v>
          </cell>
          <cell r="H70" t="str">
            <v/>
          </cell>
          <cell r="J70" t="str">
            <v/>
          </cell>
        </row>
        <row r="71">
          <cell r="G71">
            <v>70</v>
          </cell>
          <cell r="H71" t="str">
            <v/>
          </cell>
          <cell r="J71" t="str">
            <v/>
          </cell>
        </row>
        <row r="72">
          <cell r="G72">
            <v>71</v>
          </cell>
          <cell r="H72" t="str">
            <v/>
          </cell>
          <cell r="J72" t="str">
            <v/>
          </cell>
        </row>
        <row r="73">
          <cell r="G73">
            <v>72</v>
          </cell>
          <cell r="H73" t="str">
            <v/>
          </cell>
          <cell r="J73" t="str">
            <v/>
          </cell>
        </row>
        <row r="74">
          <cell r="G74">
            <v>73</v>
          </cell>
          <cell r="H74" t="str">
            <v/>
          </cell>
          <cell r="J74" t="str">
            <v/>
          </cell>
        </row>
        <row r="75">
          <cell r="G75">
            <v>74</v>
          </cell>
          <cell r="H75" t="str">
            <v/>
          </cell>
          <cell r="J75" t="str">
            <v/>
          </cell>
        </row>
        <row r="76">
          <cell r="G76">
            <v>75</v>
          </cell>
          <cell r="H76" t="str">
            <v/>
          </cell>
          <cell r="J76" t="str">
            <v/>
          </cell>
        </row>
        <row r="77">
          <cell r="G77">
            <v>76</v>
          </cell>
          <cell r="H77" t="str">
            <v/>
          </cell>
          <cell r="J77" t="str">
            <v/>
          </cell>
        </row>
        <row r="78">
          <cell r="G78">
            <v>77</v>
          </cell>
          <cell r="H78" t="str">
            <v/>
          </cell>
          <cell r="J78" t="str">
            <v/>
          </cell>
        </row>
        <row r="79">
          <cell r="G79">
            <v>78</v>
          </cell>
          <cell r="H79" t="str">
            <v/>
          </cell>
          <cell r="J79" t="str">
            <v/>
          </cell>
        </row>
        <row r="80">
          <cell r="G80">
            <v>79</v>
          </cell>
          <cell r="H80" t="str">
            <v/>
          </cell>
          <cell r="J80" t="str">
            <v/>
          </cell>
        </row>
        <row r="81">
          <cell r="G81">
            <v>80</v>
          </cell>
          <cell r="H81" t="str">
            <v/>
          </cell>
          <cell r="J81" t="str">
            <v/>
          </cell>
        </row>
        <row r="82">
          <cell r="G82">
            <v>81</v>
          </cell>
          <cell r="H82" t="str">
            <v/>
          </cell>
          <cell r="J82" t="str">
            <v/>
          </cell>
        </row>
        <row r="83">
          <cell r="G83">
            <v>82</v>
          </cell>
          <cell r="H83" t="str">
            <v/>
          </cell>
          <cell r="J83" t="str">
            <v/>
          </cell>
        </row>
        <row r="84">
          <cell r="G84">
            <v>83</v>
          </cell>
          <cell r="H84" t="str">
            <v/>
          </cell>
          <cell r="J84" t="str">
            <v/>
          </cell>
        </row>
        <row r="85">
          <cell r="G85">
            <v>84</v>
          </cell>
          <cell r="H85" t="str">
            <v/>
          </cell>
          <cell r="J85" t="str">
            <v/>
          </cell>
        </row>
        <row r="86">
          <cell r="G86">
            <v>85</v>
          </cell>
          <cell r="H86" t="str">
            <v/>
          </cell>
          <cell r="J86" t="str">
            <v/>
          </cell>
        </row>
        <row r="87">
          <cell r="G87">
            <v>86</v>
          </cell>
          <cell r="H87" t="str">
            <v/>
          </cell>
          <cell r="J87" t="str">
            <v/>
          </cell>
        </row>
        <row r="88">
          <cell r="G88">
            <v>87</v>
          </cell>
          <cell r="H88" t="str">
            <v/>
          </cell>
          <cell r="J88" t="str">
            <v/>
          </cell>
        </row>
        <row r="89">
          <cell r="G89">
            <v>88</v>
          </cell>
          <cell r="H89" t="str">
            <v/>
          </cell>
          <cell r="J89" t="str">
            <v/>
          </cell>
        </row>
        <row r="90">
          <cell r="G90">
            <v>89</v>
          </cell>
          <cell r="H90" t="str">
            <v/>
          </cell>
          <cell r="J90" t="str">
            <v/>
          </cell>
        </row>
        <row r="91">
          <cell r="G91">
            <v>90</v>
          </cell>
          <cell r="H91" t="str">
            <v/>
          </cell>
          <cell r="J91" t="str">
            <v/>
          </cell>
        </row>
        <row r="92">
          <cell r="G92">
            <v>91</v>
          </cell>
          <cell r="H92" t="str">
            <v/>
          </cell>
          <cell r="J92" t="str">
            <v/>
          </cell>
        </row>
        <row r="93">
          <cell r="G93">
            <v>92</v>
          </cell>
          <cell r="H93" t="str">
            <v/>
          </cell>
          <cell r="J93" t="str">
            <v/>
          </cell>
        </row>
        <row r="94">
          <cell r="G94">
            <v>93</v>
          </cell>
          <cell r="H94" t="str">
            <v/>
          </cell>
          <cell r="J94" t="str">
            <v/>
          </cell>
        </row>
        <row r="95">
          <cell r="G95">
            <v>94</v>
          </cell>
          <cell r="H95" t="str">
            <v/>
          </cell>
          <cell r="J95" t="str">
            <v/>
          </cell>
        </row>
        <row r="96">
          <cell r="G96">
            <v>95</v>
          </cell>
          <cell r="H96" t="str">
            <v/>
          </cell>
          <cell r="J96" t="str">
            <v/>
          </cell>
        </row>
        <row r="97">
          <cell r="G97">
            <v>96</v>
          </cell>
          <cell r="H97" t="str">
            <v/>
          </cell>
          <cell r="J97" t="str">
            <v/>
          </cell>
        </row>
        <row r="98">
          <cell r="G98">
            <v>97</v>
          </cell>
          <cell r="H98" t="str">
            <v/>
          </cell>
          <cell r="J98" t="str">
            <v/>
          </cell>
        </row>
        <row r="99">
          <cell r="G99">
            <v>98</v>
          </cell>
          <cell r="H99" t="str">
            <v/>
          </cell>
          <cell r="J99" t="str">
            <v/>
          </cell>
        </row>
        <row r="100">
          <cell r="G100">
            <v>99</v>
          </cell>
          <cell r="H100" t="str">
            <v/>
          </cell>
          <cell r="J100" t="str">
            <v/>
          </cell>
        </row>
        <row r="101">
          <cell r="G101">
            <v>100</v>
          </cell>
          <cell r="H101" t="str">
            <v/>
          </cell>
          <cell r="J101" t="str">
            <v/>
          </cell>
        </row>
        <row r="102">
          <cell r="G102">
            <v>101</v>
          </cell>
          <cell r="H102" t="str">
            <v/>
          </cell>
          <cell r="J102" t="str">
            <v/>
          </cell>
        </row>
        <row r="103">
          <cell r="G103">
            <v>102</v>
          </cell>
          <cell r="H103" t="str">
            <v/>
          </cell>
          <cell r="J103" t="str">
            <v/>
          </cell>
        </row>
        <row r="104">
          <cell r="G104">
            <v>103</v>
          </cell>
          <cell r="H104" t="str">
            <v/>
          </cell>
          <cell r="J104" t="str">
            <v/>
          </cell>
        </row>
        <row r="105">
          <cell r="G105">
            <v>104</v>
          </cell>
          <cell r="H105" t="str">
            <v/>
          </cell>
          <cell r="J105" t="str">
            <v/>
          </cell>
        </row>
        <row r="106">
          <cell r="G106">
            <v>105</v>
          </cell>
          <cell r="H106" t="str">
            <v/>
          </cell>
          <cell r="J106" t="str">
            <v/>
          </cell>
        </row>
        <row r="107">
          <cell r="G107">
            <v>106</v>
          </cell>
          <cell r="H107" t="str">
            <v/>
          </cell>
          <cell r="J107" t="str">
            <v/>
          </cell>
        </row>
        <row r="108">
          <cell r="G108">
            <v>107</v>
          </cell>
          <cell r="H108" t="str">
            <v/>
          </cell>
          <cell r="J108" t="str">
            <v/>
          </cell>
        </row>
        <row r="109">
          <cell r="G109">
            <v>108</v>
          </cell>
          <cell r="H109" t="str">
            <v/>
          </cell>
          <cell r="J109" t="str">
            <v/>
          </cell>
        </row>
        <row r="110">
          <cell r="G110">
            <v>109</v>
          </cell>
          <cell r="H110" t="str">
            <v/>
          </cell>
          <cell r="J110" t="str">
            <v/>
          </cell>
        </row>
        <row r="111">
          <cell r="G111">
            <v>110</v>
          </cell>
          <cell r="H111" t="str">
            <v/>
          </cell>
          <cell r="J111" t="str">
            <v/>
          </cell>
        </row>
        <row r="112">
          <cell r="G112">
            <v>111</v>
          </cell>
          <cell r="H112" t="str">
            <v/>
          </cell>
          <cell r="J112" t="str">
            <v/>
          </cell>
        </row>
        <row r="113">
          <cell r="G113">
            <v>112</v>
          </cell>
          <cell r="H113" t="str">
            <v/>
          </cell>
          <cell r="J113" t="str">
            <v/>
          </cell>
        </row>
        <row r="114">
          <cell r="G114">
            <v>113</v>
          </cell>
          <cell r="H114" t="str">
            <v/>
          </cell>
          <cell r="J114" t="str">
            <v/>
          </cell>
        </row>
        <row r="115">
          <cell r="G115">
            <v>114</v>
          </cell>
          <cell r="H115" t="str">
            <v/>
          </cell>
          <cell r="J115" t="str">
            <v/>
          </cell>
        </row>
        <row r="116">
          <cell r="G116">
            <v>115</v>
          </cell>
          <cell r="H116" t="str">
            <v/>
          </cell>
          <cell r="J116" t="str">
            <v/>
          </cell>
        </row>
        <row r="117">
          <cell r="G117">
            <v>116</v>
          </cell>
          <cell r="H117" t="str">
            <v/>
          </cell>
          <cell r="J117" t="str">
            <v/>
          </cell>
        </row>
        <row r="118">
          <cell r="G118">
            <v>117</v>
          </cell>
          <cell r="H118" t="str">
            <v/>
          </cell>
          <cell r="J118" t="str">
            <v/>
          </cell>
        </row>
        <row r="119">
          <cell r="G119">
            <v>118</v>
          </cell>
          <cell r="H119" t="str">
            <v/>
          </cell>
          <cell r="J119" t="str">
            <v/>
          </cell>
        </row>
        <row r="120">
          <cell r="G120">
            <v>119</v>
          </cell>
          <cell r="H120" t="str">
            <v/>
          </cell>
          <cell r="J120" t="str">
            <v/>
          </cell>
        </row>
        <row r="121">
          <cell r="G121">
            <v>120</v>
          </cell>
          <cell r="H121" t="str">
            <v/>
          </cell>
          <cell r="J121" t="str">
            <v/>
          </cell>
        </row>
        <row r="122">
          <cell r="G122">
            <v>121</v>
          </cell>
          <cell r="H122" t="str">
            <v/>
          </cell>
          <cell r="J122" t="str">
            <v/>
          </cell>
        </row>
        <row r="123">
          <cell r="G123">
            <v>122</v>
          </cell>
          <cell r="H123" t="str">
            <v/>
          </cell>
          <cell r="J123" t="str">
            <v/>
          </cell>
        </row>
        <row r="124">
          <cell r="G124">
            <v>123</v>
          </cell>
          <cell r="H124" t="str">
            <v/>
          </cell>
          <cell r="J124" t="str">
            <v/>
          </cell>
        </row>
        <row r="125">
          <cell r="G125">
            <v>124</v>
          </cell>
          <cell r="H125" t="str">
            <v/>
          </cell>
          <cell r="J125" t="str">
            <v/>
          </cell>
        </row>
        <row r="126">
          <cell r="G126">
            <v>125</v>
          </cell>
          <cell r="H126" t="str">
            <v/>
          </cell>
          <cell r="J126" t="str">
            <v/>
          </cell>
        </row>
        <row r="127">
          <cell r="G127">
            <v>126</v>
          </cell>
          <cell r="H127" t="str">
            <v/>
          </cell>
          <cell r="J127" t="str">
            <v/>
          </cell>
        </row>
        <row r="128">
          <cell r="G128">
            <v>127</v>
          </cell>
          <cell r="H128" t="str">
            <v/>
          </cell>
          <cell r="J128" t="str">
            <v/>
          </cell>
        </row>
        <row r="129">
          <cell r="G129">
            <v>128</v>
          </cell>
          <cell r="H129" t="str">
            <v/>
          </cell>
          <cell r="J129" t="str">
            <v/>
          </cell>
        </row>
        <row r="130">
          <cell r="G130">
            <v>129</v>
          </cell>
          <cell r="H130" t="str">
            <v/>
          </cell>
          <cell r="J130" t="str">
            <v/>
          </cell>
        </row>
        <row r="131">
          <cell r="G131">
            <v>130</v>
          </cell>
          <cell r="H131" t="str">
            <v/>
          </cell>
          <cell r="J131" t="str">
            <v/>
          </cell>
        </row>
        <row r="132">
          <cell r="G132">
            <v>131</v>
          </cell>
          <cell r="H132" t="str">
            <v/>
          </cell>
          <cell r="J132" t="str">
            <v/>
          </cell>
        </row>
        <row r="133">
          <cell r="G133">
            <v>132</v>
          </cell>
          <cell r="H133" t="str">
            <v/>
          </cell>
          <cell r="J133" t="str">
            <v/>
          </cell>
        </row>
        <row r="134">
          <cell r="G134">
            <v>133</v>
          </cell>
          <cell r="H134" t="str">
            <v/>
          </cell>
          <cell r="J134" t="str">
            <v/>
          </cell>
        </row>
        <row r="135">
          <cell r="G135">
            <v>134</v>
          </cell>
          <cell r="H135" t="str">
            <v/>
          </cell>
          <cell r="J135" t="str">
            <v/>
          </cell>
        </row>
        <row r="136">
          <cell r="G136">
            <v>135</v>
          </cell>
          <cell r="H136" t="str">
            <v/>
          </cell>
          <cell r="J136" t="str">
            <v/>
          </cell>
        </row>
        <row r="137">
          <cell r="G137">
            <v>136</v>
          </cell>
          <cell r="H137" t="str">
            <v/>
          </cell>
          <cell r="J137" t="str">
            <v/>
          </cell>
        </row>
        <row r="138">
          <cell r="G138">
            <v>137</v>
          </cell>
          <cell r="H138" t="str">
            <v/>
          </cell>
          <cell r="J138" t="str">
            <v/>
          </cell>
        </row>
        <row r="139">
          <cell r="G139">
            <v>138</v>
          </cell>
          <cell r="H139" t="str">
            <v/>
          </cell>
          <cell r="J139" t="str">
            <v/>
          </cell>
        </row>
        <row r="140">
          <cell r="G140">
            <v>139</v>
          </cell>
          <cell r="H140" t="str">
            <v/>
          </cell>
          <cell r="J140" t="str">
            <v/>
          </cell>
        </row>
        <row r="141">
          <cell r="G141">
            <v>140</v>
          </cell>
          <cell r="H141" t="str">
            <v/>
          </cell>
          <cell r="J141" t="str">
            <v/>
          </cell>
        </row>
        <row r="142">
          <cell r="G142">
            <v>141</v>
          </cell>
          <cell r="H142" t="str">
            <v/>
          </cell>
          <cell r="J142" t="str">
            <v/>
          </cell>
        </row>
        <row r="143">
          <cell r="G143">
            <v>142</v>
          </cell>
          <cell r="H143" t="str">
            <v/>
          </cell>
          <cell r="J143" t="str">
            <v/>
          </cell>
        </row>
        <row r="144">
          <cell r="G144">
            <v>143</v>
          </cell>
          <cell r="H144" t="str">
            <v/>
          </cell>
          <cell r="J144" t="str">
            <v/>
          </cell>
        </row>
        <row r="145">
          <cell r="G145">
            <v>144</v>
          </cell>
          <cell r="H145" t="str">
            <v/>
          </cell>
          <cell r="J145" t="str">
            <v/>
          </cell>
        </row>
        <row r="146">
          <cell r="G146">
            <v>145</v>
          </cell>
          <cell r="H146" t="str">
            <v/>
          </cell>
          <cell r="J146" t="str">
            <v/>
          </cell>
        </row>
        <row r="147">
          <cell r="G147">
            <v>146</v>
          </cell>
          <cell r="H147" t="str">
            <v/>
          </cell>
          <cell r="J147" t="str">
            <v/>
          </cell>
        </row>
        <row r="148">
          <cell r="G148">
            <v>147</v>
          </cell>
          <cell r="H148" t="str">
            <v/>
          </cell>
          <cell r="J148" t="str">
            <v/>
          </cell>
        </row>
      </sheetData>
      <sheetData sheetId="7"/>
      <sheetData sheetId="8" refreshError="1"/>
      <sheetData sheetId="9"/>
      <sheetData sheetId="10"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İRİŞ ve KULLANIM"/>
      <sheetName val="HESAP"/>
      <sheetName val="KAH"/>
      <sheetName val="Buharlasma"/>
      <sheetName val="ALTERNATİFLER TABLOSU"/>
      <sheetName val="Tablo Format BASKI"/>
      <sheetName val="alt1"/>
      <sheetName val="alt2"/>
    </sheetNames>
    <sheetDataSet>
      <sheetData sheetId="0" refreshError="1"/>
      <sheetData sheetId="1" refreshError="1"/>
      <sheetData sheetId="2" refreshError="1">
        <row r="4">
          <cell r="B4">
            <v>1306</v>
          </cell>
          <cell r="D4">
            <v>0</v>
          </cell>
        </row>
        <row r="5">
          <cell r="B5">
            <v>1315</v>
          </cell>
          <cell r="D5">
            <v>90.99</v>
          </cell>
        </row>
        <row r="6">
          <cell r="B6">
            <v>1316</v>
          </cell>
          <cell r="D6">
            <v>174.17500000000001</v>
          </cell>
        </row>
        <row r="7">
          <cell r="B7">
            <v>1317</v>
          </cell>
          <cell r="D7">
            <v>419.8</v>
          </cell>
        </row>
        <row r="8">
          <cell r="B8">
            <v>1318</v>
          </cell>
          <cell r="D8">
            <v>900.64499999999998</v>
          </cell>
        </row>
        <row r="9">
          <cell r="B9">
            <v>1319</v>
          </cell>
          <cell r="D9">
            <v>1770.1</v>
          </cell>
        </row>
        <row r="10">
          <cell r="B10">
            <v>1320</v>
          </cell>
          <cell r="D10">
            <v>3086.585</v>
          </cell>
        </row>
        <row r="11">
          <cell r="B11">
            <v>1321</v>
          </cell>
          <cell r="D11">
            <v>4823.74</v>
          </cell>
        </row>
        <row r="12">
          <cell r="B12">
            <v>1322</v>
          </cell>
          <cell r="D12">
            <v>7048.82</v>
          </cell>
        </row>
        <row r="13">
          <cell r="B13">
            <v>1323</v>
          </cell>
          <cell r="D13">
            <v>9847.5750000000007</v>
          </cell>
        </row>
        <row r="14">
          <cell r="B14">
            <v>1324</v>
          </cell>
          <cell r="D14">
            <v>13309.54</v>
          </cell>
        </row>
        <row r="15">
          <cell r="B15">
            <v>1325</v>
          </cell>
          <cell r="D15">
            <v>17502.39</v>
          </cell>
        </row>
        <row r="16">
          <cell r="B16">
            <v>1326</v>
          </cell>
          <cell r="D16">
            <v>22486.525000000001</v>
          </cell>
        </row>
        <row r="17">
          <cell r="B17">
            <v>1327</v>
          </cell>
          <cell r="D17">
            <v>28338.090000000004</v>
          </cell>
        </row>
        <row r="18">
          <cell r="B18">
            <v>1328</v>
          </cell>
          <cell r="D18">
            <v>35136.600000000006</v>
          </cell>
        </row>
        <row r="19">
          <cell r="B19">
            <v>1329</v>
          </cell>
          <cell r="D19">
            <v>42957.885000000009</v>
          </cell>
        </row>
        <row r="20">
          <cell r="B20">
            <v>1330</v>
          </cell>
          <cell r="D20">
            <v>51926.005000000005</v>
          </cell>
        </row>
        <row r="21">
          <cell r="B21">
            <v>1331</v>
          </cell>
          <cell r="D21">
            <v>62176.565000000002</v>
          </cell>
        </row>
        <row r="22">
          <cell r="B22">
            <v>1332</v>
          </cell>
          <cell r="D22">
            <v>73783.785000000003</v>
          </cell>
        </row>
        <row r="23">
          <cell r="B23">
            <v>1333</v>
          </cell>
          <cell r="D23">
            <v>86812.950000000012</v>
          </cell>
        </row>
        <row r="24">
          <cell r="B24">
            <v>1334</v>
          </cell>
          <cell r="D24">
            <v>101371.06000000001</v>
          </cell>
        </row>
        <row r="25">
          <cell r="B25">
            <v>1335</v>
          </cell>
          <cell r="D25">
            <v>117522.1</v>
          </cell>
        </row>
        <row r="26">
          <cell r="B26">
            <v>1336</v>
          </cell>
          <cell r="D26">
            <v>135279.535</v>
          </cell>
        </row>
        <row r="27">
          <cell r="B27">
            <v>1337</v>
          </cell>
          <cell r="D27">
            <v>154680.32000000001</v>
          </cell>
        </row>
        <row r="28">
          <cell r="B28">
            <v>1338</v>
          </cell>
          <cell r="D28">
            <v>175770.02000000002</v>
          </cell>
        </row>
        <row r="29">
          <cell r="B29">
            <v>1339</v>
          </cell>
          <cell r="D29">
            <v>198594.89</v>
          </cell>
        </row>
        <row r="30">
          <cell r="B30">
            <v>1340</v>
          </cell>
          <cell r="D30">
            <v>223243.36500000002</v>
          </cell>
        </row>
        <row r="31">
          <cell r="B31">
            <v>1341</v>
          </cell>
          <cell r="D31">
            <v>249881.18500000003</v>
          </cell>
        </row>
        <row r="32">
          <cell r="B32">
            <v>1350</v>
          </cell>
          <cell r="D32">
            <v>591960.55690000008</v>
          </cell>
        </row>
        <row r="33">
          <cell r="B33">
            <v>1355</v>
          </cell>
          <cell r="D33">
            <v>861723.34715000005</v>
          </cell>
        </row>
        <row r="34">
          <cell r="B34">
            <v>1360</v>
          </cell>
          <cell r="D34">
            <v>1187535.9169000001</v>
          </cell>
        </row>
      </sheetData>
      <sheetData sheetId="3" refreshError="1"/>
      <sheetData sheetId="4" refreshError="1"/>
      <sheetData sheetId="5" refreshError="1"/>
      <sheetData sheetId="6" refreshError="1"/>
      <sheetData sheetId="7"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FARKI HESABI"/>
      <sheetName val="FF_07"/>
      <sheetName val="FF_08"/>
      <sheetName val="FF_09"/>
      <sheetName val="FF_10"/>
      <sheetName val="IsPrg"/>
      <sheetName val="RevIsPrg"/>
      <sheetName val="Muk.Keşif"/>
      <sheetName val="PMT nakli"/>
      <sheetName val="ATem.Nakli"/>
      <sheetName val="GENEL BILGI"/>
      <sheetName val="Metraj İcmali (Yeşil Defter)"/>
      <sheetName val="Yapılan İşler Listesi (b)"/>
      <sheetName val="RevFiyTutanak"/>
      <sheetName val="RevFiyat"/>
      <sheetName val="FiyatAnalizi"/>
      <sheetName val="YeniFiyatTut"/>
      <sheetName val="Ilan"/>
      <sheetName val="KesifArtisOluru"/>
      <sheetName val="SureUzatimOluru"/>
      <sheetName val="KesifArtisTutanagi"/>
      <sheetName val="YesilDefterKapak"/>
      <sheetName val="IseBasTut"/>
      <sheetName val="IsyeriTesTut"/>
      <sheetName val="Kutu Menfez Imalat Mik.Cetveli"/>
      <sheetName val="Hakediş Raporu Kapağı"/>
      <sheetName val="İsci Ucret Alacakları Tutanagi"/>
      <sheetName val="Imalat Tutanagi"/>
      <sheetName val="Dizi Pusulası"/>
      <sheetName val="Ağırlık Oran. Tem. Kat."/>
      <sheetName val="Fiyat Farkı Hesap Tablosu"/>
      <sheetName val="İhzarat  Tespit Tutanağı"/>
      <sheetName val="Ödenek Dilimleri ve İş Prg. (a)"/>
      <sheetName val="Ödenek Dilimleri ve İş Prg. (b)"/>
      <sheetName val="Yapılan İşler Listesi (a)"/>
      <sheetName val="Hakediş Özeti"/>
      <sheetName val="İcmal"/>
      <sheetName val="Hakediş Raporu Son Sayf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5">
          <cell r="C5" t="str">
            <v>Uşak-Banaz-Afyon Yolu Üstyapı Onarımları için Agrega Temini ve Nakli ile PMT Yapılması</v>
          </cell>
        </row>
        <row r="9">
          <cell r="C9" t="str">
            <v>Beyhim İnş.Taah.San.ve Tic.Ltd.Şti.</v>
          </cell>
        </row>
        <row r="10">
          <cell r="C10">
            <v>728098693600</v>
          </cell>
        </row>
        <row r="24">
          <cell r="C24" t="str">
            <v>5 (SON)</v>
          </cell>
        </row>
        <row r="25">
          <cell r="C25">
            <v>38282</v>
          </cell>
        </row>
        <row r="28">
          <cell r="C28" t="str">
            <v>Mehmet DEMİRPOLAT</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k Rap.Üst"/>
      <sheetName val="Hak.Rap."/>
      <sheetName val="Hak.İcm."/>
      <sheetName val="Hak.Özet"/>
      <sheetName val="FiyFar.Hes.Tab."/>
      <sheetName val="yap.işler lis."/>
      <sheetName val="Yeşil.Defter.Kapak"/>
      <sheetName val="Figüre tut."/>
      <sheetName val=" metraj icmali"/>
      <sheetName val="Ağ.Or.Tem.Kat"/>
      <sheetName val="İlan"/>
      <sheetName val="İşçi Al. Tut."/>
      <sheetName val="Mek. İti."/>
      <sheetName val="Nakl.hes"/>
      <sheetName val="Sayfa1"/>
      <sheetName val="Sayfa2"/>
    </sheetNames>
    <sheetDataSet>
      <sheetData sheetId="0" refreshError="1"/>
      <sheetData sheetId="1" refreshError="1"/>
      <sheetData sheetId="2" refreshError="1"/>
      <sheetData sheetId="3" refreshError="1"/>
      <sheetData sheetId="4" refreshError="1"/>
      <sheetData sheetId="5" refreshError="1"/>
      <sheetData sheetId="6" refreshError="1">
        <row r="7">
          <cell r="H7">
            <v>5</v>
          </cell>
        </row>
        <row r="22">
          <cell r="F22">
            <v>38282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KAL DÖN.YAP.İŞL.İTİNERERİ"/>
      <sheetName val="TIRMANMA ŞERİTLERİ"/>
      <sheetName val="HAKEDİŞLER"/>
      <sheetName val="İŞ PROĞRAMI"/>
      <sheetName val="DOSYA KAP. YAZILARI"/>
      <sheetName val="TİP ENKESİT"/>
      <sheetName val="NUMUNE KARTI"/>
      <sheetName val="BETON BAS.DAY.FORMU"/>
      <sheetName val="ARAZİ  PUANTAJI"/>
      <sheetName val="KUTU MEF 2"/>
      <sheetName val="TES.İŞ.KÜBJ.İCMALİ"/>
      <sheetName val="fazla ödeme"/>
      <sheetName val="Fotoğraf Km.si"/>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öpr-icm"/>
      <sheetName val="keyplan"/>
      <sheetName val="kapak"/>
      <sheetName val="hakrap"/>
      <sheetName val="dizpus"/>
      <sheetName val="dpusydsiz"/>
      <sheetName val="ödcet"/>
      <sheetName val="icmal"/>
      <sheetName val="ydiç"/>
      <sheetName val="yapisler"/>
      <sheetName val="öddil"/>
      <sheetName val="mali"/>
      <sheetName val="isçi"/>
      <sheetName val="fficmali"/>
      <sheetName val="kurusaka"/>
      <sheetName val="miktaraka"/>
      <sheetName val="kümakami"/>
      <sheetName val="aka-mik-tut"/>
      <sheetName val="çimfifark"/>
      <sheetName val="çzamtut"/>
      <sheetName val="çbünyetut"/>
      <sheetName val="çmiktar"/>
      <sheetName val="mik-tut (Çim)"/>
      <sheetName val="elekt(çim)"/>
      <sheetName val="fatçim"/>
      <sheetName val="çimicmal "/>
      <sheetName val="kumicmal"/>
      <sheetName val="fifark(dem)"/>
      <sheetName val="zamtut(dem)"/>
      <sheetName val="bünyetut(dem)"/>
      <sheetName val="dmiktar"/>
      <sheetName val="mik-tut (Dem)"/>
      <sheetName val="fat(dem)"/>
      <sheetName val="köprü-dem"/>
      <sheetName val="fifark(PVC)"/>
      <sheetName val="zamtut (PVC)"/>
      <sheetName val="bünyetut (PVC)"/>
      <sheetName val="miktar (PVC)"/>
      <sheetName val="mik-tut (PVC) "/>
      <sheetName val="fifark(bitüm)"/>
      <sheetName val="zamtut (bit)"/>
      <sheetName val="bünyetut (bit)"/>
      <sheetName val="miktar (bit)"/>
      <sheetName val="fatura (bit)"/>
      <sheetName val="bitüm-mik-tut"/>
      <sheetName val="emülsiyon icmal"/>
      <sheetName val="fifark (çinko)"/>
      <sheetName val="zamtut (çinko)"/>
      <sheetName val="bünyetut (çinko)"/>
      <sheetName val="mik-tut (çinko)  "/>
      <sheetName val="fifark (saç) "/>
      <sheetName val="zamtut (saç)"/>
      <sheetName val="bünyetut (saç) "/>
      <sheetName val="miktar (saç)"/>
      <sheetName val="mik-tut (sac) "/>
      <sheetName val="fifark(AL)"/>
      <sheetName val="zamtut (AL)"/>
      <sheetName val="bünyetut (AL)"/>
      <sheetName val="miktar (AL)"/>
      <sheetName val="mik-tut (AL)"/>
      <sheetName val="fatura (AL)"/>
      <sheetName val="fifark(önger)"/>
      <sheetName val="miktar(önger)"/>
      <sheetName val="Elek-ffark"/>
      <sheetName val="ihzatut(agr)"/>
      <sheetName val="ihzatut (elek)"/>
      <sheetName val="ihzatut (dem)"/>
      <sheetName val="K-kroki-tut"/>
      <sheetName val="K kroki"/>
      <sheetName val="kroki(üst-agr)"/>
      <sheetName val="toprak-icm"/>
      <sheetName val="Bost-Küb"/>
      <sheetName val="san-icm"/>
      <sheetName val="sanatmetraj"/>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yfa1"/>
      <sheetName val="sera CIKTI"/>
      <sheetName val="tarla CIKTI"/>
      <sheetName val="Tablo -1"/>
      <sheetName val="Tablo-2-3"/>
      <sheetName val="Tablo-2-3 (2)"/>
      <sheetName val="Tablo -4 "/>
      <sheetName val="Sayfa3"/>
      <sheetName val="T-5 PAL-ÇAV-OVA SULAMA"/>
      <sheetName val="Tablo3.44"/>
      <sheetName val="Tablo3.45"/>
      <sheetName val="Tablo3.46"/>
      <sheetName val="Tablo3.37"/>
      <sheetName val="Tablo 3.36"/>
      <sheetName val="Tablo3.42"/>
      <sheetName val="Tablo3.43"/>
      <sheetName val="Tablo 3.3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Şekil 4.1"/>
      <sheetName val="Şekil 4.2-3"/>
      <sheetName val="Tablo 4.1 4.2"/>
      <sheetName val="Tablo 4.3"/>
      <sheetName val="Tablo 4.4"/>
      <sheetName val="Tablo 4.5"/>
      <sheetName val="Tablo 4.6"/>
      <sheetName val="Tablo 4.8"/>
      <sheetName val="Tablo 4.9"/>
      <sheetName val="Tablo 4.10"/>
      <sheetName val="Tablo 4.11"/>
      <sheetName val="Tablo 4.12"/>
      <sheetName val="Tablo 4.13"/>
      <sheetName val="Tablo 4.14"/>
      <sheetName val="Tablo 4.15-1"/>
      <sheetName val="Tablo 4.15-2"/>
      <sheetName val="Tablo 4.15-3"/>
      <sheetName val="Tablo 4.15-4"/>
      <sheetName val="Tablo 4.15-5"/>
      <sheetName val="Tablo 4.15-6"/>
      <sheetName val="Tablo 4.15-7"/>
      <sheetName val="Tablo 4.15-8"/>
      <sheetName val="Tablo 4.15-9"/>
      <sheetName val="Tablo 4.15-10"/>
      <sheetName val="Tablo 4.15-11"/>
      <sheetName val="Tablo 4.15-12"/>
      <sheetName val="Tablo 4.15-13"/>
      <sheetName val="Tablo 4.15-14"/>
      <sheetName val="Tablo 4.15-15"/>
      <sheetName val="Tablo 4.15-16"/>
      <sheetName val="Tablo 4.15-17"/>
      <sheetName val="Tablo 4.15-18"/>
      <sheetName val="Tablo 4.15-19"/>
      <sheetName val="Tablo 4.15-20"/>
      <sheetName val="Tablo 4.15-21"/>
      <sheetName val="Tablo 4.15-22"/>
      <sheetName val="Tablo 4.15-23"/>
      <sheetName val="Tablo 4.15-24"/>
      <sheetName val="Tablo 4.15-25"/>
      <sheetName val="Tablo 4.15-26"/>
      <sheetName val="Tablo 4.15-27"/>
      <sheetName val="Tablo 4.15-28"/>
      <sheetName val="Tablo 4.15-29"/>
      <sheetName val="Tablo 4.15-30"/>
      <sheetName val="Tablo 4.15-31"/>
      <sheetName val="Tablo 4.15-32"/>
      <sheetName val="Tablo 4.15-33"/>
      <sheetName val="Tablo 4.15-34"/>
      <sheetName val="Tablo 4.15-35"/>
      <sheetName val="Tablo 4.15-36"/>
      <sheetName val="Tablo 4.15-37"/>
      <sheetName val="Tablo 4.15-38"/>
      <sheetName val="Tablo 4.15-39"/>
      <sheetName val="Tablo 4.15-40"/>
      <sheetName val="Tablo 4.15-41"/>
      <sheetName val="Tablo 4.16"/>
      <sheetName val="Tablo 4.17"/>
      <sheetName val="Tablo 4.18"/>
      <sheetName val="Tablo 4.19"/>
      <sheetName val="Tablo 4.19 (ham)"/>
      <sheetName val="Tablo 4.21"/>
      <sheetName val="Tablo 4.22"/>
      <sheetName val="Tablo 4.23"/>
      <sheetName val="Tablo 4.24"/>
      <sheetName val="Tablo 4.25"/>
      <sheetName val="Tablo 4.26"/>
      <sheetName val="Tablo 4.27"/>
      <sheetName val="Şekil 4.4"/>
      <sheetName val="Şekil 4.5"/>
      <sheetName val="Tablo 4.30"/>
      <sheetName val="Tablo 4.31"/>
      <sheetName val="Tablo 4.32"/>
      <sheetName val="Tablo 4.33"/>
      <sheetName val="Tablo 4.34"/>
      <sheetName val="Tablo 4.35"/>
      <sheetName val="Tablo 4.36"/>
      <sheetName val="Şekil 4.6"/>
      <sheetName val="Tablo 4_3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row r="1">
          <cell r="A1" t="str">
            <v>Tablo 4.31</v>
          </cell>
          <cell r="C1" t="str">
            <v>Proje Sahası İçi ve Çevresindeki Yağış Gözlem</v>
          </cell>
        </row>
        <row r="2">
          <cell r="C2" t="str">
            <v>İstasyonlarının Yılda Günlük Maksimum Yağış Değerleri (mm)</v>
          </cell>
        </row>
        <row r="3">
          <cell r="A3" t="str">
            <v>Adı</v>
          </cell>
          <cell r="B3" t="str">
            <v>YAVUZKEMAL</v>
          </cell>
          <cell r="D3" t="str">
            <v>TAMDERE</v>
          </cell>
          <cell r="F3" t="str">
            <v>GİRESUN</v>
          </cell>
          <cell r="H3" t="str">
            <v>KEŞAP</v>
          </cell>
          <cell r="J3" t="str">
            <v>BULANCAK</v>
          </cell>
          <cell r="L3" t="str">
            <v>TİREBOLU</v>
          </cell>
          <cell r="N3" t="str">
            <v>MERYEMANA</v>
          </cell>
        </row>
        <row r="4">
          <cell r="A4" t="str">
            <v>Kot</v>
          </cell>
          <cell r="B4">
            <v>1625</v>
          </cell>
          <cell r="D4">
            <v>1700</v>
          </cell>
          <cell r="F4">
            <v>38</v>
          </cell>
          <cell r="H4">
            <v>30</v>
          </cell>
          <cell r="J4">
            <v>10</v>
          </cell>
          <cell r="L4">
            <v>10</v>
          </cell>
          <cell r="N4">
            <v>1100</v>
          </cell>
        </row>
        <row r="5">
          <cell r="A5" t="str">
            <v>Kur</v>
          </cell>
          <cell r="B5" t="str">
            <v>DMİ</v>
          </cell>
          <cell r="D5" t="str">
            <v>DSİ</v>
          </cell>
          <cell r="F5" t="str">
            <v>DMİ</v>
          </cell>
          <cell r="H5" t="str">
            <v>DMİ</v>
          </cell>
          <cell r="J5" t="str">
            <v>DMİ</v>
          </cell>
          <cell r="L5" t="str">
            <v>DMİ</v>
          </cell>
          <cell r="N5" t="str">
            <v>DMİ</v>
          </cell>
        </row>
        <row r="6">
          <cell r="A6" t="str">
            <v>Yıl</v>
          </cell>
          <cell r="B6" t="str">
            <v>Yeb</v>
          </cell>
          <cell r="C6" t="str">
            <v>g-ay</v>
          </cell>
          <cell r="D6" t="str">
            <v>Yeb</v>
          </cell>
          <cell r="E6" t="str">
            <v>g-ay</v>
          </cell>
          <cell r="F6" t="str">
            <v>Yeb</v>
          </cell>
          <cell r="G6" t="str">
            <v>g-ay</v>
          </cell>
          <cell r="H6" t="str">
            <v>Yeb</v>
          </cell>
          <cell r="I6" t="str">
            <v>g-ay</v>
          </cell>
          <cell r="J6" t="str">
            <v>Yeb</v>
          </cell>
          <cell r="K6" t="str">
            <v>g-ay</v>
          </cell>
          <cell r="L6" t="str">
            <v>Yeb</v>
          </cell>
          <cell r="M6" t="str">
            <v>g-ay</v>
          </cell>
          <cell r="N6" t="str">
            <v>Yeb</v>
          </cell>
          <cell r="O6" t="str">
            <v>g-ay</v>
          </cell>
        </row>
        <row r="7">
          <cell r="A7">
            <v>2002</v>
          </cell>
          <cell r="F7">
            <v>72.599999999999994</v>
          </cell>
        </row>
        <row r="8">
          <cell r="A8">
            <v>2001</v>
          </cell>
          <cell r="F8">
            <v>68</v>
          </cell>
        </row>
        <row r="9">
          <cell r="A9">
            <v>2000</v>
          </cell>
          <cell r="F9">
            <v>68.400000000000006</v>
          </cell>
          <cell r="L9">
            <v>42.5</v>
          </cell>
          <cell r="M9">
            <v>1</v>
          </cell>
        </row>
        <row r="10">
          <cell r="A10">
            <v>1999</v>
          </cell>
          <cell r="F10">
            <v>69.8</v>
          </cell>
          <cell r="L10">
            <v>92.4</v>
          </cell>
          <cell r="M10">
            <v>9</v>
          </cell>
        </row>
        <row r="11">
          <cell r="A11">
            <v>1998</v>
          </cell>
          <cell r="F11">
            <v>62.2</v>
          </cell>
          <cell r="L11">
            <v>108.9</v>
          </cell>
          <cell r="M11">
            <v>12</v>
          </cell>
        </row>
        <row r="12">
          <cell r="A12">
            <v>1997</v>
          </cell>
          <cell r="F12">
            <v>50.4</v>
          </cell>
          <cell r="L12">
            <v>71.2</v>
          </cell>
          <cell r="M12">
            <v>7</v>
          </cell>
        </row>
        <row r="13">
          <cell r="A13">
            <v>1996</v>
          </cell>
          <cell r="F13">
            <v>75.400000000000006</v>
          </cell>
          <cell r="L13">
            <v>59.7</v>
          </cell>
          <cell r="M13">
            <v>10</v>
          </cell>
        </row>
        <row r="14">
          <cell r="A14">
            <v>1995</v>
          </cell>
          <cell r="F14">
            <v>55</v>
          </cell>
          <cell r="L14">
            <v>76.2</v>
          </cell>
          <cell r="M14">
            <v>6</v>
          </cell>
        </row>
        <row r="15">
          <cell r="A15">
            <v>1994</v>
          </cell>
          <cell r="F15">
            <v>70.2</v>
          </cell>
          <cell r="L15">
            <v>82.3</v>
          </cell>
          <cell r="M15">
            <v>10</v>
          </cell>
        </row>
        <row r="16">
          <cell r="A16">
            <v>1993</v>
          </cell>
          <cell r="F16">
            <v>53.1</v>
          </cell>
          <cell r="L16">
            <v>94.4</v>
          </cell>
          <cell r="M16">
            <v>8</v>
          </cell>
        </row>
        <row r="17">
          <cell r="A17">
            <v>1992</v>
          </cell>
          <cell r="F17">
            <v>103.7</v>
          </cell>
          <cell r="L17">
            <v>134.1</v>
          </cell>
          <cell r="M17">
            <v>7</v>
          </cell>
        </row>
        <row r="18">
          <cell r="A18">
            <v>1991</v>
          </cell>
          <cell r="F18">
            <v>72.400000000000006</v>
          </cell>
          <cell r="L18">
            <v>93.5</v>
          </cell>
          <cell r="M18">
            <v>8</v>
          </cell>
        </row>
        <row r="19">
          <cell r="A19">
            <v>1990</v>
          </cell>
          <cell r="F19">
            <v>65.7</v>
          </cell>
          <cell r="L19">
            <v>81.400000000000006</v>
          </cell>
          <cell r="M19">
            <v>6</v>
          </cell>
        </row>
        <row r="20">
          <cell r="A20">
            <v>1989</v>
          </cell>
          <cell r="F20">
            <v>85.8</v>
          </cell>
          <cell r="L20">
            <v>87.6</v>
          </cell>
          <cell r="M20">
            <v>7</v>
          </cell>
        </row>
        <row r="21">
          <cell r="A21">
            <v>1988</v>
          </cell>
          <cell r="F21">
            <v>78.2</v>
          </cell>
          <cell r="L21">
            <v>242.3</v>
          </cell>
          <cell r="M21">
            <v>8</v>
          </cell>
          <cell r="N21">
            <v>40.299999999999997</v>
          </cell>
        </row>
        <row r="22">
          <cell r="A22">
            <v>1987</v>
          </cell>
          <cell r="D22">
            <v>60.4</v>
          </cell>
          <cell r="E22">
            <v>1</v>
          </cell>
          <cell r="F22">
            <v>50.8</v>
          </cell>
          <cell r="H22">
            <v>54.7</v>
          </cell>
          <cell r="I22">
            <v>11</v>
          </cell>
          <cell r="J22">
            <v>40.700000000000003</v>
          </cell>
          <cell r="L22">
            <v>75</v>
          </cell>
          <cell r="M22">
            <v>8</v>
          </cell>
          <cell r="N22">
            <v>42.5</v>
          </cell>
          <cell r="O22">
            <v>1</v>
          </cell>
        </row>
        <row r="23">
          <cell r="A23">
            <v>1986</v>
          </cell>
          <cell r="D23">
            <v>34.5</v>
          </cell>
          <cell r="E23">
            <v>11</v>
          </cell>
          <cell r="F23">
            <v>95.4</v>
          </cell>
          <cell r="H23">
            <v>71.099999999999994</v>
          </cell>
          <cell r="I23">
            <v>11</v>
          </cell>
          <cell r="J23">
            <v>44</v>
          </cell>
          <cell r="L23">
            <v>53.3</v>
          </cell>
          <cell r="M23">
            <v>11</v>
          </cell>
          <cell r="N23">
            <v>32.5</v>
          </cell>
          <cell r="O23">
            <v>1</v>
          </cell>
        </row>
        <row r="24">
          <cell r="A24">
            <v>1985</v>
          </cell>
          <cell r="D24">
            <v>27.2</v>
          </cell>
          <cell r="E24">
            <v>10</v>
          </cell>
          <cell r="F24">
            <v>53.8</v>
          </cell>
          <cell r="J24">
            <v>57.2</v>
          </cell>
          <cell r="L24">
            <v>61.6</v>
          </cell>
          <cell r="M24">
            <v>12</v>
          </cell>
          <cell r="N24">
            <v>47.2</v>
          </cell>
          <cell r="O24">
            <v>6</v>
          </cell>
        </row>
        <row r="25">
          <cell r="A25">
            <v>1984</v>
          </cell>
          <cell r="B25">
            <v>43.1</v>
          </cell>
          <cell r="D25">
            <v>27.8</v>
          </cell>
          <cell r="E25">
            <v>4</v>
          </cell>
          <cell r="F25">
            <v>56.2</v>
          </cell>
          <cell r="L25">
            <v>91</v>
          </cell>
          <cell r="M25">
            <v>10</v>
          </cell>
          <cell r="N25">
            <v>25.8</v>
          </cell>
          <cell r="O25">
            <v>5</v>
          </cell>
        </row>
        <row r="26">
          <cell r="A26">
            <v>1983</v>
          </cell>
          <cell r="B26">
            <v>44.6</v>
          </cell>
          <cell r="D26">
            <v>70.3</v>
          </cell>
          <cell r="E26">
            <v>11</v>
          </cell>
          <cell r="F26">
            <v>53.7</v>
          </cell>
          <cell r="L26">
            <v>86.5</v>
          </cell>
          <cell r="M26">
            <v>7</v>
          </cell>
          <cell r="N26">
            <v>36.200000000000003</v>
          </cell>
          <cell r="O26">
            <v>1</v>
          </cell>
        </row>
        <row r="27">
          <cell r="A27">
            <v>1982</v>
          </cell>
          <cell r="B27">
            <v>38.700000000000003</v>
          </cell>
          <cell r="D27">
            <v>36.700000000000003</v>
          </cell>
          <cell r="E27">
            <v>6</v>
          </cell>
          <cell r="F27">
            <v>50.7</v>
          </cell>
          <cell r="H27">
            <v>66.8</v>
          </cell>
          <cell r="I27">
            <v>10</v>
          </cell>
          <cell r="L27">
            <v>76.8</v>
          </cell>
          <cell r="M27">
            <v>9</v>
          </cell>
          <cell r="N27">
            <v>31</v>
          </cell>
          <cell r="O27">
            <v>7</v>
          </cell>
        </row>
        <row r="28">
          <cell r="A28">
            <v>1981</v>
          </cell>
          <cell r="B28">
            <v>58.7</v>
          </cell>
          <cell r="D28">
            <v>100.8</v>
          </cell>
          <cell r="E28">
            <v>12</v>
          </cell>
          <cell r="F28">
            <v>128.30000000000001</v>
          </cell>
          <cell r="H28">
            <v>108.8</v>
          </cell>
          <cell r="I28">
            <v>10</v>
          </cell>
          <cell r="L28">
            <v>73.7</v>
          </cell>
          <cell r="M28">
            <v>10</v>
          </cell>
          <cell r="N28">
            <v>28</v>
          </cell>
          <cell r="O28">
            <v>10</v>
          </cell>
        </row>
        <row r="29">
          <cell r="A29">
            <v>1980</v>
          </cell>
          <cell r="B29">
            <v>32.700000000000003</v>
          </cell>
          <cell r="D29">
            <v>60.7</v>
          </cell>
          <cell r="E29">
            <v>5</v>
          </cell>
          <cell r="F29">
            <v>47.4</v>
          </cell>
          <cell r="H29">
            <v>57.6</v>
          </cell>
          <cell r="I29">
            <v>6</v>
          </cell>
          <cell r="J29">
            <v>36.799999999999997</v>
          </cell>
          <cell r="L29">
            <v>64.2</v>
          </cell>
          <cell r="M29">
            <v>11</v>
          </cell>
          <cell r="N29">
            <v>31</v>
          </cell>
          <cell r="O29">
            <v>5</v>
          </cell>
        </row>
        <row r="30">
          <cell r="A30">
            <v>1979</v>
          </cell>
          <cell r="B30">
            <v>40.799999999999997</v>
          </cell>
          <cell r="D30">
            <v>41.2</v>
          </cell>
          <cell r="E30">
            <v>11</v>
          </cell>
          <cell r="F30">
            <v>72.900000000000006</v>
          </cell>
          <cell r="H30">
            <v>100.7</v>
          </cell>
          <cell r="I30">
            <v>7</v>
          </cell>
          <cell r="J30">
            <v>57.4</v>
          </cell>
          <cell r="L30">
            <v>92.6</v>
          </cell>
          <cell r="M30">
            <v>5</v>
          </cell>
          <cell r="N30">
            <v>37.200000000000003</v>
          </cell>
          <cell r="O30">
            <v>5</v>
          </cell>
        </row>
        <row r="31">
          <cell r="A31">
            <v>1978</v>
          </cell>
          <cell r="B31">
            <v>42.3</v>
          </cell>
          <cell r="D31">
            <v>46.1</v>
          </cell>
          <cell r="E31">
            <v>3</v>
          </cell>
          <cell r="F31">
            <v>34.5</v>
          </cell>
          <cell r="H31">
            <v>69.8</v>
          </cell>
          <cell r="I31">
            <v>6</v>
          </cell>
          <cell r="J31">
            <v>76.3</v>
          </cell>
          <cell r="L31">
            <v>54.3</v>
          </cell>
          <cell r="M31">
            <v>10</v>
          </cell>
          <cell r="N31">
            <v>32.1</v>
          </cell>
          <cell r="O31">
            <v>6</v>
          </cell>
        </row>
        <row r="32">
          <cell r="A32">
            <v>1977</v>
          </cell>
          <cell r="B32">
            <v>43.8</v>
          </cell>
          <cell r="D32">
            <v>41.3</v>
          </cell>
          <cell r="E32">
            <v>5</v>
          </cell>
          <cell r="F32">
            <v>77</v>
          </cell>
          <cell r="H32">
            <v>66.3</v>
          </cell>
          <cell r="I32">
            <v>12</v>
          </cell>
          <cell r="J32">
            <v>70.400000000000006</v>
          </cell>
          <cell r="L32">
            <v>241.3</v>
          </cell>
          <cell r="M32">
            <v>7</v>
          </cell>
          <cell r="N32">
            <v>26.1</v>
          </cell>
          <cell r="O32">
            <v>10</v>
          </cell>
        </row>
        <row r="33">
          <cell r="A33">
            <v>1976</v>
          </cell>
          <cell r="B33">
            <v>43.2</v>
          </cell>
          <cell r="D33">
            <v>26.2</v>
          </cell>
          <cell r="E33">
            <v>6</v>
          </cell>
          <cell r="F33">
            <v>37.5</v>
          </cell>
          <cell r="H33">
            <v>56.2</v>
          </cell>
          <cell r="I33">
            <v>12</v>
          </cell>
          <cell r="J33">
            <v>42.5</v>
          </cell>
          <cell r="L33">
            <v>181.3</v>
          </cell>
          <cell r="M33">
            <v>8</v>
          </cell>
          <cell r="N33">
            <v>130.9</v>
          </cell>
          <cell r="O33">
            <v>5</v>
          </cell>
        </row>
        <row r="34">
          <cell r="A34">
            <v>1975</v>
          </cell>
          <cell r="B34">
            <v>73.2</v>
          </cell>
          <cell r="D34">
            <v>60.5</v>
          </cell>
          <cell r="E34">
            <v>4</v>
          </cell>
          <cell r="F34">
            <v>49.7</v>
          </cell>
          <cell r="H34">
            <v>71.400000000000006</v>
          </cell>
          <cell r="I34">
            <v>9</v>
          </cell>
          <cell r="L34">
            <v>70</v>
          </cell>
          <cell r="M34">
            <v>9</v>
          </cell>
          <cell r="N34">
            <v>25.5</v>
          </cell>
          <cell r="O34">
            <v>10</v>
          </cell>
        </row>
        <row r="35">
          <cell r="A35">
            <v>1974</v>
          </cell>
          <cell r="B35">
            <v>45.7</v>
          </cell>
          <cell r="D35">
            <v>41.7</v>
          </cell>
          <cell r="E35">
            <v>10</v>
          </cell>
          <cell r="F35">
            <v>61.7</v>
          </cell>
          <cell r="H35">
            <v>91.8</v>
          </cell>
          <cell r="I35">
            <v>11</v>
          </cell>
          <cell r="L35">
            <v>31.3</v>
          </cell>
          <cell r="M35">
            <v>8</v>
          </cell>
        </row>
        <row r="36">
          <cell r="A36">
            <v>1973</v>
          </cell>
          <cell r="B36">
            <v>37.6</v>
          </cell>
          <cell r="D36">
            <v>24.5</v>
          </cell>
          <cell r="E36">
            <v>6</v>
          </cell>
          <cell r="F36">
            <v>63.1</v>
          </cell>
          <cell r="H36">
            <v>61.9</v>
          </cell>
          <cell r="I36">
            <v>10</v>
          </cell>
          <cell r="J36">
            <v>52.5</v>
          </cell>
          <cell r="L36">
            <v>8.67</v>
          </cell>
        </row>
        <row r="37">
          <cell r="A37">
            <v>1972</v>
          </cell>
          <cell r="B37">
            <v>54.2</v>
          </cell>
          <cell r="D37">
            <v>56.6</v>
          </cell>
          <cell r="E37">
            <v>10</v>
          </cell>
          <cell r="F37">
            <v>83.8</v>
          </cell>
          <cell r="H37">
            <v>64.8</v>
          </cell>
          <cell r="I37">
            <v>6</v>
          </cell>
          <cell r="J37">
            <v>98.4</v>
          </cell>
          <cell r="L37">
            <v>6.07</v>
          </cell>
        </row>
        <row r="38">
          <cell r="A38">
            <v>1971</v>
          </cell>
          <cell r="B38">
            <v>41.6</v>
          </cell>
          <cell r="D38">
            <v>29.2</v>
          </cell>
          <cell r="E38">
            <v>10</v>
          </cell>
          <cell r="F38">
            <v>55.9</v>
          </cell>
          <cell r="H38">
            <v>66.2</v>
          </cell>
          <cell r="I38">
            <v>11</v>
          </cell>
          <cell r="J38">
            <v>50.6</v>
          </cell>
          <cell r="L38">
            <v>0</v>
          </cell>
        </row>
        <row r="39">
          <cell r="A39">
            <v>1970</v>
          </cell>
          <cell r="B39">
            <v>34.200000000000003</v>
          </cell>
          <cell r="D39">
            <v>45.9</v>
          </cell>
          <cell r="E39">
            <v>11</v>
          </cell>
          <cell r="F39">
            <v>66.8</v>
          </cell>
          <cell r="H39">
            <v>50.2</v>
          </cell>
          <cell r="I39">
            <v>9</v>
          </cell>
          <cell r="J39">
            <v>38.9</v>
          </cell>
          <cell r="L39">
            <v>62</v>
          </cell>
        </row>
        <row r="40">
          <cell r="A40">
            <v>1969</v>
          </cell>
          <cell r="B40">
            <v>32.1</v>
          </cell>
          <cell r="D40">
            <v>23.7</v>
          </cell>
          <cell r="E40">
            <v>11</v>
          </cell>
          <cell r="F40">
            <v>39.799999999999997</v>
          </cell>
          <cell r="H40">
            <v>58.2</v>
          </cell>
          <cell r="I40">
            <v>7</v>
          </cell>
          <cell r="J40">
            <v>63.5</v>
          </cell>
          <cell r="L40">
            <v>92.3</v>
          </cell>
        </row>
        <row r="41">
          <cell r="A41">
            <v>1968</v>
          </cell>
          <cell r="B41">
            <v>33.799999999999997</v>
          </cell>
          <cell r="D41">
            <v>30.5</v>
          </cell>
          <cell r="E41">
            <v>11</v>
          </cell>
          <cell r="F41">
            <v>98</v>
          </cell>
          <cell r="H41">
            <v>86.5</v>
          </cell>
          <cell r="I41">
            <v>10</v>
          </cell>
          <cell r="J41">
            <v>40.6</v>
          </cell>
          <cell r="L41">
            <v>62.2</v>
          </cell>
        </row>
        <row r="42">
          <cell r="A42">
            <v>1967</v>
          </cell>
          <cell r="B42">
            <v>51.3</v>
          </cell>
          <cell r="D42">
            <v>37.6</v>
          </cell>
          <cell r="E42">
            <v>11</v>
          </cell>
          <cell r="F42">
            <v>61.9</v>
          </cell>
          <cell r="H42">
            <v>131.4</v>
          </cell>
          <cell r="I42">
            <v>8</v>
          </cell>
          <cell r="J42">
            <v>76.099999999999994</v>
          </cell>
          <cell r="L42">
            <v>92.5</v>
          </cell>
        </row>
        <row r="43">
          <cell r="A43">
            <v>1966</v>
          </cell>
          <cell r="B43">
            <v>39.799999999999997</v>
          </cell>
          <cell r="D43">
            <v>36.200000000000003</v>
          </cell>
          <cell r="E43">
            <v>11</v>
          </cell>
          <cell r="F43">
            <v>110.5</v>
          </cell>
          <cell r="H43">
            <v>67.8</v>
          </cell>
          <cell r="I43">
            <v>12</v>
          </cell>
          <cell r="L43">
            <v>0</v>
          </cell>
        </row>
        <row r="44">
          <cell r="A44">
            <v>1965</v>
          </cell>
          <cell r="B44">
            <v>72.099999999999994</v>
          </cell>
          <cell r="D44">
            <v>50.5</v>
          </cell>
          <cell r="E44">
            <v>6</v>
          </cell>
          <cell r="F44">
            <v>95.5</v>
          </cell>
          <cell r="H44">
            <v>60.1</v>
          </cell>
          <cell r="I44">
            <v>9</v>
          </cell>
          <cell r="J44">
            <v>63.5</v>
          </cell>
          <cell r="L44">
            <v>82.9</v>
          </cell>
        </row>
        <row r="45">
          <cell r="A45">
            <v>1964</v>
          </cell>
          <cell r="B45">
            <v>51.3</v>
          </cell>
          <cell r="D45">
            <v>24.2</v>
          </cell>
          <cell r="E45">
            <v>3</v>
          </cell>
          <cell r="F45">
            <v>103.2</v>
          </cell>
          <cell r="H45">
            <v>87.7</v>
          </cell>
          <cell r="I45">
            <v>9</v>
          </cell>
          <cell r="J45">
            <v>37.799999999999997</v>
          </cell>
          <cell r="L45">
            <v>78.3</v>
          </cell>
        </row>
        <row r="46">
          <cell r="A46">
            <v>1963</v>
          </cell>
          <cell r="B46">
            <v>42.1</v>
          </cell>
          <cell r="D46">
            <v>28.2</v>
          </cell>
          <cell r="E46">
            <v>1</v>
          </cell>
          <cell r="F46">
            <v>45.9</v>
          </cell>
          <cell r="H46">
            <v>56</v>
          </cell>
          <cell r="I46">
            <v>3</v>
          </cell>
          <cell r="J46">
            <v>41.2</v>
          </cell>
          <cell r="L46">
            <v>78.900000000000006</v>
          </cell>
        </row>
        <row r="47">
          <cell r="A47">
            <v>1962</v>
          </cell>
          <cell r="B47">
            <v>38.299999999999997</v>
          </cell>
          <cell r="D47">
            <v>33.200000000000003</v>
          </cell>
          <cell r="E47">
            <v>12</v>
          </cell>
          <cell r="F47">
            <v>55.3</v>
          </cell>
          <cell r="H47">
            <v>68.900000000000006</v>
          </cell>
          <cell r="I47">
            <v>9</v>
          </cell>
          <cell r="J47">
            <v>144.1</v>
          </cell>
          <cell r="L47">
            <v>64.400000000000006</v>
          </cell>
        </row>
        <row r="48">
          <cell r="A48">
            <v>1961</v>
          </cell>
          <cell r="B48">
            <v>53.2</v>
          </cell>
          <cell r="D48">
            <v>30.1</v>
          </cell>
          <cell r="E48">
            <v>11</v>
          </cell>
          <cell r="F48">
            <v>59.6</v>
          </cell>
          <cell r="H48">
            <v>92.7</v>
          </cell>
          <cell r="I48">
            <v>11</v>
          </cell>
          <cell r="J48">
            <v>62.9</v>
          </cell>
          <cell r="L48">
            <v>10.63</v>
          </cell>
        </row>
        <row r="49">
          <cell r="A49">
            <v>1960</v>
          </cell>
          <cell r="B49">
            <v>49.4</v>
          </cell>
          <cell r="D49">
            <v>62.5</v>
          </cell>
          <cell r="E49">
            <v>6</v>
          </cell>
          <cell r="F49">
            <v>44.5</v>
          </cell>
          <cell r="H49">
            <v>68.099999999999994</v>
          </cell>
          <cell r="I49">
            <v>2</v>
          </cell>
          <cell r="J49">
            <v>55.6</v>
          </cell>
          <cell r="L49">
            <v>8.68</v>
          </cell>
        </row>
        <row r="50">
          <cell r="A50">
            <v>1959</v>
          </cell>
          <cell r="B50">
            <v>38.5</v>
          </cell>
          <cell r="D50">
            <v>24</v>
          </cell>
          <cell r="E50">
            <v>11</v>
          </cell>
          <cell r="F50">
            <v>63.2</v>
          </cell>
          <cell r="H50">
            <v>135.80000000000001</v>
          </cell>
          <cell r="I50">
            <v>8</v>
          </cell>
          <cell r="J50">
            <v>57.6</v>
          </cell>
          <cell r="L50">
            <v>16.47</v>
          </cell>
        </row>
        <row r="51">
          <cell r="A51">
            <v>1958</v>
          </cell>
          <cell r="F51">
            <v>58.6</v>
          </cell>
          <cell r="H51">
            <v>73.2</v>
          </cell>
          <cell r="I51">
            <v>7</v>
          </cell>
          <cell r="J51">
            <v>50.1</v>
          </cell>
          <cell r="L51">
            <v>13.77</v>
          </cell>
        </row>
        <row r="52">
          <cell r="A52">
            <v>1957</v>
          </cell>
          <cell r="F52">
            <v>67.2</v>
          </cell>
          <cell r="H52">
            <v>77.5</v>
          </cell>
          <cell r="I52">
            <v>10</v>
          </cell>
          <cell r="J52">
            <v>72.7</v>
          </cell>
          <cell r="L52">
            <v>132.80000000000001</v>
          </cell>
        </row>
        <row r="53">
          <cell r="A53">
            <v>1956</v>
          </cell>
          <cell r="F53">
            <v>138.30000000000001</v>
          </cell>
          <cell r="H53">
            <v>88</v>
          </cell>
          <cell r="I53">
            <v>9</v>
          </cell>
          <cell r="J53">
            <v>63.8</v>
          </cell>
          <cell r="L53">
            <v>61.8</v>
          </cell>
        </row>
        <row r="54">
          <cell r="A54">
            <v>1955</v>
          </cell>
          <cell r="F54">
            <v>74.2</v>
          </cell>
          <cell r="H54">
            <v>89.3</v>
          </cell>
          <cell r="I54">
            <v>9</v>
          </cell>
          <cell r="J54">
            <v>51.7</v>
          </cell>
          <cell r="L54">
            <v>112.5</v>
          </cell>
        </row>
        <row r="55">
          <cell r="A55">
            <v>1954</v>
          </cell>
          <cell r="F55">
            <v>60.7</v>
          </cell>
          <cell r="H55">
            <v>58.8</v>
          </cell>
          <cell r="I55">
            <v>7</v>
          </cell>
          <cell r="J55">
            <v>61.7</v>
          </cell>
          <cell r="L55">
            <v>112.5</v>
          </cell>
        </row>
        <row r="56">
          <cell r="A56">
            <v>1953</v>
          </cell>
          <cell r="F56">
            <v>53.5</v>
          </cell>
          <cell r="J56">
            <v>35.5</v>
          </cell>
          <cell r="L56">
            <v>55</v>
          </cell>
        </row>
        <row r="57">
          <cell r="A57">
            <v>1952</v>
          </cell>
          <cell r="F57">
            <v>41.2</v>
          </cell>
          <cell r="L57">
            <v>78.900000000000006</v>
          </cell>
        </row>
        <row r="58">
          <cell r="A58">
            <v>1951</v>
          </cell>
          <cell r="F58">
            <v>54</v>
          </cell>
          <cell r="L58">
            <v>68</v>
          </cell>
        </row>
        <row r="59">
          <cell r="A59">
            <v>1950</v>
          </cell>
          <cell r="F59">
            <v>50.3</v>
          </cell>
          <cell r="L59">
            <v>80.099999999999994</v>
          </cell>
        </row>
        <row r="60">
          <cell r="A60" t="str">
            <v>N-Yıl</v>
          </cell>
          <cell r="B60">
            <v>26</v>
          </cell>
          <cell r="D60">
            <v>29</v>
          </cell>
          <cell r="F60">
            <v>74</v>
          </cell>
          <cell r="H60">
            <v>31</v>
          </cell>
          <cell r="J60">
            <v>28</v>
          </cell>
          <cell r="L60">
            <v>51</v>
          </cell>
          <cell r="N60">
            <v>14</v>
          </cell>
        </row>
        <row r="61">
          <cell r="A61" t="str">
            <v>UDF</v>
          </cell>
          <cell r="B61" t="str">
            <v>G2P</v>
          </cell>
          <cell r="D61" t="str">
            <v>G2P</v>
          </cell>
          <cell r="F61" t="str">
            <v>LN3</v>
          </cell>
          <cell r="H61" t="str">
            <v>LP3</v>
          </cell>
          <cell r="J61" t="str">
            <v>LN3</v>
          </cell>
          <cell r="L61" t="str">
            <v>G</v>
          </cell>
          <cell r="N61" t="str">
            <v>G2P</v>
          </cell>
        </row>
        <row r="62">
          <cell r="A62" t="str">
            <v>P-2</v>
          </cell>
          <cell r="B62">
            <v>42.82</v>
          </cell>
          <cell r="D62">
            <v>37.61</v>
          </cell>
          <cell r="F62">
            <v>64.150000000000006</v>
          </cell>
          <cell r="H62">
            <v>71.11</v>
          </cell>
          <cell r="J62">
            <v>53.25</v>
          </cell>
          <cell r="L62">
            <v>72.069999999999993</v>
          </cell>
          <cell r="N62">
            <v>29.63</v>
          </cell>
        </row>
        <row r="63">
          <cell r="A63" t="str">
            <v>P-5</v>
          </cell>
          <cell r="B63">
            <v>52.5</v>
          </cell>
          <cell r="D63">
            <v>53.9</v>
          </cell>
          <cell r="F63">
            <v>86.12</v>
          </cell>
          <cell r="H63">
            <v>89.41</v>
          </cell>
          <cell r="J63">
            <v>72.010000000000005</v>
          </cell>
          <cell r="L63">
            <v>118.85</v>
          </cell>
          <cell r="N63">
            <v>49.23</v>
          </cell>
        </row>
        <row r="64">
          <cell r="A64" t="str">
            <v>P-10</v>
          </cell>
          <cell r="B64">
            <v>59.09</v>
          </cell>
          <cell r="D64">
            <v>65.23</v>
          </cell>
          <cell r="F64">
            <v>101.92</v>
          </cell>
          <cell r="H64">
            <v>102.96</v>
          </cell>
          <cell r="J64">
            <v>86.13</v>
          </cell>
          <cell r="L64">
            <v>149.81</v>
          </cell>
          <cell r="N64">
            <v>68.66</v>
          </cell>
        </row>
        <row r="65">
          <cell r="A65" t="str">
            <v>P-25</v>
          </cell>
          <cell r="B65">
            <v>67.42</v>
          </cell>
          <cell r="D65">
            <v>79.73</v>
          </cell>
          <cell r="F65">
            <v>123.15</v>
          </cell>
          <cell r="H65">
            <v>121.71</v>
          </cell>
          <cell r="J65">
            <v>105.77</v>
          </cell>
          <cell r="L65">
            <v>188.94</v>
          </cell>
          <cell r="N65">
            <v>98.48</v>
          </cell>
        </row>
        <row r="66">
          <cell r="A66" t="str">
            <v>P-50</v>
          </cell>
          <cell r="B66">
            <v>73.56</v>
          </cell>
          <cell r="D66">
            <v>90.5</v>
          </cell>
          <cell r="F66">
            <v>139.76</v>
          </cell>
          <cell r="H66">
            <v>136.93</v>
          </cell>
          <cell r="J66">
            <v>121.58</v>
          </cell>
          <cell r="L66">
            <v>217.97</v>
          </cell>
          <cell r="N66">
            <v>123.46</v>
          </cell>
        </row>
        <row r="67">
          <cell r="A67" t="str">
            <v>P-100</v>
          </cell>
          <cell r="B67">
            <v>79.62</v>
          </cell>
          <cell r="D67">
            <v>101.21</v>
          </cell>
          <cell r="F67">
            <v>157.06</v>
          </cell>
          <cell r="H67">
            <v>153.21</v>
          </cell>
          <cell r="J67">
            <v>138.4</v>
          </cell>
          <cell r="L67">
            <v>246.78</v>
          </cell>
          <cell r="N67">
            <v>150.29</v>
          </cell>
        </row>
      </sheetData>
      <sheetData sheetId="71" refreshError="1"/>
      <sheetData sheetId="72" refreshError="1"/>
      <sheetData sheetId="73" refreshError="1"/>
      <sheetData sheetId="74" refreshError="1"/>
      <sheetData sheetId="75" refreshError="1"/>
      <sheetData sheetId="76" refreshError="1"/>
      <sheetData sheetId="77"/>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ÖNETİM"/>
      <sheetName val="Genel"/>
      <sheetName val="YAZ"/>
      <sheetName val="PaketImalat"/>
      <sheetName val="Miktarlar"/>
      <sheetName val="Grup"/>
      <sheetName val="MFFZam"/>
      <sheetName val="Ek Bilgi"/>
      <sheetName val="ÖzelPoz"/>
      <sheetName val="BFLIST"/>
      <sheetName val="NAKLİYE"/>
      <sheetName val="YolFigList"/>
      <sheetName val="PakFigList"/>
      <sheetName val="PaketFigure"/>
      <sheetName val="M&lt;10.000"/>
      <sheetName val="M&gt;10.000"/>
      <sheetName val="AtsDisSay"/>
      <sheetName val="UYiliOdenMFF"/>
      <sheetName val="MFFIcmal"/>
      <sheetName val="MFFIcmal_2"/>
      <sheetName val="MFFTesbitMik"/>
      <sheetName val="Kesif"/>
      <sheetName val="Teklif"/>
      <sheetName val="IsTesTut"/>
      <sheetName val="IseBasTut"/>
      <sheetName val="Muk.Keşif"/>
      <sheetName val="KesifArtis"/>
      <sheetName val="SureUzat"/>
      <sheetName val="YesDefKap"/>
      <sheetName val="YesDefIc"/>
      <sheetName val="HakIcSay"/>
      <sheetName val="Icmal"/>
      <sheetName val="MFFTesbitTut"/>
      <sheetName val="MMikHesTab"/>
      <sheetName val="MFFHesTab"/>
      <sheetName val="Fatura"/>
      <sheetName val="OdeCet"/>
      <sheetName val="HakRap"/>
      <sheetName val="YeniFiyTut"/>
      <sheetName val="KabulTut"/>
      <sheetName val="Ilan"/>
      <sheetName val="IlanTut"/>
      <sheetName val="DiziPus"/>
      <sheetName val="GenFiyAnlz"/>
      <sheetName val="MFFEntListe"/>
      <sheetName val="MFFListe"/>
      <sheetName val="RAYIC"/>
      <sheetName val="TESISAT"/>
      <sheetName val="IhzTesTut"/>
      <sheetName val="IhzKesCet"/>
      <sheetName val="Onay"/>
      <sheetName val="EmKomTesk"/>
      <sheetName val="IhaCikmaKarari"/>
      <sheetName val="IhaIlanYazi"/>
      <sheetName val="DagIhaIlanYazi"/>
      <sheetName val="IhaIlan"/>
      <sheetName val="IhaKarari"/>
      <sheetName val="AntImCagYazi"/>
      <sheetName val="AntImCagIlan"/>
      <sheetName val="DamResBedTah"/>
      <sheetName val="GecTemIadeYazi"/>
      <sheetName val="KesTemAlin"/>
      <sheetName val="SayisYazi"/>
      <sheetName val="SSKYazi"/>
      <sheetName val="KararDef"/>
      <sheetName val="EmKomKar"/>
      <sheetName val="AutoHAK_v50_XP_09_beyhim_micir_"/>
    </sheetNames>
    <sheetDataSet>
      <sheetData sheetId="0" refreshError="1"/>
      <sheetData sheetId="1"/>
      <sheetData sheetId="2">
        <row r="3">
          <cell r="A3" t="str">
            <v>1. Keşif</v>
          </cell>
          <cell r="B3" t="str">
            <v>Kesif</v>
          </cell>
          <cell r="C3" t="str">
            <v>yazKesif1</v>
          </cell>
          <cell r="D3">
            <v>35</v>
          </cell>
          <cell r="E3" t="b">
            <v>0</v>
          </cell>
          <cell r="F3" t="str">
            <v>Yeşil Defter İç Sayfa</v>
          </cell>
          <cell r="G3" t="str">
            <v>YesDefIc</v>
          </cell>
          <cell r="H3" t="str">
            <v>yazYDefterIc</v>
          </cell>
          <cell r="I3">
            <v>7</v>
          </cell>
          <cell r="J3" t="b">
            <v>1</v>
          </cell>
        </row>
        <row r="4">
          <cell r="A4" t="str">
            <v>Onay Belgesi</v>
          </cell>
          <cell r="B4" t="str">
            <v>Onay</v>
          </cell>
          <cell r="C4" t="str">
            <v>yazOnayBel</v>
          </cell>
          <cell r="D4">
            <v>35</v>
          </cell>
          <cell r="E4" t="b">
            <v>0</v>
          </cell>
          <cell r="F4" t="str">
            <v>Yeşil Defter Kapak</v>
          </cell>
          <cell r="G4" t="str">
            <v>YesDefKap</v>
          </cell>
          <cell r="H4" t="str">
            <v>yazYDefKapak</v>
          </cell>
          <cell r="I4" t="str">
            <v>6</v>
          </cell>
          <cell r="J4" t="b">
            <v>1</v>
          </cell>
        </row>
        <row r="5">
          <cell r="A5" t="str">
            <v>Em.Komisyonu Teşkili</v>
          </cell>
          <cell r="B5" t="str">
            <v>EmKomTesk</v>
          </cell>
          <cell r="C5" t="str">
            <v>yazEmKomTes</v>
          </cell>
          <cell r="D5">
            <v>35</v>
          </cell>
          <cell r="E5" t="b">
            <v>0</v>
          </cell>
          <cell r="F5" t="str">
            <v>Hakediş İç Sayfa</v>
          </cell>
          <cell r="G5" t="str">
            <v>HakIcSay</v>
          </cell>
          <cell r="H5" t="str">
            <v>yazHakIcSay</v>
          </cell>
          <cell r="I5" t="str">
            <v>5</v>
          </cell>
          <cell r="J5" t="b">
            <v>1</v>
          </cell>
        </row>
        <row r="6">
          <cell r="A6" t="str">
            <v>İşin İhaleye Çıkarılması Kararı</v>
          </cell>
          <cell r="B6" t="str">
            <v>IhaCikmaKarari</v>
          </cell>
          <cell r="C6" t="str">
            <v>yazIhaCikKarar</v>
          </cell>
          <cell r="D6">
            <v>35</v>
          </cell>
          <cell r="E6" t="b">
            <v>0</v>
          </cell>
          <cell r="F6" t="str">
            <v>İcmal</v>
          </cell>
          <cell r="G6" t="str">
            <v>Icmal</v>
          </cell>
          <cell r="H6" t="str">
            <v>yazIcmal</v>
          </cell>
          <cell r="I6" t="str">
            <v>4</v>
          </cell>
          <cell r="J6" t="b">
            <v>1</v>
          </cell>
        </row>
        <row r="7">
          <cell r="A7" t="str">
            <v>Karar Defteri</v>
          </cell>
          <cell r="B7" t="str">
            <v>KararDef</v>
          </cell>
          <cell r="C7" t="str">
            <v>yazKararDef</v>
          </cell>
          <cell r="D7">
            <v>35</v>
          </cell>
          <cell r="E7" t="b">
            <v>0</v>
          </cell>
          <cell r="F7" t="str">
            <v>M.Fiy.Fark.Tesbit Tut.</v>
          </cell>
          <cell r="G7" t="str">
            <v>MFFTesbitTut</v>
          </cell>
          <cell r="H7" t="str">
            <v>yazMFFTesTut</v>
          </cell>
          <cell r="I7" t="str">
            <v>15</v>
          </cell>
          <cell r="J7" t="b">
            <v>0</v>
          </cell>
        </row>
        <row r="8">
          <cell r="A8" t="str">
            <v>Paket Figüre Ataşmanı</v>
          </cell>
          <cell r="B8" t="str">
            <v>PaketFigure</v>
          </cell>
          <cell r="C8" t="str">
            <v>yazPaketFig</v>
          </cell>
          <cell r="D8">
            <v>35</v>
          </cell>
          <cell r="E8" t="b">
            <v>0</v>
          </cell>
          <cell r="F8" t="str">
            <v>Mal.Mik. Hesap Tablosu</v>
          </cell>
          <cell r="G8" t="str">
            <v>MMikHesTab</v>
          </cell>
          <cell r="H8" t="str">
            <v>yazMMikHesTab</v>
          </cell>
          <cell r="I8" t="str">
            <v>14</v>
          </cell>
          <cell r="J8" t="b">
            <v>0</v>
          </cell>
        </row>
        <row r="9">
          <cell r="A9" t="str">
            <v>Nak.Ataşmanı ( M&lt;10000)</v>
          </cell>
          <cell r="B9" t="str">
            <v>M&lt;10.000</v>
          </cell>
          <cell r="C9" t="str">
            <v>yazMomTab1</v>
          </cell>
          <cell r="D9">
            <v>35</v>
          </cell>
          <cell r="E9" t="b">
            <v>0</v>
          </cell>
          <cell r="F9" t="str">
            <v>M.F.Farkı Hesap Tablosu</v>
          </cell>
          <cell r="G9" t="str">
            <v>MFFHesTab</v>
          </cell>
          <cell r="H9" t="str">
            <v>yazMFFHesTab</v>
          </cell>
          <cell r="I9" t="str">
            <v>13</v>
          </cell>
          <cell r="J9" t="b">
            <v>0</v>
          </cell>
        </row>
        <row r="10">
          <cell r="A10" t="str">
            <v>Nak.Ataşmanı ( M&gt;10000)</v>
          </cell>
          <cell r="B10" t="str">
            <v>M&gt;10.000</v>
          </cell>
          <cell r="C10" t="str">
            <v>yazMomTab2</v>
          </cell>
          <cell r="D10">
            <v>35</v>
          </cell>
          <cell r="E10" t="b">
            <v>0</v>
          </cell>
          <cell r="F10" t="str">
            <v>Mal.Fiy.Farkları İcmali</v>
          </cell>
          <cell r="G10" t="str">
            <v>MFFIcmal</v>
          </cell>
          <cell r="H10" t="str">
            <v>yazMFFIcmal</v>
          </cell>
          <cell r="I10" t="str">
            <v>12</v>
          </cell>
          <cell r="J10" t="b">
            <v>0</v>
          </cell>
        </row>
        <row r="11">
          <cell r="A11" t="str">
            <v>İşyeri Teslim Tutanağı</v>
          </cell>
          <cell r="B11" t="str">
            <v>IsTesTut</v>
          </cell>
          <cell r="C11" t="str">
            <v>yazIsyeriTesTut</v>
          </cell>
          <cell r="D11">
            <v>8</v>
          </cell>
          <cell r="E11" t="b">
            <v>0</v>
          </cell>
          <cell r="F11" t="str">
            <v>Fatura Listesi</v>
          </cell>
          <cell r="G11" t="str">
            <v>Fatura</v>
          </cell>
          <cell r="H11" t="str">
            <v>yazFatList</v>
          </cell>
          <cell r="I11" t="str">
            <v>16</v>
          </cell>
          <cell r="J11" t="b">
            <v>0</v>
          </cell>
        </row>
        <row r="12">
          <cell r="A12" t="str">
            <v>İşe Başlama Tutanağı</v>
          </cell>
          <cell r="B12" t="str">
            <v>IseBasTut</v>
          </cell>
          <cell r="C12" t="str">
            <v>yazIseBasTut</v>
          </cell>
          <cell r="D12">
            <v>9</v>
          </cell>
          <cell r="E12" t="b">
            <v>0</v>
          </cell>
          <cell r="F12" t="str">
            <v>Ödeme Cetveli</v>
          </cell>
          <cell r="G12" t="str">
            <v>OdeCet</v>
          </cell>
          <cell r="H12" t="str">
            <v>yazOdemeCet</v>
          </cell>
          <cell r="I12" t="str">
            <v>2</v>
          </cell>
          <cell r="J12" t="b">
            <v>1</v>
          </cell>
        </row>
        <row r="13">
          <cell r="A13" t="str">
            <v>Mukayeseli Keşif</v>
          </cell>
          <cell r="B13" t="str">
            <v>Muk.Keşif</v>
          </cell>
          <cell r="C13" t="str">
            <v>yazMukKesif</v>
          </cell>
          <cell r="D13">
            <v>31</v>
          </cell>
          <cell r="E13" t="b">
            <v>0</v>
          </cell>
          <cell r="F13" t="str">
            <v>Hakediş Raporu</v>
          </cell>
          <cell r="G13" t="str">
            <v>HakRap</v>
          </cell>
          <cell r="H13" t="str">
            <v>yazHakRap</v>
          </cell>
          <cell r="I13" t="str">
            <v>1</v>
          </cell>
          <cell r="J13" t="b">
            <v>1</v>
          </cell>
        </row>
        <row r="14">
          <cell r="A14" t="str">
            <v>Keşif Artış Kararı</v>
          </cell>
          <cell r="B14" t="str">
            <v>KesifArtis</v>
          </cell>
          <cell r="C14" t="str">
            <v>yazKesArtKarar</v>
          </cell>
          <cell r="D14">
            <v>30</v>
          </cell>
          <cell r="E14" t="b">
            <v>0</v>
          </cell>
          <cell r="F14" t="str">
            <v>Geçici/Kesin Kabul Tut.</v>
          </cell>
          <cell r="G14" t="str">
            <v>KabulTut</v>
          </cell>
          <cell r="H14" t="str">
            <v>yazKabulTut</v>
          </cell>
          <cell r="I14" t="str">
            <v>29</v>
          </cell>
          <cell r="J14" t="b">
            <v>0</v>
          </cell>
        </row>
        <row r="15">
          <cell r="A15" t="str">
            <v>Süre Uzatımı Kararı</v>
          </cell>
          <cell r="B15" t="str">
            <v>SureUzat</v>
          </cell>
          <cell r="C15" t="str">
            <v>yazSureUzatKarar</v>
          </cell>
          <cell r="D15">
            <v>32</v>
          </cell>
          <cell r="E15" t="b">
            <v>0</v>
          </cell>
          <cell r="F15" t="str">
            <v>İşçi Alacakları İlanı</v>
          </cell>
          <cell r="G15" t="str">
            <v>Ilan</v>
          </cell>
          <cell r="H15" t="str">
            <v>yazIlan</v>
          </cell>
          <cell r="I15" t="str">
            <v>10</v>
          </cell>
          <cell r="J15" t="b">
            <v>1</v>
          </cell>
        </row>
        <row r="16">
          <cell r="A16" t="str">
            <v>Yeni Fiyat Tutanağı</v>
          </cell>
          <cell r="B16" t="str">
            <v>YeniFiyTut</v>
          </cell>
          <cell r="C16" t="str">
            <v>yazYeniFiyTut</v>
          </cell>
          <cell r="D16">
            <v>3</v>
          </cell>
          <cell r="E16" t="b">
            <v>0</v>
          </cell>
          <cell r="F16" t="str">
            <v>İşçi Alacakları İlan Tut.</v>
          </cell>
          <cell r="G16" t="str">
            <v>IlanTut</v>
          </cell>
          <cell r="H16" t="str">
            <v>yazIlanTut</v>
          </cell>
          <cell r="I16" t="str">
            <v>11</v>
          </cell>
          <cell r="J16" t="b">
            <v>1</v>
          </cell>
        </row>
        <row r="17">
          <cell r="A17" t="str">
            <v>Genel Fiyat Analizi</v>
          </cell>
          <cell r="B17" t="str">
            <v>GenFiyAnlz</v>
          </cell>
          <cell r="C17" t="str">
            <v>yazGenFiyAnaliz</v>
          </cell>
          <cell r="D17">
            <v>27</v>
          </cell>
          <cell r="E17" t="b">
            <v>0</v>
          </cell>
          <cell r="F17" t="str">
            <v>Dizi Pusulası</v>
          </cell>
          <cell r="G17" t="str">
            <v>DiziPus</v>
          </cell>
          <cell r="H17" t="str">
            <v>yazDiziPus</v>
          </cell>
          <cell r="I17">
            <v>35</v>
          </cell>
          <cell r="J17" t="b">
            <v>1</v>
          </cell>
        </row>
      </sheetData>
      <sheetData sheetId="3" refreshError="1"/>
      <sheetData sheetId="4">
        <row r="7">
          <cell r="J7">
            <v>545</v>
          </cell>
        </row>
        <row r="8">
          <cell r="J8">
            <v>4</v>
          </cell>
        </row>
        <row r="9">
          <cell r="J9">
            <v>34</v>
          </cell>
        </row>
        <row r="10">
          <cell r="J10">
            <v>345</v>
          </cell>
        </row>
        <row r="11">
          <cell r="J11">
            <v>345</v>
          </cell>
        </row>
        <row r="12">
          <cell r="J12">
            <v>345</v>
          </cell>
        </row>
        <row r="13">
          <cell r="J13">
            <v>6345</v>
          </cell>
        </row>
        <row r="14">
          <cell r="J14">
            <v>354</v>
          </cell>
        </row>
      </sheetData>
      <sheetData sheetId="5"/>
      <sheetData sheetId="6">
        <row r="14">
          <cell r="C14">
            <v>37622</v>
          </cell>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refreshError="1"/>
      <sheetData sheetId="33" refreshError="1"/>
      <sheetData sheetId="34" refreshError="1"/>
      <sheetData sheetId="35" refreshError="1"/>
      <sheetData sheetId="36"/>
      <sheetData sheetId="37" refreshError="1"/>
      <sheetData sheetId="38" refreshError="1"/>
      <sheetData sheetId="39" refreshError="1"/>
      <sheetData sheetId="40" refreshError="1"/>
      <sheetData sheetId="41" refreshError="1"/>
      <sheetData sheetId="42"/>
      <sheetData sheetId="43" refreshError="1"/>
      <sheetData sheetId="44" refreshError="1"/>
      <sheetData sheetId="45"/>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KAL DÖN.YAP.İŞL.İTİNERERİ"/>
      <sheetName val="TIRMANMA ŞERİTLERİ"/>
      <sheetName val="HAKEDİŞLER"/>
      <sheetName val="İŞ PROĞRAMI"/>
      <sheetName val="DOSYA KAP. YAZILARI"/>
      <sheetName val="TİP ENKESİT"/>
      <sheetName val="NUMUNE KARTI"/>
      <sheetName val="BETON BAS.DAY.FORMU"/>
      <sheetName val="ARAZİ  PUANTAJI"/>
      <sheetName val="KUTU MEF 2"/>
      <sheetName val="TES.İŞ.KÜBJ.İCMALİ"/>
      <sheetName val="fazla ödeme"/>
      <sheetName val="Fotoğraf Km.si"/>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NAT YAPILARI KRS"/>
      <sheetName val="KOPRULER KRS"/>
      <sheetName val="Sheet1"/>
      <sheetName val="KUTU MENFEZ"/>
      <sheetName val="KM KANATLI"/>
      <sheetName val="KM TASIMA MOMENTLERI"/>
      <sheetName val="TABLIYELI MENFEZ"/>
      <sheetName val="KAPAK"/>
      <sheetName val="Sheet2"/>
      <sheetName val="KOP TAS MOMENT"/>
      <sheetName val="KM ATASMAN ICM"/>
      <sheetName val="KOP ATASMAN ICM"/>
      <sheetName val="139.5100DEV"/>
      <sheetName val="KKANATLI"/>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kumru"/>
      <sheetName val="Cetin"/>
      <sheetName val="Pervari"/>
      <sheetName val="Keskin"/>
      <sheetName val="Oran"/>
      <sheetName val="Narli"/>
      <sheetName val="Alkumru-Cetin"/>
      <sheetName val="Cetin-Pervari"/>
      <sheetName val="Pervari-Keskin"/>
      <sheetName val="Keskin-Oran"/>
      <sheetName val="Oran-Narli"/>
      <sheetName val="2621"/>
      <sheetName val="2604"/>
      <sheetName val="2604A"/>
      <sheetName val="2626"/>
      <sheetName val="2633"/>
      <sheetName val="2614"/>
      <sheetName val="2615"/>
      <sheetName val="26-51"/>
      <sheetName val="26-55"/>
      <sheetName val="2631"/>
      <sheetName val="26-33"/>
      <sheetName val="2609"/>
      <sheetName val="2631 (2615ten)"/>
      <sheetName val="2631 (2621den)"/>
      <sheetName val="Birim"/>
      <sheetName val="Cizelge"/>
      <sheetName val="CiftKutle"/>
    </sheetNames>
    <sheetDataSet>
      <sheetData sheetId="0">
        <row r="70">
          <cell r="D70">
            <v>0.18829362872081745</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4.1"/>
      <sheetName val="4.2"/>
      <sheetName val="4.3"/>
      <sheetName val="4.4"/>
      <sheetName val="4.5"/>
      <sheetName val="4.6"/>
      <sheetName val="4.7"/>
      <sheetName val="4.8"/>
      <sheetName val="4.9"/>
      <sheetName val="4.10"/>
      <sheetName val="4.11"/>
      <sheetName val="4.12"/>
      <sheetName val="4.13"/>
      <sheetName val="4.14"/>
      <sheetName val="4.15"/>
      <sheetName val="4.16"/>
      <sheetName val="4.17"/>
      <sheetName val="4.18"/>
      <sheetName val="4.19"/>
      <sheetName val="4.20"/>
      <sheetName val="4.21"/>
      <sheetName val="4.22"/>
      <sheetName val="4.23"/>
      <sheetName val="4.24"/>
      <sheetName val="4.25"/>
      <sheetName val="4.26"/>
      <sheetName val="4.27"/>
      <sheetName val="4.28"/>
      <sheetName val="4.29"/>
      <sheetName val="4.30"/>
      <sheetName val="4.31"/>
      <sheetName val="4.32"/>
      <sheetName val="4.33"/>
      <sheetName val="4.34"/>
      <sheetName val="4.35"/>
      <sheetName val="4.36"/>
      <sheetName val="4.37"/>
      <sheetName val="4.38"/>
      <sheetName val="4.39"/>
      <sheetName val="4.40"/>
      <sheetName val="4.41"/>
      <sheetName val="4.42"/>
      <sheetName val="4.43"/>
      <sheetName val="4.44"/>
      <sheetName val="4.45"/>
      <sheetName val="4.46"/>
      <sheetName val="4.47"/>
      <sheetName val="4.4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KAL DÖN.YAP.İŞL.İTİNERERİ"/>
      <sheetName val="TIRMANMA ŞERİTLERİ"/>
      <sheetName val="HAKEDİŞLER"/>
      <sheetName val="İŞ PROĞRAMI"/>
      <sheetName val="DOSYA KAP. YAZILARI"/>
      <sheetName val="TİP ENKESİT"/>
      <sheetName val="NUMUNE KARTI"/>
      <sheetName val="BETON BAS.DAY.FORMU"/>
      <sheetName val="ARAZİ  PUANTAJI"/>
      <sheetName val="KUTU MEF 2"/>
      <sheetName val="TES.İŞ.KÜBJ.İCMALİ"/>
      <sheetName val="fazla ödeme"/>
      <sheetName val="Fotoğraf Km.si"/>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por1"/>
      <sheetName val="Rapor1a"/>
      <sheetName val="Rapor1b"/>
      <sheetName val="Rapor3"/>
      <sheetName val="Rapor4"/>
      <sheetName val="Rapor4b"/>
      <sheetName val="Rapor5"/>
      <sheetName val="DebilerTablosu"/>
      <sheetName val="Tekerrurler"/>
      <sheetName val="Formuller"/>
      <sheetName val="Hmj_Test"/>
      <sheetName val="Oranlar"/>
      <sheetName val="Oranlar2"/>
      <sheetName val="Proje1"/>
      <sheetName val="Proje2"/>
      <sheetName val="Proje3"/>
      <sheetName val="Proje4"/>
      <sheetName val="Cizimler"/>
      <sheetName val="TaskinAylari"/>
      <sheetName val="Cizelge_Qpik"/>
      <sheetName val="Korel"/>
      <sheetName val="KorelGra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refreshError="1"/>
      <sheetData sheetId="12" refreshError="1"/>
      <sheetData sheetId="13"/>
      <sheetData sheetId="14" refreshError="1"/>
      <sheetData sheetId="15" refreshError="1"/>
      <sheetData sheetId="16" refreshError="1"/>
      <sheetData sheetId="17"/>
      <sheetData sheetId="18" refreshError="1"/>
      <sheetData sheetId="19" refreshError="1"/>
      <sheetData sheetId="20" refreshError="1"/>
      <sheetData sheetId="21"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ma+Dam"/>
      <sheetName val="Yük.Bas.+Dam."/>
      <sheetName val="TAMAMI"/>
      <sheetName val="K.A.R"/>
      <sheetName val="KAR-Raf"/>
      <sheetName val="Datagir"/>
      <sheetName val="CIKTI"/>
      <sheetName val="T2.1"/>
      <sheetName val="T2.6"/>
      <sheetName val="T2.11"/>
      <sheetName val="BÜNYE"/>
      <sheetName val="C-D Randıman"/>
    </sheetNames>
    <sheetDataSet>
      <sheetData sheetId="0"/>
      <sheetData sheetId="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A.R (2)"/>
      <sheetName val="K.A.R"/>
      <sheetName val="Datagir"/>
      <sheetName val="CIKTI"/>
      <sheetName val="T 3.1.2"/>
      <sheetName val="T3.1.8"/>
      <sheetName val="C-D Randıman"/>
      <sheetName val="Sayfa1"/>
      <sheetName val="Sayfa2"/>
    </sheetNames>
    <sheetDataSet>
      <sheetData sheetId="0"/>
      <sheetData sheetId="1"/>
      <sheetData sheetId="2"/>
      <sheetData sheetId="3"/>
      <sheetData sheetId="4"/>
      <sheetData sheetId="5"/>
      <sheetData sheetId="6"/>
      <sheetData sheetId="7"/>
      <sheetData sheetId="8"/>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TRAJ"/>
      <sheetName val="KEŞİF"/>
      <sheetName val="Yağmur_Keşfi"/>
      <sheetName val="Kanal_Keşfi"/>
      <sheetName val="TopKEŞİF"/>
      <sheetName val="BÖLÜM E"/>
      <sheetName val="Maliyet"/>
      <sheetName val="Bölüm1,2,7,9"/>
      <sheetName val="DolMetraj"/>
      <sheetName val="DipMetraj"/>
      <sheetName val="İnş.Sür"/>
      <sheetName val="Dipsavak"/>
      <sheetName val="DİP_GRAFİK"/>
      <sheetName val="VANA ODASI"/>
      <sheetName val="TABLO"/>
      <sheetName val="HACSAT_GRAFİK (2)"/>
      <sheetName val="Dml"/>
      <sheetName val="HACSAT_GRAFİK"/>
      <sheetName val="Damla"/>
      <sheetName val="Al.bsnç."/>
      <sheetName val="C-D Randıman"/>
      <sheetName val="KAR (2)"/>
      <sheetName val="BitkiSuHesabı"/>
      <sheetName val="BitkiSuTablolar"/>
      <sheetName val="YağSuMet"/>
      <sheetName val="POZLAR"/>
      <sheetName val="ATÜLER"/>
      <sheetName val="SULAMA"/>
      <sheetName val="DERİVASYON"/>
      <sheetName val="GEREÇ DAĞIL. ŞEMASI"/>
      <sheetName val="Kaya"/>
      <sheetName val="Geçirimli"/>
      <sheetName val="Geçirimsiz"/>
      <sheetName val="BİRİM_FİYATLA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IIRT.DMI"/>
      <sheetName val="T-SIIRT.DMI"/>
      <sheetName val="T-PERVARI.DMI"/>
      <sheetName val="Sckl&amp;Buh"/>
      <sheetName val="Yagislar"/>
      <sheetName val="Kayiplar"/>
    </sheetNames>
    <sheetDataSet>
      <sheetData sheetId="0"/>
      <sheetData sheetId="1">
        <row r="1">
          <cell r="S1">
            <v>6.9999999999999993E-3</v>
          </cell>
        </row>
      </sheetData>
      <sheetData sheetId="2"/>
      <sheetData sheetId="3"/>
      <sheetData sheetId="4"/>
      <sheetData sheetId="5"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öpr-icm"/>
    </sheetNames>
    <sheetDataSet>
      <sheetData sheetId="0"/>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llanım"/>
      <sheetName val="Input"/>
      <sheetName val="Yüzey Akım"/>
      <sheetName val="Cikti Sayfasi"/>
      <sheetName val="Cikti Sayfasi (2)"/>
      <sheetName val="Isletme Ozeti"/>
      <sheetName val="Dolusavak"/>
      <sheetName val="Enerji"/>
      <sheetName val="Mansap Eksik Kalan"/>
      <sheetName val="Rezervuardan Çekilen"/>
      <sheetName val="E. Üretimi"/>
      <sheetName val="İşletme Grafiği"/>
      <sheetName val="İşletme Grafiği (2)"/>
      <sheetName val="Sheet3"/>
      <sheetName val="O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4">
          <cell r="A4">
            <v>468</v>
          </cell>
        </row>
      </sheetData>
      <sheetData sheetId="14"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Annual data"/>
      <sheetName val="Trend Statistics"/>
      <sheetName val="Figure"/>
    </sheetNames>
    <sheetDataSet>
      <sheetData sheetId="0" refreshError="1"/>
      <sheetData sheetId="1">
        <row r="3">
          <cell r="A3" t="str">
            <v>KAHRAMANMARAŞ ADATEPE BARAJI</v>
          </cell>
        </row>
      </sheetData>
      <sheetData sheetId="2" refreshError="1"/>
      <sheetData sheetId="3"/>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IIRT.DMI"/>
      <sheetName val="T-SIIRT.DMI"/>
      <sheetName val="T-PERVARI.DMI"/>
      <sheetName val="Sckl&amp;Buh"/>
      <sheetName val="Yagislar"/>
      <sheetName val="Kayiplar"/>
    </sheetNames>
    <sheetDataSet>
      <sheetData sheetId="0"/>
      <sheetData sheetId="1">
        <row r="1">
          <cell r="S1">
            <v>6.9999999999999993E-3</v>
          </cell>
        </row>
      </sheetData>
      <sheetData sheetId="2"/>
      <sheetData sheetId="3"/>
      <sheetData sheetId="4"/>
      <sheetData sheetId="5"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gir"/>
      <sheetName val="CIKTI"/>
    </sheetNames>
    <sheetDataSet>
      <sheetData sheetId="0"/>
      <sheetData sheetId="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ULLANIM"/>
      <sheetName val="Bilgi"/>
      <sheetName val="Giriş Hidrografı"/>
      <sheetName val="Hacim-Satıh"/>
      <sheetName val="Ho Hesabı"/>
      <sheetName val="DeşarjEğrisi"/>
      <sheetName val="Sheet1"/>
      <sheetName val="Routing"/>
      <sheetName val="Taşkın Öteleme"/>
      <sheetName val="Co Hesabı"/>
    </sheetNames>
    <sheetDataSet>
      <sheetData sheetId="0"/>
      <sheetData sheetId="1"/>
      <sheetData sheetId="2"/>
      <sheetData sheetId="3"/>
      <sheetData sheetId="4"/>
      <sheetData sheetId="5" refreshError="1"/>
      <sheetData sheetId="6">
        <row r="2">
          <cell r="B2">
            <v>0</v>
          </cell>
        </row>
      </sheetData>
      <sheetData sheetId="7">
        <row r="1">
          <cell r="Y1">
            <v>49</v>
          </cell>
          <cell r="Z1">
            <v>1</v>
          </cell>
        </row>
      </sheetData>
      <sheetData sheetId="8" refreshError="1"/>
      <sheetData sheetId="9"/>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ENİCE"/>
      <sheetName val="yENİCE (son)"/>
      <sheetName val="Chart1"/>
    </sheetNames>
    <sheetDataSet>
      <sheetData sheetId="0"/>
      <sheetData sheetId="1"/>
      <sheetData sheetId="2"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öpr-icm"/>
      <sheetName val="keyplan"/>
      <sheetName val="kapak"/>
      <sheetName val="hakrap"/>
      <sheetName val="dizpus"/>
      <sheetName val="dpusydsiz"/>
      <sheetName val="ödcet"/>
      <sheetName val="icmal"/>
      <sheetName val="ydiç"/>
      <sheetName val="yapisler"/>
      <sheetName val="öddil"/>
      <sheetName val="mali"/>
      <sheetName val="isçi"/>
      <sheetName val="fficmali"/>
      <sheetName val="kurusaka"/>
      <sheetName val="miktaraka"/>
      <sheetName val="kümakami"/>
      <sheetName val="aka-mik-tut"/>
      <sheetName val="çimfifark"/>
      <sheetName val="çzamtut"/>
      <sheetName val="çbünyetut"/>
      <sheetName val="çmiktar"/>
      <sheetName val="mik-tut (Çim)"/>
      <sheetName val="elekt(çim)"/>
      <sheetName val="fatçim"/>
      <sheetName val="çimicmal "/>
      <sheetName val="kumicmal"/>
      <sheetName val="fifark(dem)"/>
      <sheetName val="zamtut(dem)"/>
      <sheetName val="bünyetut(dem)"/>
      <sheetName val="dmiktar"/>
      <sheetName val="mik-tut (Dem)"/>
      <sheetName val="fat(dem)"/>
      <sheetName val="köprü-dem"/>
      <sheetName val="fifark(PVC)"/>
      <sheetName val="zamtut (PVC)"/>
      <sheetName val="bünyetut (PVC)"/>
      <sheetName val="miktar (PVC)"/>
      <sheetName val="mik-tut (PVC) "/>
      <sheetName val="fifark(bitüm)"/>
      <sheetName val="zamtut (bit)"/>
      <sheetName val="bünyetut (bit)"/>
      <sheetName val="miktar (bit)"/>
      <sheetName val="fatura (bit)"/>
      <sheetName val="bitüm-mik-tut"/>
      <sheetName val="emülsiyon icmal"/>
      <sheetName val="fifark (çinko)"/>
      <sheetName val="zamtut (çinko)"/>
      <sheetName val="bünyetut (çinko)"/>
      <sheetName val="mik-tut (çinko)  "/>
      <sheetName val="fifark (saç) "/>
      <sheetName val="zamtut (saç)"/>
      <sheetName val="bünyetut (saç) "/>
      <sheetName val="miktar (saç)"/>
      <sheetName val="mik-tut (sac) "/>
      <sheetName val="fifark(AL)"/>
      <sheetName val="zamtut (AL)"/>
      <sheetName val="bünyetut (AL)"/>
      <sheetName val="miktar (AL)"/>
      <sheetName val="mik-tut (AL)"/>
      <sheetName val="fatura (AL)"/>
      <sheetName val="fifark(önger)"/>
      <sheetName val="miktar(önger)"/>
      <sheetName val="Elek-ffark"/>
      <sheetName val="ihzatut(agr)"/>
      <sheetName val="ihzatut (elek)"/>
      <sheetName val="ihzatut (dem)"/>
      <sheetName val="K-kroki-tut"/>
      <sheetName val="K kroki"/>
      <sheetName val="kroki(üst-agr)"/>
      <sheetName val="toprak-icm"/>
      <sheetName val="Bost-Küb"/>
      <sheetName val="san-icm"/>
      <sheetName val="sanatmetraj"/>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ybastı"/>
      <sheetName val="Bereketli"/>
      <sheetName val="Fatsa"/>
      <sheetName val="Gölköy"/>
      <sheetName val="Korgan"/>
      <sheetName val="Kumru"/>
      <sheetName val="Mesudiye"/>
      <sheetName val="Topçam"/>
      <sheetName val="Ulubey"/>
      <sheetName val="Bulancak"/>
      <sheetName val="Koyulhisar"/>
      <sheetName val="Ordu"/>
      <sheetName val="Ortakent"/>
      <sheetName val="Reşadiye"/>
      <sheetName val="Yavuzkemal"/>
      <sheetName val="Toplam Yağış"/>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mur"/>
    </sheetNames>
    <sheetDataSet>
      <sheetData sheetId="0"/>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ybastı"/>
    </sheetNames>
    <sheetDataSet>
      <sheetData sheetId="0"/>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ybastı"/>
      <sheetName val="Bereketli"/>
      <sheetName val="Fatsa"/>
      <sheetName val="Gölköy"/>
      <sheetName val="Korgan"/>
      <sheetName val="Kumru"/>
      <sheetName val="Mesudiye"/>
      <sheetName val="Topçam"/>
      <sheetName val="Ulubey"/>
      <sheetName val="Bulancak"/>
      <sheetName val="Koyulhisar"/>
      <sheetName val="Ordu"/>
      <sheetName val="Ortakent"/>
      <sheetName val="Reşadiye"/>
      <sheetName val="Yavuzkemal"/>
      <sheetName val="Ort Sıcaklık"/>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sheetData sheetId="14"/>
      <sheetData sheetId="15"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ybastı"/>
      <sheetName val="Bereketli"/>
      <sheetName val="Fatsa"/>
      <sheetName val="Gölköy"/>
      <sheetName val="Korgan"/>
      <sheetName val="Kumru"/>
      <sheetName val="Mesudiye"/>
      <sheetName val="Topçam"/>
      <sheetName val="Ulubey"/>
      <sheetName val="Bulancak"/>
      <sheetName val="Koyulhisar"/>
      <sheetName val="Ordu"/>
      <sheetName val="Ortakent"/>
      <sheetName val="Reşadiye"/>
      <sheetName val="Yavuzkemal"/>
      <sheetName val="Ort Sıcaklık"/>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sheetData sheetId="14"/>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JETBRAIN">
      <a:majorFont>
        <a:latin typeface="Calibri Light"/>
        <a:ea typeface=""/>
        <a:cs typeface=""/>
      </a:majorFont>
      <a:minorFont>
        <a:latin typeface="JetBrains Mono"/>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4.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52.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CD5E9-6D12-4C84-A270-055DACCBCB76}">
  <sheetPr codeName="Sheet43">
    <tabColor theme="1" tint="0.14999847407452621"/>
  </sheetPr>
  <dimension ref="A1:CZ242"/>
  <sheetViews>
    <sheetView tabSelected="1" topLeftCell="B1" zoomScaleNormal="100" workbookViewId="0">
      <selection activeCell="A76" sqref="A76"/>
    </sheetView>
  </sheetViews>
  <sheetFormatPr defaultRowHeight="12" customHeight="1" x14ac:dyDescent="0.2"/>
  <cols>
    <col min="1" max="1" width="3.109375" style="97" customWidth="1"/>
    <col min="2" max="2" width="21.44140625" style="97" customWidth="1"/>
    <col min="3" max="15" width="5.88671875" style="98" customWidth="1"/>
    <col min="16" max="16" width="4.88671875" style="98" customWidth="1"/>
    <col min="17" max="17" width="3.109375" style="97" customWidth="1"/>
    <col min="18" max="18" width="17.44140625" style="98" customWidth="1"/>
    <col min="19" max="30" width="5.88671875" style="98" customWidth="1"/>
    <col min="31" max="31" width="4.88671875" style="97" customWidth="1"/>
    <col min="32" max="32" width="3.109375" style="97" customWidth="1"/>
    <col min="33" max="33" width="17.44140625" style="97" customWidth="1"/>
    <col min="34" max="46" width="5.88671875" style="97" customWidth="1"/>
    <col min="47" max="47" width="7.88671875" style="99" customWidth="1"/>
    <col min="48" max="48" width="8.33203125" style="97" customWidth="1"/>
    <col min="49" max="49" width="17.44140625" style="97" customWidth="1"/>
    <col min="50" max="61" width="4.77734375" style="97" customWidth="1"/>
    <col min="62" max="62" width="2.5546875" style="97" customWidth="1"/>
    <col min="63" max="63" width="17.44140625" style="97" customWidth="1"/>
    <col min="64" max="76" width="4.77734375" style="97" customWidth="1"/>
    <col min="77" max="77" width="16.109375" style="97" customWidth="1"/>
    <col min="78" max="89" width="4.77734375" style="97" customWidth="1"/>
    <col min="90" max="90" width="8.33203125" style="97" customWidth="1"/>
    <col min="91" max="91" width="17.44140625" style="97" customWidth="1"/>
    <col min="92" max="103" width="6" style="97" customWidth="1"/>
    <col min="104" max="16384" width="8.88671875" style="97"/>
  </cols>
  <sheetData>
    <row r="1" spans="1:104" ht="12" customHeight="1" x14ac:dyDescent="0.25">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row>
    <row r="2" spans="1:104" ht="12" customHeight="1" x14ac:dyDescent="0.25">
      <c r="B2" s="100" t="s">
        <v>56</v>
      </c>
      <c r="C2" s="98">
        <v>1</v>
      </c>
      <c r="D2" s="98">
        <v>2</v>
      </c>
      <c r="E2" s="98">
        <v>3</v>
      </c>
      <c r="F2" s="98">
        <v>4</v>
      </c>
      <c r="G2" s="98">
        <v>5</v>
      </c>
      <c r="H2" s="98">
        <v>6</v>
      </c>
      <c r="I2" s="98">
        <v>7</v>
      </c>
      <c r="J2" s="98">
        <v>8</v>
      </c>
      <c r="K2" s="98">
        <v>9</v>
      </c>
      <c r="L2" s="98">
        <v>10</v>
      </c>
      <c r="M2" s="98">
        <v>11</v>
      </c>
      <c r="N2" s="98">
        <v>12</v>
      </c>
      <c r="O2" s="98">
        <v>13</v>
      </c>
      <c r="R2" s="101" t="s">
        <v>60</v>
      </c>
      <c r="S2" s="102" t="s">
        <v>1</v>
      </c>
      <c r="T2" s="102" t="s">
        <v>2</v>
      </c>
      <c r="U2" s="102" t="s">
        <v>3</v>
      </c>
      <c r="V2" s="102" t="s">
        <v>4</v>
      </c>
      <c r="W2" s="102" t="s">
        <v>5</v>
      </c>
      <c r="X2" s="102" t="s">
        <v>6</v>
      </c>
      <c r="Y2" s="102" t="s">
        <v>7</v>
      </c>
      <c r="Z2" s="102" t="s">
        <v>8</v>
      </c>
      <c r="AA2" s="102" t="s">
        <v>9</v>
      </c>
      <c r="AB2" s="102" t="s">
        <v>10</v>
      </c>
      <c r="AC2" s="102" t="s">
        <v>11</v>
      </c>
      <c r="AD2" s="102" t="s">
        <v>12</v>
      </c>
      <c r="AG2" s="101" t="s">
        <v>63</v>
      </c>
      <c r="AH2" s="103" t="s">
        <v>39</v>
      </c>
      <c r="AI2" s="102" t="s">
        <v>1</v>
      </c>
      <c r="AJ2" s="102" t="s">
        <v>2</v>
      </c>
      <c r="AK2" s="102" t="s">
        <v>3</v>
      </c>
      <c r="AL2" s="102" t="s">
        <v>4</v>
      </c>
      <c r="AM2" s="102" t="s">
        <v>5</v>
      </c>
      <c r="AN2" s="102" t="s">
        <v>6</v>
      </c>
      <c r="AO2" s="102" t="s">
        <v>7</v>
      </c>
      <c r="AP2" s="102" t="s">
        <v>8</v>
      </c>
      <c r="AQ2" s="102" t="s">
        <v>9</v>
      </c>
      <c r="AR2" s="102" t="s">
        <v>10</v>
      </c>
      <c r="AS2" s="102" t="s">
        <v>11</v>
      </c>
      <c r="AT2" s="102" t="s">
        <v>12</v>
      </c>
      <c r="AW2" s="101" t="s">
        <v>53</v>
      </c>
      <c r="AX2" s="99" t="s">
        <v>61</v>
      </c>
      <c r="AY2" s="99"/>
      <c r="AZ2" s="99"/>
      <c r="BA2" s="99"/>
      <c r="BB2" s="99"/>
      <c r="BC2" s="99"/>
      <c r="BD2" s="99"/>
      <c r="BE2" s="99"/>
      <c r="BF2" s="99"/>
      <c r="BG2" s="99"/>
      <c r="BH2" s="99"/>
      <c r="BI2" s="99"/>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row>
    <row r="3" spans="1:104" ht="12" customHeight="1" x14ac:dyDescent="0.25">
      <c r="A3" s="104">
        <v>1</v>
      </c>
      <c r="B3" s="104" t="s">
        <v>21</v>
      </c>
      <c r="C3" s="105">
        <v>1</v>
      </c>
      <c r="D3" s="105">
        <v>1</v>
      </c>
      <c r="E3" s="105">
        <v>1</v>
      </c>
      <c r="F3" s="105">
        <v>1</v>
      </c>
      <c r="G3" s="105">
        <v>1</v>
      </c>
      <c r="H3" s="105">
        <v>1</v>
      </c>
      <c r="I3" s="105">
        <v>1</v>
      </c>
      <c r="J3" s="105">
        <v>1</v>
      </c>
      <c r="K3" s="105">
        <v>1</v>
      </c>
      <c r="L3" s="105">
        <v>1</v>
      </c>
      <c r="M3" s="105">
        <v>1</v>
      </c>
      <c r="N3" s="105">
        <v>1</v>
      </c>
      <c r="O3" s="105">
        <v>1</v>
      </c>
      <c r="Q3" s="104">
        <v>1</v>
      </c>
      <c r="R3" s="97" t="s">
        <v>21</v>
      </c>
      <c r="S3" s="106">
        <v>48.694918378261441</v>
      </c>
      <c r="T3" s="106">
        <v>58.249833828181394</v>
      </c>
      <c r="U3" s="106">
        <v>67.838781737684556</v>
      </c>
      <c r="V3" s="106">
        <v>70.357114264309416</v>
      </c>
      <c r="W3" s="106">
        <v>69.382996633435241</v>
      </c>
      <c r="X3" s="106">
        <v>83.389926140901579</v>
      </c>
      <c r="Y3" s="106">
        <v>78.610552612358816</v>
      </c>
      <c r="Z3" s="106">
        <v>54.113914209092506</v>
      </c>
      <c r="AA3" s="106">
        <v>32.000135129873485</v>
      </c>
      <c r="AB3" s="106">
        <v>11.716828610665461</v>
      </c>
      <c r="AC3" s="106">
        <v>11.700899136968628</v>
      </c>
      <c r="AD3" s="106">
        <v>26.480241673026839</v>
      </c>
      <c r="AF3" s="104">
        <v>1</v>
      </c>
      <c r="AG3" s="97" t="s">
        <v>21</v>
      </c>
      <c r="AH3" s="107">
        <v>0</v>
      </c>
      <c r="AI3" s="107">
        <v>0</v>
      </c>
      <c r="AJ3" s="107">
        <v>0</v>
      </c>
      <c r="AK3" s="107">
        <v>0</v>
      </c>
      <c r="AL3" s="107">
        <v>0</v>
      </c>
      <c r="AM3" s="107">
        <v>0</v>
      </c>
      <c r="AN3" s="107">
        <v>0</v>
      </c>
      <c r="AO3" s="107">
        <v>0</v>
      </c>
      <c r="AP3" s="107">
        <v>0</v>
      </c>
      <c r="AQ3" s="107">
        <v>0</v>
      </c>
      <c r="AR3" s="107">
        <v>0</v>
      </c>
      <c r="AS3" s="107">
        <v>0</v>
      </c>
      <c r="AT3" s="107">
        <v>0</v>
      </c>
      <c r="AV3" s="104">
        <v>1</v>
      </c>
      <c r="AW3" s="97" t="s">
        <v>21</v>
      </c>
      <c r="AX3" s="107">
        <v>0</v>
      </c>
      <c r="AY3" s="107">
        <v>0</v>
      </c>
      <c r="AZ3" s="107">
        <v>0</v>
      </c>
      <c r="BA3" s="107">
        <v>0</v>
      </c>
      <c r="BB3" s="107">
        <v>0</v>
      </c>
      <c r="BC3" s="107">
        <v>0</v>
      </c>
      <c r="BD3" s="107">
        <v>0</v>
      </c>
      <c r="BE3" s="107">
        <v>0</v>
      </c>
      <c r="BF3" s="107">
        <v>0</v>
      </c>
      <c r="BG3" s="107">
        <v>0</v>
      </c>
      <c r="BH3" s="107">
        <v>0</v>
      </c>
      <c r="BI3" s="107">
        <v>0</v>
      </c>
      <c r="BJ3" s="104"/>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row>
    <row r="4" spans="1:104" ht="12" customHeight="1" x14ac:dyDescent="0.25">
      <c r="A4" s="104">
        <v>2</v>
      </c>
      <c r="B4" s="104" t="s">
        <v>22</v>
      </c>
      <c r="C4" s="105">
        <v>0</v>
      </c>
      <c r="D4" s="105">
        <v>1</v>
      </c>
      <c r="E4" s="105">
        <v>1</v>
      </c>
      <c r="F4" s="105">
        <v>1</v>
      </c>
      <c r="G4" s="105">
        <v>1</v>
      </c>
      <c r="H4" s="105">
        <v>1</v>
      </c>
      <c r="I4" s="105">
        <v>1</v>
      </c>
      <c r="J4" s="105">
        <v>1</v>
      </c>
      <c r="K4" s="105">
        <v>1</v>
      </c>
      <c r="L4" s="105">
        <v>1</v>
      </c>
      <c r="M4" s="105">
        <v>1</v>
      </c>
      <c r="N4" s="105">
        <v>1</v>
      </c>
      <c r="O4" s="105">
        <v>1</v>
      </c>
      <c r="Q4" s="104">
        <v>2</v>
      </c>
      <c r="R4" s="97" t="s">
        <v>22</v>
      </c>
      <c r="S4" s="106">
        <v>16.208668361318598</v>
      </c>
      <c r="T4" s="106">
        <v>27.85730903910806</v>
      </c>
      <c r="U4" s="106">
        <v>18.614088764360012</v>
      </c>
      <c r="V4" s="106">
        <v>20.671799569966083</v>
      </c>
      <c r="W4" s="106">
        <v>12.534248740453449</v>
      </c>
      <c r="X4" s="106">
        <v>3.6150072215695204</v>
      </c>
      <c r="Y4" s="106">
        <v>17.833957801609564</v>
      </c>
      <c r="Z4" s="106">
        <v>24.268247167048969</v>
      </c>
      <c r="AA4" s="106">
        <v>8.1493572591436596</v>
      </c>
      <c r="AB4" s="106">
        <v>9.3248627345430606</v>
      </c>
      <c r="AC4" s="106">
        <v>9.658064999714945</v>
      </c>
      <c r="AD4" s="106">
        <v>17.632211186073548</v>
      </c>
      <c r="AF4" s="104">
        <v>2</v>
      </c>
      <c r="AG4" s="97" t="s">
        <v>22</v>
      </c>
      <c r="AH4" s="107">
        <v>0</v>
      </c>
      <c r="AI4" s="107">
        <v>0</v>
      </c>
      <c r="AJ4" s="107">
        <v>0</v>
      </c>
      <c r="AK4" s="107">
        <v>0</v>
      </c>
      <c r="AL4" s="107">
        <v>0</v>
      </c>
      <c r="AM4" s="107">
        <v>0</v>
      </c>
      <c r="AN4" s="107">
        <v>0</v>
      </c>
      <c r="AO4" s="107">
        <v>0</v>
      </c>
      <c r="AP4" s="107">
        <v>0</v>
      </c>
      <c r="AQ4" s="107">
        <v>0</v>
      </c>
      <c r="AR4" s="107">
        <v>0</v>
      </c>
      <c r="AS4" s="107">
        <v>0</v>
      </c>
      <c r="AT4" s="107">
        <v>0</v>
      </c>
      <c r="AV4" s="104">
        <v>2</v>
      </c>
      <c r="AW4" s="97" t="s">
        <v>22</v>
      </c>
      <c r="AX4" s="107">
        <v>0</v>
      </c>
      <c r="AY4" s="107">
        <v>0</v>
      </c>
      <c r="AZ4" s="107">
        <v>0</v>
      </c>
      <c r="BA4" s="107">
        <v>0</v>
      </c>
      <c r="BB4" s="107">
        <v>0</v>
      </c>
      <c r="BC4" s="107">
        <v>0</v>
      </c>
      <c r="BD4" s="107">
        <v>0</v>
      </c>
      <c r="BE4" s="107">
        <v>0</v>
      </c>
      <c r="BF4" s="107">
        <v>0</v>
      </c>
      <c r="BG4" s="107">
        <v>0</v>
      </c>
      <c r="BH4" s="107">
        <v>0</v>
      </c>
      <c r="BI4" s="107">
        <v>0</v>
      </c>
      <c r="BJ4" s="10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row>
    <row r="5" spans="1:104" ht="12" customHeight="1" x14ac:dyDescent="0.25">
      <c r="A5" s="104">
        <v>3</v>
      </c>
      <c r="B5" s="104" t="s">
        <v>17</v>
      </c>
      <c r="C5" s="105">
        <v>0</v>
      </c>
      <c r="D5" s="105">
        <v>0</v>
      </c>
      <c r="E5" s="105">
        <v>1</v>
      </c>
      <c r="F5" s="105">
        <v>1</v>
      </c>
      <c r="G5" s="105">
        <v>1</v>
      </c>
      <c r="H5" s="105">
        <v>1</v>
      </c>
      <c r="I5" s="105">
        <v>1</v>
      </c>
      <c r="J5" s="105">
        <v>1</v>
      </c>
      <c r="K5" s="105">
        <v>1</v>
      </c>
      <c r="L5" s="105">
        <v>1</v>
      </c>
      <c r="M5" s="105">
        <v>1</v>
      </c>
      <c r="N5" s="105">
        <v>1</v>
      </c>
      <c r="O5" s="105">
        <v>1</v>
      </c>
      <c r="Q5" s="104">
        <v>3</v>
      </c>
      <c r="R5" s="97" t="s">
        <v>17</v>
      </c>
      <c r="S5" s="106">
        <v>35.632183018646856</v>
      </c>
      <c r="T5" s="106">
        <v>35.788408952816681</v>
      </c>
      <c r="U5" s="106">
        <v>37.953086094226073</v>
      </c>
      <c r="V5" s="106">
        <v>42.486243803698017</v>
      </c>
      <c r="W5" s="106">
        <v>45.396573959933079</v>
      </c>
      <c r="X5" s="106">
        <v>62.007027446515806</v>
      </c>
      <c r="Y5" s="106">
        <v>65.806574703082916</v>
      </c>
      <c r="Z5" s="106">
        <v>48.396207868708231</v>
      </c>
      <c r="AA5" s="106">
        <v>31.025567611578545</v>
      </c>
      <c r="AB5" s="106">
        <v>24.620758226144147</v>
      </c>
      <c r="AC5" s="106">
        <v>25.632027688794864</v>
      </c>
      <c r="AD5" s="106">
        <v>32.061400029658401</v>
      </c>
      <c r="AF5" s="104">
        <v>3</v>
      </c>
      <c r="AG5" s="97" t="s">
        <v>17</v>
      </c>
      <c r="AH5" s="107">
        <v>0</v>
      </c>
      <c r="AI5" s="107">
        <v>0</v>
      </c>
      <c r="AJ5" s="107">
        <v>0</v>
      </c>
      <c r="AK5" s="107">
        <v>0</v>
      </c>
      <c r="AL5" s="107">
        <v>0</v>
      </c>
      <c r="AM5" s="107">
        <v>0</v>
      </c>
      <c r="AN5" s="107">
        <v>0</v>
      </c>
      <c r="AO5" s="107">
        <v>0</v>
      </c>
      <c r="AP5" s="107">
        <v>0</v>
      </c>
      <c r="AQ5" s="107">
        <v>0</v>
      </c>
      <c r="AR5" s="107">
        <v>0</v>
      </c>
      <c r="AS5" s="107">
        <v>0</v>
      </c>
      <c r="AT5" s="107">
        <v>0</v>
      </c>
      <c r="AV5" s="104">
        <v>3</v>
      </c>
      <c r="AW5" s="97" t="s">
        <v>17</v>
      </c>
      <c r="AX5" s="107">
        <v>0</v>
      </c>
      <c r="AY5" s="107">
        <v>0</v>
      </c>
      <c r="AZ5" s="107">
        <v>0</v>
      </c>
      <c r="BA5" s="107">
        <v>0</v>
      </c>
      <c r="BB5" s="107">
        <v>0</v>
      </c>
      <c r="BC5" s="107">
        <v>0</v>
      </c>
      <c r="BD5" s="107">
        <v>0</v>
      </c>
      <c r="BE5" s="107">
        <v>0</v>
      </c>
      <c r="BF5" s="107">
        <v>0</v>
      </c>
      <c r="BG5" s="107">
        <v>0</v>
      </c>
      <c r="BH5" s="107">
        <v>0</v>
      </c>
      <c r="BI5" s="107">
        <v>0</v>
      </c>
      <c r="BJ5" s="104"/>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row>
    <row r="6" spans="1:104" ht="12" customHeight="1" x14ac:dyDescent="0.25">
      <c r="A6" s="108">
        <v>4</v>
      </c>
      <c r="B6" s="108" t="s">
        <v>0</v>
      </c>
      <c r="C6" s="105">
        <v>0</v>
      </c>
      <c r="D6" s="105">
        <v>0</v>
      </c>
      <c r="E6" s="105">
        <v>0</v>
      </c>
      <c r="F6" s="105">
        <v>1</v>
      </c>
      <c r="G6" s="105">
        <v>1</v>
      </c>
      <c r="H6" s="105">
        <v>1</v>
      </c>
      <c r="I6" s="105">
        <v>1</v>
      </c>
      <c r="J6" s="105">
        <v>1</v>
      </c>
      <c r="K6" s="105">
        <v>1</v>
      </c>
      <c r="L6" s="105">
        <v>1</v>
      </c>
      <c r="M6" s="105">
        <v>1</v>
      </c>
      <c r="N6" s="105">
        <v>1</v>
      </c>
      <c r="O6" s="105">
        <v>1</v>
      </c>
      <c r="Q6" s="108">
        <v>4</v>
      </c>
      <c r="R6" s="109" t="s">
        <v>0</v>
      </c>
      <c r="S6" s="110">
        <v>105.36556371896306</v>
      </c>
      <c r="T6" s="110">
        <v>111.22745383387087</v>
      </c>
      <c r="U6" s="110">
        <v>117.68219109533409</v>
      </c>
      <c r="V6" s="110">
        <v>128.14475563694197</v>
      </c>
      <c r="W6" s="110">
        <v>123.91477189063286</v>
      </c>
      <c r="X6" s="110">
        <v>145.15399628905735</v>
      </c>
      <c r="Y6" s="110">
        <v>159.1026754043213</v>
      </c>
      <c r="Z6" s="110">
        <v>118.87950957238516</v>
      </c>
      <c r="AA6" s="110">
        <v>91.201813346081849</v>
      </c>
      <c r="AB6" s="110">
        <v>82.322621364463402</v>
      </c>
      <c r="AC6" s="110">
        <v>83.183503920407489</v>
      </c>
      <c r="AD6" s="110">
        <v>88.088428710351124</v>
      </c>
      <c r="AF6" s="108">
        <v>4</v>
      </c>
      <c r="AG6" s="109" t="s">
        <v>0</v>
      </c>
      <c r="AH6" s="111">
        <v>1006.7536902317303</v>
      </c>
      <c r="AI6" s="112">
        <v>1017.4697987187584</v>
      </c>
      <c r="AJ6" s="112">
        <v>1027.847757210965</v>
      </c>
      <c r="AK6" s="112">
        <v>1035.9369218834418</v>
      </c>
      <c r="AL6" s="112">
        <v>1043.0731380230879</v>
      </c>
      <c r="AM6" s="112">
        <v>1047.7785387468111</v>
      </c>
      <c r="AN6" s="112">
        <v>1053.5120637643436</v>
      </c>
      <c r="AO6" s="112">
        <v>1063.3873282914444</v>
      </c>
      <c r="AP6" s="112">
        <v>1065.3482981437915</v>
      </c>
      <c r="AQ6" s="112">
        <v>1053.5633762663956</v>
      </c>
      <c r="AR6" s="112">
        <v>1029.2627452197905</v>
      </c>
      <c r="AS6" s="112">
        <v>1005.9261404944156</v>
      </c>
      <c r="AT6" s="112">
        <v>1006.7536902317303</v>
      </c>
      <c r="AV6" s="108">
        <v>4</v>
      </c>
      <c r="AW6" s="109" t="s">
        <v>0</v>
      </c>
      <c r="AX6" s="111">
        <v>10.716108408287269</v>
      </c>
      <c r="AY6" s="112">
        <v>10.377958505663685</v>
      </c>
      <c r="AZ6" s="112">
        <v>8.0891646717829389</v>
      </c>
      <c r="BA6" s="112">
        <v>7.1362161618969377</v>
      </c>
      <c r="BB6" s="112">
        <v>4.705400724617868</v>
      </c>
      <c r="BC6" s="112">
        <v>5.7335250249382099</v>
      </c>
      <c r="BD6" s="112">
        <v>9.8752645809783992</v>
      </c>
      <c r="BE6" s="112">
        <v>1.9609698446347599</v>
      </c>
      <c r="BF6" s="112">
        <v>-11.784921922607808</v>
      </c>
      <c r="BG6" s="112">
        <v>-24.30063116367873</v>
      </c>
      <c r="BH6" s="112">
        <v>-23.33660494666826</v>
      </c>
      <c r="BI6" s="112">
        <v>0.827549559507474</v>
      </c>
      <c r="BJ6" s="108"/>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row>
    <row r="7" spans="1:104" ht="12" customHeight="1" x14ac:dyDescent="0.25">
      <c r="A7" s="108">
        <v>5</v>
      </c>
      <c r="B7" s="108" t="s">
        <v>16</v>
      </c>
      <c r="C7" s="105">
        <v>0</v>
      </c>
      <c r="D7" s="105">
        <v>0</v>
      </c>
      <c r="E7" s="105">
        <v>0</v>
      </c>
      <c r="F7" s="105">
        <v>0</v>
      </c>
      <c r="G7" s="105">
        <v>1</v>
      </c>
      <c r="H7" s="105">
        <v>1</v>
      </c>
      <c r="I7" s="105">
        <v>1</v>
      </c>
      <c r="J7" s="105">
        <v>1</v>
      </c>
      <c r="K7" s="105">
        <v>1</v>
      </c>
      <c r="L7" s="105">
        <v>1</v>
      </c>
      <c r="M7" s="105">
        <v>1</v>
      </c>
      <c r="N7" s="105">
        <v>1</v>
      </c>
      <c r="O7" s="105">
        <v>1</v>
      </c>
      <c r="Q7" s="108">
        <v>5</v>
      </c>
      <c r="R7" s="109" t="s">
        <v>16</v>
      </c>
      <c r="S7" s="110">
        <v>104.71847762643164</v>
      </c>
      <c r="T7" s="110">
        <v>110.86080353146528</v>
      </c>
      <c r="U7" s="110">
        <v>117.67650752266327</v>
      </c>
      <c r="V7" s="110">
        <v>128.14475563694194</v>
      </c>
      <c r="W7" s="110">
        <v>123.91727888715442</v>
      </c>
      <c r="X7" s="110">
        <v>145.15148933344037</v>
      </c>
      <c r="Y7" s="110">
        <v>159.06795515532826</v>
      </c>
      <c r="Z7" s="110">
        <v>118.82793763192029</v>
      </c>
      <c r="AA7" s="110">
        <v>91.291308566800183</v>
      </c>
      <c r="AB7" s="110">
        <v>82.460772666531014</v>
      </c>
      <c r="AC7" s="110">
        <v>83.23546222289238</v>
      </c>
      <c r="AD7" s="110">
        <v>87.506430224672513</v>
      </c>
      <c r="AF7" s="108">
        <v>5</v>
      </c>
      <c r="AG7" s="109" t="s">
        <v>16</v>
      </c>
      <c r="AH7" s="111">
        <v>44.290684644098121</v>
      </c>
      <c r="AI7" s="112">
        <v>44.827666086060731</v>
      </c>
      <c r="AJ7" s="112">
        <v>45.194316427329227</v>
      </c>
      <c r="AK7" s="112">
        <v>45.200000000000031</v>
      </c>
      <c r="AL7" s="112">
        <v>45.200000000000031</v>
      </c>
      <c r="AM7" s="112">
        <v>45.197493044383009</v>
      </c>
      <c r="AN7" s="112">
        <v>45.200000000000031</v>
      </c>
      <c r="AO7" s="112">
        <v>45.185930688578473</v>
      </c>
      <c r="AP7" s="112">
        <v>45.098650120783923</v>
      </c>
      <c r="AQ7" s="112">
        <v>44.773187241035586</v>
      </c>
      <c r="AR7" s="112">
        <v>44.314273232096618</v>
      </c>
      <c r="AS7" s="112">
        <v>43.94391553791715</v>
      </c>
      <c r="AT7" s="112">
        <v>44.290684644098121</v>
      </c>
      <c r="AV7" s="108">
        <v>5</v>
      </c>
      <c r="AW7" s="109" t="s">
        <v>16</v>
      </c>
      <c r="AX7" s="111">
        <v>0.53698091347139609</v>
      </c>
      <c r="AY7" s="112">
        <v>0.36665030240558849</v>
      </c>
      <c r="AZ7" s="112">
        <v>5.6835726708186485E-3</v>
      </c>
      <c r="BA7" s="112">
        <v>2.8421709430404007E-14</v>
      </c>
      <c r="BB7" s="112">
        <v>-2.5069965215607226E-3</v>
      </c>
      <c r="BC7" s="112">
        <v>2.506955616969786E-3</v>
      </c>
      <c r="BD7" s="112">
        <v>-1.4069437285854747E-2</v>
      </c>
      <c r="BE7" s="112">
        <v>-8.7281614055072509E-2</v>
      </c>
      <c r="BF7" s="112">
        <v>-0.32550150708303249</v>
      </c>
      <c r="BG7" s="112">
        <v>-0.45893562874671545</v>
      </c>
      <c r="BH7" s="112">
        <v>-0.3700875989237602</v>
      </c>
      <c r="BI7" s="112">
        <v>0.34694634708337446</v>
      </c>
      <c r="BJ7" s="108"/>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row>
    <row r="8" spans="1:104" ht="12" customHeight="1" x14ac:dyDescent="0.25">
      <c r="A8" s="104">
        <v>6</v>
      </c>
      <c r="B8" s="104" t="s">
        <v>18</v>
      </c>
      <c r="C8" s="105">
        <v>0</v>
      </c>
      <c r="D8" s="105">
        <v>0</v>
      </c>
      <c r="E8" s="105">
        <v>0</v>
      </c>
      <c r="F8" s="105">
        <v>0</v>
      </c>
      <c r="G8" s="105">
        <v>0</v>
      </c>
      <c r="H8" s="105">
        <v>1</v>
      </c>
      <c r="I8" s="105">
        <v>1</v>
      </c>
      <c r="J8" s="105">
        <v>1</v>
      </c>
      <c r="K8" s="105">
        <v>1</v>
      </c>
      <c r="L8" s="105">
        <v>1</v>
      </c>
      <c r="M8" s="105">
        <v>1</v>
      </c>
      <c r="N8" s="105">
        <v>1</v>
      </c>
      <c r="O8" s="105">
        <v>1</v>
      </c>
      <c r="Q8" s="104">
        <v>6</v>
      </c>
      <c r="R8" s="97" t="s">
        <v>18</v>
      </c>
      <c r="S8" s="106">
        <v>5.3228621654855637</v>
      </c>
      <c r="T8" s="106">
        <v>6.754678449724576</v>
      </c>
      <c r="U8" s="106">
        <v>32.124610108015041</v>
      </c>
      <c r="V8" s="106">
        <v>34.36116841024122</v>
      </c>
      <c r="W8" s="106">
        <v>46.871624453681143</v>
      </c>
      <c r="X8" s="106">
        <v>76.551673514648769</v>
      </c>
      <c r="Y8" s="106">
        <v>78.341833906458078</v>
      </c>
      <c r="Z8" s="106">
        <v>32.20759027368792</v>
      </c>
      <c r="AA8" s="106">
        <v>9.6475450572553285</v>
      </c>
      <c r="AB8" s="106">
        <v>4.2583865873032849</v>
      </c>
      <c r="AC8" s="106">
        <v>3.2776862699741649</v>
      </c>
      <c r="AD8" s="106">
        <v>3.7413116053805311</v>
      </c>
      <c r="AF8" s="104">
        <v>6</v>
      </c>
      <c r="AG8" s="97" t="s">
        <v>18</v>
      </c>
      <c r="AH8" s="107">
        <v>0</v>
      </c>
      <c r="AI8" s="107">
        <v>0</v>
      </c>
      <c r="AJ8" s="107">
        <v>0</v>
      </c>
      <c r="AK8" s="107">
        <v>0</v>
      </c>
      <c r="AL8" s="107">
        <v>0</v>
      </c>
      <c r="AM8" s="107">
        <v>0</v>
      </c>
      <c r="AN8" s="107">
        <v>0</v>
      </c>
      <c r="AO8" s="107">
        <v>0</v>
      </c>
      <c r="AP8" s="107">
        <v>0</v>
      </c>
      <c r="AQ8" s="107">
        <v>0</v>
      </c>
      <c r="AR8" s="107">
        <v>0</v>
      </c>
      <c r="AS8" s="107">
        <v>0</v>
      </c>
      <c r="AT8" s="107">
        <v>0</v>
      </c>
      <c r="AV8" s="104">
        <v>6</v>
      </c>
      <c r="AW8" s="97" t="s">
        <v>18</v>
      </c>
      <c r="AX8" s="107">
        <v>0</v>
      </c>
      <c r="AY8" s="107">
        <v>0</v>
      </c>
      <c r="AZ8" s="107">
        <v>0</v>
      </c>
      <c r="BA8" s="107">
        <v>0</v>
      </c>
      <c r="BB8" s="107">
        <v>0</v>
      </c>
      <c r="BC8" s="107">
        <v>0</v>
      </c>
      <c r="BD8" s="107">
        <v>0</v>
      </c>
      <c r="BE8" s="107">
        <v>0</v>
      </c>
      <c r="BF8" s="107">
        <v>0</v>
      </c>
      <c r="BG8" s="107">
        <v>0</v>
      </c>
      <c r="BH8" s="107">
        <v>0</v>
      </c>
      <c r="BI8" s="107">
        <v>0</v>
      </c>
      <c r="BJ8" s="104"/>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row>
    <row r="9" spans="1:104" ht="12" customHeight="1" x14ac:dyDescent="0.25">
      <c r="A9" s="108">
        <v>7</v>
      </c>
      <c r="B9" s="108" t="s">
        <v>19</v>
      </c>
      <c r="C9" s="105">
        <v>0</v>
      </c>
      <c r="D9" s="105">
        <v>0</v>
      </c>
      <c r="E9" s="105">
        <v>0</v>
      </c>
      <c r="F9" s="105">
        <v>0</v>
      </c>
      <c r="G9" s="105">
        <v>0</v>
      </c>
      <c r="H9" s="105">
        <v>0</v>
      </c>
      <c r="I9" s="105">
        <v>1</v>
      </c>
      <c r="J9" s="105">
        <v>1</v>
      </c>
      <c r="K9" s="105">
        <v>1</v>
      </c>
      <c r="L9" s="105">
        <v>1</v>
      </c>
      <c r="M9" s="105">
        <v>1</v>
      </c>
      <c r="N9" s="105">
        <v>1</v>
      </c>
      <c r="O9" s="105">
        <v>1</v>
      </c>
      <c r="Q9" s="108">
        <v>7</v>
      </c>
      <c r="R9" s="109" t="s">
        <v>19</v>
      </c>
      <c r="S9" s="110">
        <v>109.7475442342792</v>
      </c>
      <c r="T9" s="110">
        <v>114.64528886707915</v>
      </c>
      <c r="U9" s="110">
        <v>157.29193838071876</v>
      </c>
      <c r="V9" s="110">
        <v>177.44654179777191</v>
      </c>
      <c r="W9" s="110">
        <v>201.59198803354295</v>
      </c>
      <c r="X9" s="110">
        <v>286.91342241527383</v>
      </c>
      <c r="Y9" s="110">
        <v>354.51119797271565</v>
      </c>
      <c r="Z9" s="110">
        <v>217.72572816493198</v>
      </c>
      <c r="AA9" s="110">
        <v>116.61735945447127</v>
      </c>
      <c r="AB9" s="110">
        <v>106.37539972793628</v>
      </c>
      <c r="AC9" s="110">
        <v>107.59854915557742</v>
      </c>
      <c r="AD9" s="110">
        <v>105.06202053212532</v>
      </c>
      <c r="AF9" s="108">
        <v>7</v>
      </c>
      <c r="AG9" s="109" t="s">
        <v>19</v>
      </c>
      <c r="AH9" s="111">
        <v>1194.4420235493906</v>
      </c>
      <c r="AI9" s="112">
        <v>1194.6730658441106</v>
      </c>
      <c r="AJ9" s="112">
        <v>1221.7060264114987</v>
      </c>
      <c r="AK9" s="112">
        <v>1258.3388533629504</v>
      </c>
      <c r="AL9" s="112">
        <v>1288.096630933012</v>
      </c>
      <c r="AM9" s="112">
        <v>1314.3764944286563</v>
      </c>
      <c r="AN9" s="112">
        <v>1360.6104007097294</v>
      </c>
      <c r="AO9" s="112">
        <v>1378.2394673723768</v>
      </c>
      <c r="AP9" s="112">
        <v>1379.5216970457668</v>
      </c>
      <c r="AQ9" s="112">
        <v>1352.8745271805471</v>
      </c>
      <c r="AR9" s="112">
        <v>1288.8412205516343</v>
      </c>
      <c r="AS9" s="112">
        <v>1223.0215956851684</v>
      </c>
      <c r="AT9" s="112">
        <v>1194.4420235493906</v>
      </c>
      <c r="AV9" s="108">
        <v>7</v>
      </c>
      <c r="AW9" s="109" t="s">
        <v>19</v>
      </c>
      <c r="AX9" s="111">
        <v>0.23104227645173125</v>
      </c>
      <c r="AY9" s="112">
        <v>27.032960563030443</v>
      </c>
      <c r="AZ9" s="112">
        <v>36.632826974077858</v>
      </c>
      <c r="BA9" s="112">
        <v>29.757777552329173</v>
      </c>
      <c r="BB9" s="112">
        <v>26.279863498501868</v>
      </c>
      <c r="BC9" s="112">
        <v>46.233906283789821</v>
      </c>
      <c r="BD9" s="112">
        <v>17.629066661298399</v>
      </c>
      <c r="BE9" s="112">
        <v>1.282229669674682</v>
      </c>
      <c r="BF9" s="112">
        <v>-26.647169874618982</v>
      </c>
      <c r="BG9" s="112">
        <v>-64.033306649571273</v>
      </c>
      <c r="BH9" s="112">
        <v>-65.819624890238316</v>
      </c>
      <c r="BI9" s="112">
        <v>-28.795768479758507</v>
      </c>
      <c r="BJ9" s="108"/>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row>
    <row r="10" spans="1:104" ht="12" customHeight="1" x14ac:dyDescent="0.25">
      <c r="A10" s="108">
        <v>8</v>
      </c>
      <c r="B10" s="108" t="s">
        <v>23</v>
      </c>
      <c r="C10" s="105">
        <v>0</v>
      </c>
      <c r="D10" s="105">
        <v>0</v>
      </c>
      <c r="E10" s="105">
        <v>0</v>
      </c>
      <c r="F10" s="105">
        <v>0</v>
      </c>
      <c r="G10" s="105">
        <v>0</v>
      </c>
      <c r="H10" s="105">
        <v>0</v>
      </c>
      <c r="I10" s="105">
        <v>0</v>
      </c>
      <c r="J10" s="105">
        <v>1</v>
      </c>
      <c r="K10" s="105">
        <v>1</v>
      </c>
      <c r="L10" s="105">
        <v>1</v>
      </c>
      <c r="M10" s="105">
        <v>1</v>
      </c>
      <c r="N10" s="105">
        <v>1</v>
      </c>
      <c r="O10" s="105">
        <v>1</v>
      </c>
      <c r="Q10" s="108">
        <v>8</v>
      </c>
      <c r="R10" s="109" t="s">
        <v>23</v>
      </c>
      <c r="S10" s="110">
        <v>114.67443068545501</v>
      </c>
      <c r="T10" s="110">
        <v>117.98757294309183</v>
      </c>
      <c r="U10" s="110">
        <v>159.05242046049204</v>
      </c>
      <c r="V10" s="110">
        <v>180.49356964157326</v>
      </c>
      <c r="W10" s="110">
        <v>213.44197660946978</v>
      </c>
      <c r="X10" s="110">
        <v>305.59171011298685</v>
      </c>
      <c r="Y10" s="110">
        <v>376.09529691571709</v>
      </c>
      <c r="Z10" s="110">
        <v>233.10944485108311</v>
      </c>
      <c r="AA10" s="110">
        <v>125.01168414393116</v>
      </c>
      <c r="AB10" s="110">
        <v>113.22525586559</v>
      </c>
      <c r="AC10" s="110">
        <v>113.53905773708891</v>
      </c>
      <c r="AD10" s="110">
        <v>110.17108610706393</v>
      </c>
      <c r="AF10" s="108">
        <v>8</v>
      </c>
      <c r="AG10" s="109" t="s">
        <v>23</v>
      </c>
      <c r="AH10" s="111">
        <v>921.19064266655471</v>
      </c>
      <c r="AI10" s="112">
        <v>918.2724227083786</v>
      </c>
      <c r="AJ10" s="112">
        <v>918.96516041228847</v>
      </c>
      <c r="AK10" s="112">
        <v>925.00130669566374</v>
      </c>
      <c r="AL10" s="112">
        <v>933.03331128948548</v>
      </c>
      <c r="AM10" s="112">
        <v>935.79233135635559</v>
      </c>
      <c r="AN10" s="112">
        <v>942.05146369757256</v>
      </c>
      <c r="AO10" s="112">
        <v>944.67683881304083</v>
      </c>
      <c r="AP10" s="112">
        <v>943.23134444812979</v>
      </c>
      <c r="AQ10" s="112">
        <v>939.97696715685333</v>
      </c>
      <c r="AR10" s="112">
        <v>933.18825391463781</v>
      </c>
      <c r="AS10" s="112">
        <v>926.33534978463365</v>
      </c>
      <c r="AT10" s="112">
        <v>920.51956231927295</v>
      </c>
      <c r="AV10" s="108">
        <v>8</v>
      </c>
      <c r="AW10" s="109" t="s">
        <v>23</v>
      </c>
      <c r="AX10" s="111">
        <v>-2.9182203177193742</v>
      </c>
      <c r="AY10" s="112">
        <v>0.69273757029274918</v>
      </c>
      <c r="AZ10" s="112">
        <v>6.03614619807745</v>
      </c>
      <c r="BA10" s="112">
        <v>8.0320045527014727</v>
      </c>
      <c r="BB10" s="112">
        <v>2.7590200457690557</v>
      </c>
      <c r="BC10" s="112">
        <v>6.2591323346361634</v>
      </c>
      <c r="BD10" s="112">
        <v>2.6253750571879948</v>
      </c>
      <c r="BE10" s="112">
        <v>-1.4454944933454215</v>
      </c>
      <c r="BF10" s="112">
        <v>-3.254377588975359</v>
      </c>
      <c r="BG10" s="112">
        <v>-6.788713961335759</v>
      </c>
      <c r="BH10" s="112">
        <v>-6.8529049105335105</v>
      </c>
      <c r="BI10" s="112">
        <v>-5.8157880409406886</v>
      </c>
      <c r="BJ10" s="108"/>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row>
    <row r="11" spans="1:104" ht="12" customHeight="1" x14ac:dyDescent="0.25">
      <c r="A11" s="108">
        <v>9</v>
      </c>
      <c r="B11" s="108" t="s">
        <v>24</v>
      </c>
      <c r="C11" s="105">
        <v>0</v>
      </c>
      <c r="D11" s="105">
        <v>0</v>
      </c>
      <c r="E11" s="105">
        <v>0</v>
      </c>
      <c r="F11" s="105">
        <v>0</v>
      </c>
      <c r="G11" s="105">
        <v>0</v>
      </c>
      <c r="H11" s="105">
        <v>0</v>
      </c>
      <c r="I11" s="105">
        <v>0</v>
      </c>
      <c r="J11" s="105">
        <v>0</v>
      </c>
      <c r="K11" s="105">
        <v>1</v>
      </c>
      <c r="L11" s="105">
        <v>1</v>
      </c>
      <c r="M11" s="105">
        <v>1</v>
      </c>
      <c r="N11" s="105">
        <v>1</v>
      </c>
      <c r="O11" s="105">
        <v>1</v>
      </c>
      <c r="Q11" s="108">
        <v>9</v>
      </c>
      <c r="R11" s="109" t="s">
        <v>24</v>
      </c>
      <c r="S11" s="110">
        <v>114.45974174615029</v>
      </c>
      <c r="T11" s="110">
        <v>117.98549697747902</v>
      </c>
      <c r="U11" s="110">
        <v>159.00649495491689</v>
      </c>
      <c r="V11" s="110">
        <v>180.46893131835438</v>
      </c>
      <c r="W11" s="110">
        <v>213.33084840434157</v>
      </c>
      <c r="X11" s="110">
        <v>305.5917101129869</v>
      </c>
      <c r="Y11" s="110">
        <v>375.9192690073836</v>
      </c>
      <c r="Z11" s="110">
        <v>232.72586528108306</v>
      </c>
      <c r="AA11" s="110">
        <v>124.4314711391055</v>
      </c>
      <c r="AB11" s="110">
        <v>112.56362841851221</v>
      </c>
      <c r="AC11" s="110">
        <v>112.89058868736883</v>
      </c>
      <c r="AD11" s="110">
        <v>109.7709786395602</v>
      </c>
      <c r="AF11" s="108">
        <v>9</v>
      </c>
      <c r="AG11" s="109" t="s">
        <v>24</v>
      </c>
      <c r="AH11" s="111">
        <v>58.029586136516301</v>
      </c>
      <c r="AI11" s="112">
        <v>58.071198730255297</v>
      </c>
      <c r="AJ11" s="112">
        <v>58.032316165306149</v>
      </c>
      <c r="AK11" s="112">
        <v>58.078233471653022</v>
      </c>
      <c r="AL11" s="112">
        <v>58.102871794871895</v>
      </c>
      <c r="AM11" s="112">
        <v>58.214000000000105</v>
      </c>
      <c r="AN11" s="112">
        <v>58.214000000000105</v>
      </c>
      <c r="AO11" s="112">
        <v>58.214000000000105</v>
      </c>
      <c r="AP11" s="112">
        <v>58.214000000000105</v>
      </c>
      <c r="AQ11" s="112">
        <v>58.206487158882979</v>
      </c>
      <c r="AR11" s="112">
        <v>58.121948859399602</v>
      </c>
      <c r="AS11" s="112">
        <v>58.083271129817582</v>
      </c>
      <c r="AT11" s="112">
        <v>58.029586136516322</v>
      </c>
      <c r="AV11" s="108">
        <v>9</v>
      </c>
      <c r="AW11" s="109" t="s">
        <v>24</v>
      </c>
      <c r="AX11" s="111">
        <v>4.160452371289125E-2</v>
      </c>
      <c r="AY11" s="112">
        <v>-3.8886320714766498E-2</v>
      </c>
      <c r="AZ11" s="112">
        <v>4.592550557514663E-2</v>
      </c>
      <c r="BA11" s="112">
        <v>2.4638323218891145E-2</v>
      </c>
      <c r="BB11" s="112">
        <v>0.1111282051281961</v>
      </c>
      <c r="BC11" s="112">
        <v>0</v>
      </c>
      <c r="BD11" s="112">
        <v>0</v>
      </c>
      <c r="BE11" s="112">
        <v>5.6843418860808015E-14</v>
      </c>
      <c r="BF11" s="112">
        <v>-7.5139936835171284E-3</v>
      </c>
      <c r="BG11" s="112">
        <v>-8.455348350967995E-2</v>
      </c>
      <c r="BH11" s="112">
        <v>-3.8699760979838516E-2</v>
      </c>
      <c r="BI11" s="112">
        <v>-5.370406453745602E-2</v>
      </c>
      <c r="BJ11" s="108"/>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row>
    <row r="12" spans="1:104" ht="12" customHeight="1" x14ac:dyDescent="0.25">
      <c r="A12" s="104">
        <v>10</v>
      </c>
      <c r="B12" s="104" t="s">
        <v>25</v>
      </c>
      <c r="C12" s="105">
        <v>0</v>
      </c>
      <c r="D12" s="105">
        <v>0</v>
      </c>
      <c r="E12" s="105">
        <v>0</v>
      </c>
      <c r="F12" s="105">
        <v>0</v>
      </c>
      <c r="G12" s="105">
        <v>0</v>
      </c>
      <c r="H12" s="105">
        <v>0</v>
      </c>
      <c r="I12" s="105">
        <v>0</v>
      </c>
      <c r="J12" s="105">
        <v>0</v>
      </c>
      <c r="K12" s="105">
        <v>0</v>
      </c>
      <c r="L12" s="105">
        <v>1</v>
      </c>
      <c r="M12" s="105">
        <v>1</v>
      </c>
      <c r="N12" s="105">
        <v>1</v>
      </c>
      <c r="O12" s="105">
        <v>1</v>
      </c>
      <c r="Q12" s="104">
        <v>10</v>
      </c>
      <c r="R12" s="97" t="s">
        <v>25</v>
      </c>
      <c r="S12" s="106">
        <v>162.78283070846027</v>
      </c>
      <c r="T12" s="106">
        <v>185.36988389554381</v>
      </c>
      <c r="U12" s="106">
        <v>227.02453409773685</v>
      </c>
      <c r="V12" s="106">
        <v>282.5703052799048</v>
      </c>
      <c r="W12" s="106">
        <v>250.68184508105932</v>
      </c>
      <c r="X12" s="106">
        <v>263.91120673119809</v>
      </c>
      <c r="Y12" s="106">
        <v>273.1490707282336</v>
      </c>
      <c r="Z12" s="106">
        <v>173.67036093276664</v>
      </c>
      <c r="AA12" s="106">
        <v>131.48336290175556</v>
      </c>
      <c r="AB12" s="106">
        <v>170.85678699360409</v>
      </c>
      <c r="AC12" s="106">
        <v>166.86486822005799</v>
      </c>
      <c r="AD12" s="106">
        <v>160.57069589654927</v>
      </c>
      <c r="AF12" s="104">
        <v>10</v>
      </c>
      <c r="AG12" s="97" t="s">
        <v>25</v>
      </c>
      <c r="AH12" s="107">
        <v>0</v>
      </c>
      <c r="AI12" s="107">
        <v>0</v>
      </c>
      <c r="AJ12" s="107">
        <v>0</v>
      </c>
      <c r="AK12" s="107">
        <v>0</v>
      </c>
      <c r="AL12" s="107">
        <v>0</v>
      </c>
      <c r="AM12" s="107">
        <v>0</v>
      </c>
      <c r="AN12" s="107">
        <v>0</v>
      </c>
      <c r="AO12" s="107">
        <v>0</v>
      </c>
      <c r="AP12" s="107">
        <v>0</v>
      </c>
      <c r="AQ12" s="107">
        <v>0</v>
      </c>
      <c r="AR12" s="107">
        <v>0</v>
      </c>
      <c r="AS12" s="107">
        <v>0</v>
      </c>
      <c r="AT12" s="107">
        <v>0</v>
      </c>
      <c r="AV12" s="104">
        <v>10</v>
      </c>
      <c r="AW12" s="97" t="s">
        <v>25</v>
      </c>
      <c r="AX12" s="107">
        <v>0</v>
      </c>
      <c r="AY12" s="107">
        <v>0</v>
      </c>
      <c r="AZ12" s="107">
        <v>0</v>
      </c>
      <c r="BA12" s="107">
        <v>0</v>
      </c>
      <c r="BB12" s="107">
        <v>0</v>
      </c>
      <c r="BC12" s="107">
        <v>0</v>
      </c>
      <c r="BD12" s="107">
        <v>0</v>
      </c>
      <c r="BE12" s="107">
        <v>0</v>
      </c>
      <c r="BF12" s="107">
        <v>0</v>
      </c>
      <c r="BG12" s="107">
        <v>0</v>
      </c>
      <c r="BH12" s="107">
        <v>0</v>
      </c>
      <c r="BI12" s="107">
        <v>0</v>
      </c>
      <c r="BJ12" s="104"/>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row>
    <row r="13" spans="1:104" ht="12" customHeight="1" x14ac:dyDescent="0.25">
      <c r="A13" s="104">
        <v>11</v>
      </c>
      <c r="B13" s="104" t="s">
        <v>26</v>
      </c>
      <c r="C13" s="105">
        <v>0</v>
      </c>
      <c r="D13" s="105">
        <v>0</v>
      </c>
      <c r="E13" s="105">
        <v>0</v>
      </c>
      <c r="F13" s="105">
        <v>0</v>
      </c>
      <c r="G13" s="105">
        <v>0</v>
      </c>
      <c r="H13" s="105">
        <v>0</v>
      </c>
      <c r="I13" s="105">
        <v>0</v>
      </c>
      <c r="J13" s="105">
        <v>0</v>
      </c>
      <c r="K13" s="105">
        <v>0</v>
      </c>
      <c r="L13" s="105">
        <v>0</v>
      </c>
      <c r="M13" s="105">
        <v>1</v>
      </c>
      <c r="N13" s="105">
        <v>1</v>
      </c>
      <c r="O13" s="105">
        <v>1</v>
      </c>
      <c r="Q13" s="104">
        <v>11</v>
      </c>
      <c r="R13" s="97" t="s">
        <v>26</v>
      </c>
      <c r="S13" s="106">
        <v>14.873059469327115</v>
      </c>
      <c r="T13" s="106">
        <v>22.946168782003426</v>
      </c>
      <c r="U13" s="106">
        <v>48.404137031741037</v>
      </c>
      <c r="V13" s="106">
        <v>55.638421037827896</v>
      </c>
      <c r="W13" s="106">
        <v>67.658005615442406</v>
      </c>
      <c r="X13" s="106">
        <v>92.295418841619707</v>
      </c>
      <c r="Y13" s="106">
        <v>98.593329642144269</v>
      </c>
      <c r="Z13" s="106">
        <v>69.530170597748878</v>
      </c>
      <c r="AA13" s="106">
        <v>33.034045228244679</v>
      </c>
      <c r="AB13" s="106">
        <v>11.49709142269036</v>
      </c>
      <c r="AC13" s="106">
        <v>7.0199605328356078</v>
      </c>
      <c r="AD13" s="106">
        <v>6.8220132976069792</v>
      </c>
      <c r="AF13" s="104">
        <v>11</v>
      </c>
      <c r="AG13" s="97" t="s">
        <v>26</v>
      </c>
      <c r="AH13" s="107">
        <v>0</v>
      </c>
      <c r="AI13" s="107">
        <v>0</v>
      </c>
      <c r="AJ13" s="107">
        <v>0</v>
      </c>
      <c r="AK13" s="107">
        <v>0</v>
      </c>
      <c r="AL13" s="107">
        <v>0</v>
      </c>
      <c r="AM13" s="107">
        <v>0</v>
      </c>
      <c r="AN13" s="107">
        <v>0</v>
      </c>
      <c r="AO13" s="107">
        <v>0</v>
      </c>
      <c r="AP13" s="107">
        <v>0</v>
      </c>
      <c r="AQ13" s="107">
        <v>0</v>
      </c>
      <c r="AR13" s="107">
        <v>0</v>
      </c>
      <c r="AS13" s="107">
        <v>0</v>
      </c>
      <c r="AT13" s="107">
        <v>0</v>
      </c>
      <c r="AV13" s="104">
        <v>11</v>
      </c>
      <c r="AW13" s="97" t="s">
        <v>26</v>
      </c>
      <c r="AX13" s="107">
        <v>0</v>
      </c>
      <c r="AY13" s="107">
        <v>0</v>
      </c>
      <c r="AZ13" s="107">
        <v>0</v>
      </c>
      <c r="BA13" s="107">
        <v>0</v>
      </c>
      <c r="BB13" s="107">
        <v>0</v>
      </c>
      <c r="BC13" s="107">
        <v>0</v>
      </c>
      <c r="BD13" s="107">
        <v>0</v>
      </c>
      <c r="BE13" s="107">
        <v>0</v>
      </c>
      <c r="BF13" s="107">
        <v>0</v>
      </c>
      <c r="BG13" s="107">
        <v>0</v>
      </c>
      <c r="BH13" s="107">
        <v>0</v>
      </c>
      <c r="BI13" s="107">
        <v>0</v>
      </c>
      <c r="BJ13" s="104"/>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row>
    <row r="14" spans="1:104" ht="12" customHeight="1" x14ac:dyDescent="0.25">
      <c r="A14" s="104">
        <v>12</v>
      </c>
      <c r="B14" s="104" t="s">
        <v>27</v>
      </c>
      <c r="C14" s="105">
        <v>0</v>
      </c>
      <c r="D14" s="105">
        <v>0</v>
      </c>
      <c r="E14" s="105">
        <v>0</v>
      </c>
      <c r="F14" s="105">
        <v>0</v>
      </c>
      <c r="G14" s="105">
        <v>0</v>
      </c>
      <c r="H14" s="105">
        <v>0</v>
      </c>
      <c r="I14" s="105">
        <v>0</v>
      </c>
      <c r="J14" s="105">
        <v>0</v>
      </c>
      <c r="K14" s="105">
        <v>0</v>
      </c>
      <c r="L14" s="105">
        <v>0</v>
      </c>
      <c r="M14" s="105">
        <v>0</v>
      </c>
      <c r="N14" s="105">
        <v>1</v>
      </c>
      <c r="O14" s="105">
        <v>1</v>
      </c>
      <c r="Q14" s="104">
        <v>12</v>
      </c>
      <c r="R14" s="97" t="s">
        <v>27</v>
      </c>
      <c r="S14" s="106">
        <v>179.50225179350957</v>
      </c>
      <c r="T14" s="106">
        <v>210.36448322394696</v>
      </c>
      <c r="U14" s="106">
        <v>277.97261322393928</v>
      </c>
      <c r="V14" s="106">
        <v>341.15455930599666</v>
      </c>
      <c r="W14" s="106">
        <v>321.29714863260114</v>
      </c>
      <c r="X14" s="106">
        <v>359.72930985039545</v>
      </c>
      <c r="Y14" s="106">
        <v>375.09502046830642</v>
      </c>
      <c r="Z14" s="106">
        <v>245.79622611891043</v>
      </c>
      <c r="AA14" s="106">
        <v>158.99771128255219</v>
      </c>
      <c r="AB14" s="106">
        <v>169.81391348360637</v>
      </c>
      <c r="AC14" s="106">
        <v>163.79464730276641</v>
      </c>
      <c r="AD14" s="106">
        <v>165.56112488929648</v>
      </c>
      <c r="AF14" s="104">
        <v>12</v>
      </c>
      <c r="AG14" s="97" t="s">
        <v>27</v>
      </c>
      <c r="AH14" s="107">
        <v>0</v>
      </c>
      <c r="AI14" s="107">
        <v>0</v>
      </c>
      <c r="AJ14" s="107">
        <v>0</v>
      </c>
      <c r="AK14" s="107">
        <v>0</v>
      </c>
      <c r="AL14" s="107">
        <v>0</v>
      </c>
      <c r="AM14" s="107">
        <v>0</v>
      </c>
      <c r="AN14" s="107">
        <v>0</v>
      </c>
      <c r="AO14" s="107">
        <v>0</v>
      </c>
      <c r="AP14" s="107">
        <v>0</v>
      </c>
      <c r="AQ14" s="107">
        <v>0</v>
      </c>
      <c r="AR14" s="107">
        <v>0</v>
      </c>
      <c r="AS14" s="107">
        <v>0</v>
      </c>
      <c r="AT14" s="107">
        <v>0</v>
      </c>
      <c r="AV14" s="104">
        <v>12</v>
      </c>
      <c r="AW14" s="97" t="s">
        <v>27</v>
      </c>
      <c r="AX14" s="107">
        <v>0</v>
      </c>
      <c r="AY14" s="107">
        <v>0</v>
      </c>
      <c r="AZ14" s="107">
        <v>0</v>
      </c>
      <c r="BA14" s="107">
        <v>0</v>
      </c>
      <c r="BB14" s="107">
        <v>0</v>
      </c>
      <c r="BC14" s="107">
        <v>0</v>
      </c>
      <c r="BD14" s="107">
        <v>0</v>
      </c>
      <c r="BE14" s="107">
        <v>0</v>
      </c>
      <c r="BF14" s="107">
        <v>0</v>
      </c>
      <c r="BG14" s="107">
        <v>0</v>
      </c>
      <c r="BH14" s="107">
        <v>0</v>
      </c>
      <c r="BI14" s="107">
        <v>0</v>
      </c>
      <c r="BJ14" s="10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row>
    <row r="15" spans="1:104" ht="12" customHeight="1" x14ac:dyDescent="0.25">
      <c r="A15" s="104">
        <v>13</v>
      </c>
      <c r="B15" s="104" t="s">
        <v>28</v>
      </c>
      <c r="C15" s="105">
        <v>0</v>
      </c>
      <c r="D15" s="105">
        <v>0</v>
      </c>
      <c r="E15" s="105">
        <v>0</v>
      </c>
      <c r="F15" s="105">
        <v>0</v>
      </c>
      <c r="G15" s="105">
        <v>0</v>
      </c>
      <c r="H15" s="105">
        <v>0</v>
      </c>
      <c r="I15" s="105">
        <v>0</v>
      </c>
      <c r="J15" s="105">
        <v>0</v>
      </c>
      <c r="K15" s="105">
        <v>0</v>
      </c>
      <c r="L15" s="105">
        <v>0</v>
      </c>
      <c r="M15" s="105">
        <v>0</v>
      </c>
      <c r="N15" s="105">
        <v>0</v>
      </c>
      <c r="O15" s="105">
        <v>1</v>
      </c>
      <c r="Q15" s="104">
        <v>13</v>
      </c>
      <c r="R15" s="97" t="s">
        <v>28</v>
      </c>
      <c r="S15" s="106">
        <v>267.79628637353176</v>
      </c>
      <c r="T15" s="106">
        <v>325.51188961847919</v>
      </c>
      <c r="U15" s="106">
        <v>480.26042827643812</v>
      </c>
      <c r="V15" s="106">
        <v>585.78883188465295</v>
      </c>
      <c r="W15" s="106">
        <v>576.03957536885468</v>
      </c>
      <c r="X15" s="106">
        <v>673.05992694471388</v>
      </c>
      <c r="Y15" s="106">
        <v>641.18841505772684</v>
      </c>
      <c r="Z15" s="106">
        <v>411.26934214651681</v>
      </c>
      <c r="AA15" s="106">
        <v>265.38234310491163</v>
      </c>
      <c r="AB15" s="106">
        <v>260.22273664788094</v>
      </c>
      <c r="AC15" s="106">
        <v>233.81595990800776</v>
      </c>
      <c r="AD15" s="106">
        <v>228.15373201433511</v>
      </c>
      <c r="AF15" s="104">
        <v>13</v>
      </c>
      <c r="AG15" s="97" t="s">
        <v>28</v>
      </c>
      <c r="AH15" s="107">
        <v>0</v>
      </c>
      <c r="AI15" s="107">
        <v>0</v>
      </c>
      <c r="AJ15" s="107">
        <v>0</v>
      </c>
      <c r="AK15" s="107">
        <v>0</v>
      </c>
      <c r="AL15" s="107">
        <v>0</v>
      </c>
      <c r="AM15" s="107">
        <v>0</v>
      </c>
      <c r="AN15" s="107">
        <v>0</v>
      </c>
      <c r="AO15" s="107">
        <v>0</v>
      </c>
      <c r="AP15" s="107">
        <v>0</v>
      </c>
      <c r="AQ15" s="107">
        <v>0</v>
      </c>
      <c r="AR15" s="107">
        <v>0</v>
      </c>
      <c r="AS15" s="107">
        <v>0</v>
      </c>
      <c r="AT15" s="107">
        <v>0</v>
      </c>
      <c r="AV15" s="104">
        <v>13</v>
      </c>
      <c r="AW15" s="97" t="s">
        <v>28</v>
      </c>
      <c r="AX15" s="107">
        <v>0</v>
      </c>
      <c r="AY15" s="107">
        <v>0</v>
      </c>
      <c r="AZ15" s="107">
        <v>0</v>
      </c>
      <c r="BA15" s="107">
        <v>0</v>
      </c>
      <c r="BB15" s="107">
        <v>0</v>
      </c>
      <c r="BC15" s="107">
        <v>0</v>
      </c>
      <c r="BD15" s="107">
        <v>0</v>
      </c>
      <c r="BE15" s="107">
        <v>0</v>
      </c>
      <c r="BF15" s="107">
        <v>0</v>
      </c>
      <c r="BG15" s="107">
        <v>0</v>
      </c>
      <c r="BH15" s="107">
        <v>0</v>
      </c>
      <c r="BI15" s="107">
        <v>0</v>
      </c>
      <c r="BJ15" s="104"/>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row>
    <row r="16" spans="1:104" ht="12" customHeight="1" x14ac:dyDescent="0.2">
      <c r="A16" s="98"/>
      <c r="B16" s="98"/>
      <c r="Q16" s="98"/>
      <c r="R16" s="97"/>
      <c r="AF16" s="98"/>
      <c r="AV16" s="98"/>
      <c r="BJ16" s="98"/>
      <c r="BX16" s="99"/>
      <c r="BY16" s="99"/>
      <c r="BZ16" s="99"/>
      <c r="CA16" s="99"/>
      <c r="CB16" s="99"/>
      <c r="CC16" s="99"/>
      <c r="CD16" s="99"/>
      <c r="CE16" s="99"/>
      <c r="CF16" s="99"/>
      <c r="CG16" s="99"/>
      <c r="CH16" s="99"/>
      <c r="CI16" s="99"/>
      <c r="CJ16" s="99"/>
      <c r="CK16" s="99"/>
      <c r="CL16" s="98"/>
      <c r="CM16" s="113" t="s">
        <v>123</v>
      </c>
    </row>
    <row r="17" spans="1:103" ht="12" customHeight="1" x14ac:dyDescent="0.2">
      <c r="B17" s="100" t="s">
        <v>54</v>
      </c>
      <c r="C17" s="114">
        <v>-1</v>
      </c>
      <c r="R17" s="100" t="s">
        <v>20</v>
      </c>
      <c r="S17" s="115" t="s">
        <v>149</v>
      </c>
      <c r="T17" s="115"/>
      <c r="U17" s="115"/>
      <c r="V17" s="115"/>
      <c r="W17" s="115"/>
      <c r="X17" s="115"/>
      <c r="Y17" s="115"/>
      <c r="Z17" s="115"/>
      <c r="AA17" s="115"/>
      <c r="AB17" s="115"/>
      <c r="AC17" s="115"/>
      <c r="AD17" s="115"/>
      <c r="AG17" s="116" t="s">
        <v>38</v>
      </c>
      <c r="AH17" s="103" t="s">
        <v>39</v>
      </c>
      <c r="AI17" s="103" t="s">
        <v>40</v>
      </c>
      <c r="AJ17" s="103" t="s">
        <v>41</v>
      </c>
      <c r="AK17" s="103" t="s">
        <v>42</v>
      </c>
      <c r="AL17" s="103" t="s">
        <v>43</v>
      </c>
      <c r="AM17" s="103" t="s">
        <v>44</v>
      </c>
      <c r="AN17" s="103" t="s">
        <v>45</v>
      </c>
      <c r="AO17" s="103" t="s">
        <v>46</v>
      </c>
      <c r="AP17" s="103" t="s">
        <v>47</v>
      </c>
      <c r="AQ17" s="103" t="s">
        <v>48</v>
      </c>
      <c r="AR17" s="103" t="s">
        <v>49</v>
      </c>
      <c r="AS17" s="103" t="s">
        <v>50</v>
      </c>
      <c r="AT17" s="103" t="s">
        <v>51</v>
      </c>
      <c r="AW17" s="117" t="s">
        <v>117</v>
      </c>
      <c r="BK17" s="117" t="s">
        <v>118</v>
      </c>
      <c r="BY17" s="118" t="str">
        <f>B47</f>
        <v>SP + EN</v>
      </c>
      <c r="BZ17" s="119" t="str">
        <f>R107</f>
        <v>IR NET</v>
      </c>
      <c r="CA17" s="98"/>
      <c r="CB17" s="98"/>
      <c r="CC17" s="98"/>
      <c r="CD17" s="98"/>
      <c r="CE17" s="98"/>
      <c r="CF17" s="98"/>
      <c r="CG17" s="98"/>
      <c r="CH17" s="98"/>
      <c r="CI17" s="98"/>
      <c r="CJ17" s="98"/>
      <c r="CK17" s="98"/>
      <c r="CM17" s="117" t="s">
        <v>121</v>
      </c>
      <c r="CN17" s="113" t="s">
        <v>122</v>
      </c>
    </row>
    <row r="18" spans="1:103" ht="12" customHeight="1" x14ac:dyDescent="0.2">
      <c r="A18" s="104">
        <v>1</v>
      </c>
      <c r="B18" s="104" t="s">
        <v>21</v>
      </c>
      <c r="C18" s="105">
        <v>1</v>
      </c>
      <c r="D18" s="105">
        <v>0</v>
      </c>
      <c r="E18" s="105">
        <v>0</v>
      </c>
      <c r="F18" s="105">
        <v>0</v>
      </c>
      <c r="G18" s="105">
        <v>0</v>
      </c>
      <c r="H18" s="105">
        <v>0</v>
      </c>
      <c r="I18" s="105">
        <v>0</v>
      </c>
      <c r="J18" s="105">
        <v>0</v>
      </c>
      <c r="K18" s="105">
        <v>0</v>
      </c>
      <c r="L18" s="105">
        <v>0</v>
      </c>
      <c r="M18" s="105">
        <v>0</v>
      </c>
      <c r="N18" s="105">
        <v>0</v>
      </c>
      <c r="O18" s="105">
        <v>0</v>
      </c>
      <c r="Q18" s="104">
        <v>1</v>
      </c>
      <c r="R18" s="97" t="s">
        <v>21</v>
      </c>
      <c r="S18" s="120">
        <f t="array" ref="S18:AD30">S63:AD75-MMULT(C18:O30,S33:AD45)-S123:AD135</f>
        <v>43.852295408621302</v>
      </c>
      <c r="T18" s="120">
        <v>50.680179315279609</v>
      </c>
      <c r="U18" s="120">
        <v>57.328781737684551</v>
      </c>
      <c r="V18" s="120">
        <v>58.897114264309415</v>
      </c>
      <c r="W18" s="120">
        <v>55.692996633435243</v>
      </c>
      <c r="X18" s="120">
        <v>65.90761051895069</v>
      </c>
      <c r="Y18" s="120">
        <v>60.340719394558143</v>
      </c>
      <c r="Z18" s="120">
        <v>60.848900369883339</v>
      </c>
      <c r="AA18" s="120">
        <v>64.374627802013038</v>
      </c>
      <c r="AB18" s="120">
        <v>51.887808479838839</v>
      </c>
      <c r="AC18" s="120">
        <v>43.742853350018393</v>
      </c>
      <c r="AD18" s="120">
        <v>34.569292325235708</v>
      </c>
      <c r="AF18" s="104">
        <v>1</v>
      </c>
      <c r="AG18" s="97" t="s">
        <v>21</v>
      </c>
      <c r="AH18" s="122">
        <f t="array" ref="AH18:AT30">MMULT(AH33:AT45,C3:O15)</f>
        <v>0</v>
      </c>
      <c r="AI18" s="107">
        <v>0</v>
      </c>
      <c r="AJ18" s="107">
        <v>0</v>
      </c>
      <c r="AK18" s="107">
        <v>0</v>
      </c>
      <c r="AL18" s="107">
        <v>0</v>
      </c>
      <c r="AM18" s="107">
        <v>0</v>
      </c>
      <c r="AN18" s="107">
        <v>0</v>
      </c>
      <c r="AO18" s="107">
        <v>0</v>
      </c>
      <c r="AP18" s="107">
        <v>0</v>
      </c>
      <c r="AQ18" s="107">
        <v>0</v>
      </c>
      <c r="AR18" s="107">
        <v>0</v>
      </c>
      <c r="AS18" s="107">
        <v>0</v>
      </c>
      <c r="AT18" s="107">
        <v>0</v>
      </c>
      <c r="AV18" s="104">
        <v>1</v>
      </c>
      <c r="AW18" s="104" t="s">
        <v>21</v>
      </c>
      <c r="AX18" s="125">
        <v>0</v>
      </c>
      <c r="AY18" s="125">
        <v>0</v>
      </c>
      <c r="AZ18" s="125">
        <v>0</v>
      </c>
      <c r="BA18" s="125">
        <v>0</v>
      </c>
      <c r="BB18" s="125">
        <v>0</v>
      </c>
      <c r="BC18" s="125">
        <v>0</v>
      </c>
      <c r="BD18" s="125">
        <v>0</v>
      </c>
      <c r="BE18" s="125">
        <v>0</v>
      </c>
      <c r="BF18" s="125">
        <v>0</v>
      </c>
      <c r="BG18" s="125">
        <v>0</v>
      </c>
      <c r="BH18" s="125">
        <v>0</v>
      </c>
      <c r="BI18" s="125">
        <v>0</v>
      </c>
      <c r="BJ18" s="104">
        <v>1</v>
      </c>
      <c r="BK18" s="104" t="s">
        <v>21</v>
      </c>
      <c r="BL18" s="125">
        <v>0</v>
      </c>
      <c r="BM18" s="125">
        <v>0</v>
      </c>
      <c r="BN18" s="125">
        <v>0</v>
      </c>
      <c r="BO18" s="125">
        <v>0</v>
      </c>
      <c r="BP18" s="125">
        <v>0</v>
      </c>
      <c r="BQ18" s="125">
        <v>0</v>
      </c>
      <c r="BR18" s="125">
        <v>0</v>
      </c>
      <c r="BS18" s="125">
        <v>0</v>
      </c>
      <c r="BT18" s="125">
        <v>0</v>
      </c>
      <c r="BU18" s="125">
        <v>0</v>
      </c>
      <c r="BV18" s="125">
        <v>0</v>
      </c>
      <c r="BW18" s="125">
        <v>0</v>
      </c>
      <c r="BX18" s="104">
        <f t="shared" ref="BX18:CK30" si="0">A48</f>
        <v>1</v>
      </c>
      <c r="BY18" s="104" t="str">
        <f t="shared" si="0"/>
        <v>YUK SAKARYA SULAMA</v>
      </c>
      <c r="BZ18" s="126">
        <f t="shared" si="0"/>
        <v>0</v>
      </c>
      <c r="CA18" s="126">
        <f t="shared" si="0"/>
        <v>0</v>
      </c>
      <c r="CB18" s="126">
        <f t="shared" si="0"/>
        <v>0</v>
      </c>
      <c r="CC18" s="126">
        <f t="shared" si="0"/>
        <v>0</v>
      </c>
      <c r="CD18" s="126">
        <f t="shared" si="0"/>
        <v>0</v>
      </c>
      <c r="CE18" s="126">
        <f t="shared" si="0"/>
        <v>0</v>
      </c>
      <c r="CF18" s="126">
        <f t="shared" si="0"/>
        <v>0</v>
      </c>
      <c r="CG18" s="126">
        <f t="shared" si="0"/>
        <v>0</v>
      </c>
      <c r="CH18" s="126">
        <f t="shared" si="0"/>
        <v>0</v>
      </c>
      <c r="CI18" s="126">
        <f t="shared" si="0"/>
        <v>0</v>
      </c>
      <c r="CJ18" s="126">
        <f t="shared" si="0"/>
        <v>0</v>
      </c>
      <c r="CK18" s="126">
        <f t="shared" si="0"/>
        <v>0</v>
      </c>
      <c r="CL18" s="104">
        <v>1</v>
      </c>
      <c r="CM18" s="104" t="s">
        <v>21</v>
      </c>
      <c r="CN18" s="127">
        <f t="array" ref="CN18:CY30">BZ46:CK58+BZ61:CK73</f>
        <v>0</v>
      </c>
      <c r="CO18" s="127">
        <v>0</v>
      </c>
      <c r="CP18" s="127">
        <v>0</v>
      </c>
      <c r="CQ18" s="127">
        <v>0</v>
      </c>
      <c r="CR18" s="127">
        <v>0</v>
      </c>
      <c r="CS18" s="127">
        <v>0</v>
      </c>
      <c r="CT18" s="127">
        <v>0</v>
      </c>
      <c r="CU18" s="127">
        <v>0</v>
      </c>
      <c r="CV18" s="127">
        <v>0</v>
      </c>
      <c r="CW18" s="127">
        <v>0</v>
      </c>
      <c r="CX18" s="127">
        <v>0</v>
      </c>
      <c r="CY18" s="127">
        <v>0</v>
      </c>
    </row>
    <row r="19" spans="1:103" ht="12" customHeight="1" x14ac:dyDescent="0.2">
      <c r="A19" s="104">
        <v>2</v>
      </c>
      <c r="B19" s="104" t="s">
        <v>22</v>
      </c>
      <c r="C19" s="105">
        <v>0</v>
      </c>
      <c r="D19" s="105">
        <v>1</v>
      </c>
      <c r="E19" s="105">
        <v>0</v>
      </c>
      <c r="F19" s="105">
        <v>0</v>
      </c>
      <c r="G19" s="105">
        <v>0</v>
      </c>
      <c r="H19" s="105">
        <v>0</v>
      </c>
      <c r="I19" s="105">
        <v>0</v>
      </c>
      <c r="J19" s="105">
        <v>0</v>
      </c>
      <c r="K19" s="105">
        <v>0</v>
      </c>
      <c r="L19" s="105">
        <v>0</v>
      </c>
      <c r="M19" s="105">
        <v>0</v>
      </c>
      <c r="N19" s="105">
        <v>0</v>
      </c>
      <c r="O19" s="105">
        <v>0</v>
      </c>
      <c r="Q19" s="104">
        <v>2</v>
      </c>
      <c r="R19" s="97" t="s">
        <v>22</v>
      </c>
      <c r="S19" s="120">
        <v>17.136009648320186</v>
      </c>
      <c r="T19" s="120">
        <v>28.858125024853376</v>
      </c>
      <c r="U19" s="120">
        <v>20.152310500344335</v>
      </c>
      <c r="V19" s="120">
        <v>22.567857320529725</v>
      </c>
      <c r="W19" s="120">
        <v>14.965828831178264</v>
      </c>
      <c r="X19" s="120">
        <v>6.9181381991925939</v>
      </c>
      <c r="Y19" s="120">
        <v>20.98544197413981</v>
      </c>
      <c r="Z19" s="120">
        <v>26.550868073722388</v>
      </c>
      <c r="AA19" s="120">
        <v>9.5033576031155462</v>
      </c>
      <c r="AB19" s="120">
        <v>10.084551538676894</v>
      </c>
      <c r="AC19" s="120">
        <v>10.293348853912551</v>
      </c>
      <c r="AD19" s="120">
        <v>18.299672661540889</v>
      </c>
      <c r="AF19" s="104">
        <v>2</v>
      </c>
      <c r="AG19" s="97" t="s">
        <v>22</v>
      </c>
      <c r="AH19" s="122">
        <v>0</v>
      </c>
      <c r="AI19" s="107">
        <v>0</v>
      </c>
      <c r="AJ19" s="107">
        <v>0</v>
      </c>
      <c r="AK19" s="107">
        <v>0</v>
      </c>
      <c r="AL19" s="107">
        <v>0</v>
      </c>
      <c r="AM19" s="107">
        <v>0</v>
      </c>
      <c r="AN19" s="107">
        <v>0</v>
      </c>
      <c r="AO19" s="107">
        <v>0</v>
      </c>
      <c r="AP19" s="107">
        <v>0</v>
      </c>
      <c r="AQ19" s="107">
        <v>0</v>
      </c>
      <c r="AR19" s="107">
        <v>0</v>
      </c>
      <c r="AS19" s="107">
        <v>0</v>
      </c>
      <c r="AT19" s="107">
        <v>0</v>
      </c>
      <c r="AV19" s="104">
        <v>2</v>
      </c>
      <c r="AW19" s="104" t="s">
        <v>22</v>
      </c>
      <c r="AX19" s="125">
        <v>0</v>
      </c>
      <c r="AY19" s="125">
        <v>0</v>
      </c>
      <c r="AZ19" s="125">
        <v>0</v>
      </c>
      <c r="BA19" s="125">
        <v>0</v>
      </c>
      <c r="BB19" s="125">
        <v>0</v>
      </c>
      <c r="BC19" s="125">
        <v>0</v>
      </c>
      <c r="BD19" s="125">
        <v>0</v>
      </c>
      <c r="BE19" s="125">
        <v>0</v>
      </c>
      <c r="BF19" s="125">
        <v>0</v>
      </c>
      <c r="BG19" s="125">
        <v>0</v>
      </c>
      <c r="BH19" s="125">
        <v>0</v>
      </c>
      <c r="BI19" s="125">
        <v>0</v>
      </c>
      <c r="BJ19" s="104">
        <v>2</v>
      </c>
      <c r="BK19" s="104" t="s">
        <v>22</v>
      </c>
      <c r="BL19" s="125">
        <v>0</v>
      </c>
      <c r="BM19" s="125">
        <v>0</v>
      </c>
      <c r="BN19" s="125">
        <v>0</v>
      </c>
      <c r="BO19" s="125">
        <v>0</v>
      </c>
      <c r="BP19" s="125">
        <v>0</v>
      </c>
      <c r="BQ19" s="125">
        <v>0</v>
      </c>
      <c r="BR19" s="125">
        <v>0</v>
      </c>
      <c r="BS19" s="125">
        <v>0</v>
      </c>
      <c r="BT19" s="125">
        <v>0</v>
      </c>
      <c r="BU19" s="125">
        <v>0</v>
      </c>
      <c r="BV19" s="125">
        <v>0</v>
      </c>
      <c r="BW19" s="125">
        <v>0</v>
      </c>
      <c r="BX19" s="104">
        <f t="shared" si="0"/>
        <v>2</v>
      </c>
      <c r="BY19" s="104" t="str">
        <f t="shared" si="0"/>
        <v>PORSUK SULAMA</v>
      </c>
      <c r="BZ19" s="126">
        <f t="shared" si="0"/>
        <v>0</v>
      </c>
      <c r="CA19" s="126">
        <f t="shared" si="0"/>
        <v>0</v>
      </c>
      <c r="CB19" s="126">
        <f t="shared" si="0"/>
        <v>0</v>
      </c>
      <c r="CC19" s="126">
        <f t="shared" si="0"/>
        <v>0</v>
      </c>
      <c r="CD19" s="126">
        <f t="shared" si="0"/>
        <v>0</v>
      </c>
      <c r="CE19" s="126">
        <f t="shared" si="0"/>
        <v>0</v>
      </c>
      <c r="CF19" s="126">
        <f t="shared" si="0"/>
        <v>0</v>
      </c>
      <c r="CG19" s="126">
        <f t="shared" si="0"/>
        <v>0</v>
      </c>
      <c r="CH19" s="126">
        <f t="shared" si="0"/>
        <v>0</v>
      </c>
      <c r="CI19" s="126">
        <f t="shared" si="0"/>
        <v>0</v>
      </c>
      <c r="CJ19" s="126">
        <f t="shared" si="0"/>
        <v>0</v>
      </c>
      <c r="CK19" s="126">
        <f t="shared" si="0"/>
        <v>0</v>
      </c>
      <c r="CL19" s="104">
        <v>2</v>
      </c>
      <c r="CM19" s="104" t="s">
        <v>22</v>
      </c>
      <c r="CN19" s="127">
        <v>0</v>
      </c>
      <c r="CO19" s="127">
        <v>0</v>
      </c>
      <c r="CP19" s="127">
        <v>0</v>
      </c>
      <c r="CQ19" s="127">
        <v>0</v>
      </c>
      <c r="CR19" s="127">
        <v>0</v>
      </c>
      <c r="CS19" s="127">
        <v>0</v>
      </c>
      <c r="CT19" s="127">
        <v>0</v>
      </c>
      <c r="CU19" s="127">
        <v>0</v>
      </c>
      <c r="CV19" s="127">
        <v>0</v>
      </c>
      <c r="CW19" s="127">
        <v>0</v>
      </c>
      <c r="CX19" s="127">
        <v>0</v>
      </c>
      <c r="CY19" s="127">
        <v>0</v>
      </c>
    </row>
    <row r="20" spans="1:103" ht="12" customHeight="1" x14ac:dyDescent="0.2">
      <c r="A20" s="104">
        <v>3</v>
      </c>
      <c r="B20" s="104" t="s">
        <v>17</v>
      </c>
      <c r="C20" s="105">
        <v>0</v>
      </c>
      <c r="D20" s="105">
        <v>0</v>
      </c>
      <c r="E20" s="105">
        <v>1</v>
      </c>
      <c r="F20" s="105">
        <v>0</v>
      </c>
      <c r="G20" s="105">
        <v>0</v>
      </c>
      <c r="H20" s="105">
        <v>0</v>
      </c>
      <c r="I20" s="105">
        <v>0</v>
      </c>
      <c r="J20" s="105">
        <v>0</v>
      </c>
      <c r="K20" s="105">
        <v>0</v>
      </c>
      <c r="L20" s="105">
        <v>0</v>
      </c>
      <c r="M20" s="105">
        <v>0</v>
      </c>
      <c r="N20" s="105">
        <v>0</v>
      </c>
      <c r="O20" s="105">
        <v>0</v>
      </c>
      <c r="Q20" s="104">
        <v>3</v>
      </c>
      <c r="R20" s="97" t="s">
        <v>17</v>
      </c>
      <c r="S20" s="120">
        <v>36.580888291082758</v>
      </c>
      <c r="T20" s="120">
        <v>36.060121452816688</v>
      </c>
      <c r="U20" s="120">
        <v>37.953086094226073</v>
      </c>
      <c r="V20" s="120">
        <v>42.486243803698017</v>
      </c>
      <c r="W20" s="120">
        <v>45.396573959933079</v>
      </c>
      <c r="X20" s="120">
        <v>62.007027446515806</v>
      </c>
      <c r="Y20" s="120">
        <v>66.164824703082914</v>
      </c>
      <c r="Z20" s="120">
        <v>49.156391468708229</v>
      </c>
      <c r="AA20" s="120">
        <v>31.915952116706748</v>
      </c>
      <c r="AB20" s="120">
        <v>25.991556741528758</v>
      </c>
      <c r="AC20" s="120">
        <v>27.404011668282042</v>
      </c>
      <c r="AD20" s="120">
        <v>33.381098301453278</v>
      </c>
      <c r="AF20" s="104">
        <v>3</v>
      </c>
      <c r="AG20" s="97" t="s">
        <v>17</v>
      </c>
      <c r="AH20" s="122">
        <v>0</v>
      </c>
      <c r="AI20" s="107">
        <v>0</v>
      </c>
      <c r="AJ20" s="107">
        <v>0</v>
      </c>
      <c r="AK20" s="107">
        <v>0</v>
      </c>
      <c r="AL20" s="107">
        <v>0</v>
      </c>
      <c r="AM20" s="107">
        <v>0</v>
      </c>
      <c r="AN20" s="107">
        <v>0</v>
      </c>
      <c r="AO20" s="107">
        <v>0</v>
      </c>
      <c r="AP20" s="107">
        <v>0</v>
      </c>
      <c r="AQ20" s="107">
        <v>0</v>
      </c>
      <c r="AR20" s="107">
        <v>0</v>
      </c>
      <c r="AS20" s="107">
        <v>0</v>
      </c>
      <c r="AT20" s="107">
        <v>0</v>
      </c>
      <c r="AV20" s="104">
        <v>3</v>
      </c>
      <c r="AW20" s="104" t="s">
        <v>17</v>
      </c>
      <c r="AX20" s="125">
        <v>0</v>
      </c>
      <c r="AY20" s="125">
        <v>0</v>
      </c>
      <c r="AZ20" s="125">
        <v>0</v>
      </c>
      <c r="BA20" s="125">
        <v>0</v>
      </c>
      <c r="BB20" s="125">
        <v>0</v>
      </c>
      <c r="BC20" s="125">
        <v>0</v>
      </c>
      <c r="BD20" s="125">
        <v>0</v>
      </c>
      <c r="BE20" s="125">
        <v>0</v>
      </c>
      <c r="BF20" s="125">
        <v>0</v>
      </c>
      <c r="BG20" s="125">
        <v>0</v>
      </c>
      <c r="BH20" s="125">
        <v>0</v>
      </c>
      <c r="BI20" s="125">
        <v>0</v>
      </c>
      <c r="BJ20" s="104">
        <v>3</v>
      </c>
      <c r="BK20" s="104" t="s">
        <v>17</v>
      </c>
      <c r="BL20" s="125">
        <v>0</v>
      </c>
      <c r="BM20" s="125">
        <v>0</v>
      </c>
      <c r="BN20" s="125">
        <v>0</v>
      </c>
      <c r="BO20" s="125">
        <v>0</v>
      </c>
      <c r="BP20" s="125">
        <v>0</v>
      </c>
      <c r="BQ20" s="125">
        <v>0</v>
      </c>
      <c r="BR20" s="125">
        <v>0</v>
      </c>
      <c r="BS20" s="125">
        <v>0</v>
      </c>
      <c r="BT20" s="125">
        <v>0</v>
      </c>
      <c r="BU20" s="125">
        <v>0</v>
      </c>
      <c r="BV20" s="125">
        <v>0</v>
      </c>
      <c r="BW20" s="125">
        <v>0</v>
      </c>
      <c r="BX20" s="104">
        <f t="shared" si="0"/>
        <v>3</v>
      </c>
      <c r="BY20" s="104" t="str">
        <f t="shared" si="0"/>
        <v>ANKARA SULAMA</v>
      </c>
      <c r="BZ20" s="126">
        <f t="shared" si="0"/>
        <v>0</v>
      </c>
      <c r="CA20" s="126">
        <f t="shared" si="0"/>
        <v>0</v>
      </c>
      <c r="CB20" s="126">
        <f t="shared" si="0"/>
        <v>0</v>
      </c>
      <c r="CC20" s="126">
        <f t="shared" si="0"/>
        <v>0</v>
      </c>
      <c r="CD20" s="126">
        <f t="shared" si="0"/>
        <v>0</v>
      </c>
      <c r="CE20" s="126">
        <f t="shared" si="0"/>
        <v>0</v>
      </c>
      <c r="CF20" s="126">
        <f t="shared" si="0"/>
        <v>0</v>
      </c>
      <c r="CG20" s="126">
        <f t="shared" si="0"/>
        <v>0</v>
      </c>
      <c r="CH20" s="126">
        <f t="shared" si="0"/>
        <v>0</v>
      </c>
      <c r="CI20" s="126">
        <f t="shared" si="0"/>
        <v>0</v>
      </c>
      <c r="CJ20" s="126">
        <f t="shared" si="0"/>
        <v>0</v>
      </c>
      <c r="CK20" s="126">
        <f t="shared" si="0"/>
        <v>0</v>
      </c>
      <c r="CL20" s="104">
        <v>3</v>
      </c>
      <c r="CM20" s="104" t="s">
        <v>17</v>
      </c>
      <c r="CN20" s="127">
        <v>0</v>
      </c>
      <c r="CO20" s="127">
        <v>0</v>
      </c>
      <c r="CP20" s="127">
        <v>0</v>
      </c>
      <c r="CQ20" s="127">
        <v>0</v>
      </c>
      <c r="CR20" s="127">
        <v>0</v>
      </c>
      <c r="CS20" s="127">
        <v>0</v>
      </c>
      <c r="CT20" s="127">
        <v>0</v>
      </c>
      <c r="CU20" s="127">
        <v>0</v>
      </c>
      <c r="CV20" s="127">
        <v>0</v>
      </c>
      <c r="CW20" s="127">
        <v>0</v>
      </c>
      <c r="CX20" s="127">
        <v>0</v>
      </c>
      <c r="CY20" s="127">
        <v>0</v>
      </c>
    </row>
    <row r="21" spans="1:103" ht="12" customHeight="1" x14ac:dyDescent="0.2">
      <c r="A21" s="108">
        <v>4</v>
      </c>
      <c r="B21" s="108" t="s">
        <v>0</v>
      </c>
      <c r="C21" s="105">
        <v>1</v>
      </c>
      <c r="D21" s="105">
        <v>1</v>
      </c>
      <c r="E21" s="105">
        <v>1</v>
      </c>
      <c r="F21" s="105">
        <v>1</v>
      </c>
      <c r="G21" s="105">
        <v>0</v>
      </c>
      <c r="H21" s="105">
        <v>0</v>
      </c>
      <c r="I21" s="105">
        <v>0</v>
      </c>
      <c r="J21" s="105">
        <v>0</v>
      </c>
      <c r="K21" s="105">
        <v>0</v>
      </c>
      <c r="L21" s="105">
        <v>0</v>
      </c>
      <c r="M21" s="105">
        <v>0</v>
      </c>
      <c r="N21" s="105">
        <v>0</v>
      </c>
      <c r="O21" s="105">
        <v>0</v>
      </c>
      <c r="Q21" s="108">
        <v>4</v>
      </c>
      <c r="R21" s="109" t="s">
        <v>0</v>
      </c>
      <c r="S21" s="121">
        <v>105.36556371896306</v>
      </c>
      <c r="T21" s="121">
        <v>111.22745383387087</v>
      </c>
      <c r="U21" s="121">
        <v>117.68219109533409</v>
      </c>
      <c r="V21" s="121">
        <v>128.14475563694197</v>
      </c>
      <c r="W21" s="121">
        <v>123.91477189063286</v>
      </c>
      <c r="X21" s="121">
        <v>145.15399628905735</v>
      </c>
      <c r="Y21" s="121">
        <v>159.1026754043213</v>
      </c>
      <c r="Z21" s="121">
        <v>118.87950957238516</v>
      </c>
      <c r="AA21" s="121">
        <v>91.201813346081849</v>
      </c>
      <c r="AB21" s="121">
        <v>82.322621364463402</v>
      </c>
      <c r="AC21" s="121">
        <v>83.183503920407489</v>
      </c>
      <c r="AD21" s="121">
        <v>88.088428710351124</v>
      </c>
      <c r="AF21" s="108">
        <v>4</v>
      </c>
      <c r="AG21" s="109" t="s">
        <v>0</v>
      </c>
      <c r="AH21" s="123">
        <v>1006.7536902317303</v>
      </c>
      <c r="AI21" s="124">
        <v>1014.5032222298149</v>
      </c>
      <c r="AJ21" s="124">
        <v>1018.5840547083221</v>
      </c>
      <c r="AK21" s="124">
        <v>1017.7014411160894</v>
      </c>
      <c r="AL21" s="124">
        <v>1015.27371502855</v>
      </c>
      <c r="AM21" s="124">
        <v>1008.7206958438926</v>
      </c>
      <c r="AN21" s="124">
        <v>1000.2750362245031</v>
      </c>
      <c r="AO21" s="124">
        <v>995.39020176021108</v>
      </c>
      <c r="AP21" s="124">
        <v>1007.1289622723101</v>
      </c>
      <c r="AQ21" s="124">
        <v>1029.962917870942</v>
      </c>
      <c r="AR21" s="124">
        <v>1047.9637538959551</v>
      </c>
      <c r="AS21" s="124">
        <v>1059.0763709960213</v>
      </c>
      <c r="AT21" s="124">
        <v>1069.9801309549998</v>
      </c>
      <c r="AV21" s="108">
        <v>4</v>
      </c>
      <c r="AW21" s="108" t="s">
        <v>0</v>
      </c>
      <c r="AX21" s="129">
        <v>78.776092945140917</v>
      </c>
      <c r="AY21" s="129">
        <v>76.402874463456612</v>
      </c>
      <c r="AZ21" s="129">
        <v>79.048262560068579</v>
      </c>
      <c r="BA21" s="129">
        <v>78.980144026965576</v>
      </c>
      <c r="BB21" s="129">
        <v>71.184222845930378</v>
      </c>
      <c r="BC21" s="129">
        <v>82.034887598767526</v>
      </c>
      <c r="BD21" s="129">
        <v>75.970699632733542</v>
      </c>
      <c r="BE21" s="129">
        <v>78.401259728709206</v>
      </c>
      <c r="BF21" s="129">
        <v>75.830120105482891</v>
      </c>
      <c r="BG21" s="129">
        <v>78.341232391867564</v>
      </c>
      <c r="BH21" s="129">
        <v>78.364421319999977</v>
      </c>
      <c r="BI21" s="129">
        <v>76.1911910016305</v>
      </c>
      <c r="BJ21" s="108">
        <v>4</v>
      </c>
      <c r="BK21" s="108" t="s">
        <v>0</v>
      </c>
      <c r="BL21" s="129">
        <v>7733.612998947202</v>
      </c>
      <c r="BM21" s="129">
        <v>7733.612998947202</v>
      </c>
      <c r="BN21" s="129">
        <v>7733.612998947202</v>
      </c>
      <c r="BO21" s="129">
        <v>7733.612998947202</v>
      </c>
      <c r="BP21" s="129">
        <v>7733.612998947202</v>
      </c>
      <c r="BQ21" s="129">
        <v>7733.612998947202</v>
      </c>
      <c r="BR21" s="129">
        <v>7733.612998947202</v>
      </c>
      <c r="BS21" s="129">
        <v>7733.612998947202</v>
      </c>
      <c r="BT21" s="129">
        <v>7733.612998947202</v>
      </c>
      <c r="BU21" s="129">
        <v>7733.612998947202</v>
      </c>
      <c r="BV21" s="129">
        <v>7733.612998947202</v>
      </c>
      <c r="BW21" s="129">
        <v>7733.612998947202</v>
      </c>
      <c r="BX21" s="108">
        <f t="shared" si="0"/>
        <v>4</v>
      </c>
      <c r="BY21" s="108" t="str">
        <f t="shared" si="0"/>
        <v>GURSOGUT</v>
      </c>
      <c r="BZ21" s="130">
        <f t="shared" si="0"/>
        <v>105.36556371896306</v>
      </c>
      <c r="CA21" s="130">
        <f t="shared" si="0"/>
        <v>111.22745383387087</v>
      </c>
      <c r="CB21" s="130">
        <f t="shared" si="0"/>
        <v>117.68219109533409</v>
      </c>
      <c r="CC21" s="130">
        <f t="shared" si="0"/>
        <v>128.14475563694197</v>
      </c>
      <c r="CD21" s="130">
        <f t="shared" si="0"/>
        <v>123.91477189063286</v>
      </c>
      <c r="CE21" s="130">
        <f t="shared" si="0"/>
        <v>145.15399628905735</v>
      </c>
      <c r="CF21" s="130">
        <f t="shared" si="0"/>
        <v>159.1026754043213</v>
      </c>
      <c r="CG21" s="130">
        <f t="shared" si="0"/>
        <v>118.87950957238516</v>
      </c>
      <c r="CH21" s="130">
        <f t="shared" si="0"/>
        <v>91.201813346081849</v>
      </c>
      <c r="CI21" s="130">
        <f t="shared" si="0"/>
        <v>82.322621364463402</v>
      </c>
      <c r="CJ21" s="130">
        <f t="shared" si="0"/>
        <v>83.183503920407489</v>
      </c>
      <c r="CK21" s="130">
        <f t="shared" si="0"/>
        <v>88.088428710351124</v>
      </c>
      <c r="CL21" s="108">
        <v>4</v>
      </c>
      <c r="CM21" s="108" t="s">
        <v>0</v>
      </c>
      <c r="CN21" s="128">
        <v>7733.612998947202</v>
      </c>
      <c r="CO21" s="128">
        <v>7733.612998947202</v>
      </c>
      <c r="CP21" s="128">
        <v>7733.612998947202</v>
      </c>
      <c r="CQ21" s="128">
        <v>7733.612998947202</v>
      </c>
      <c r="CR21" s="128">
        <v>7733.612998947202</v>
      </c>
      <c r="CS21" s="128">
        <v>7733.612998947202</v>
      </c>
      <c r="CT21" s="128">
        <v>7733.612998947202</v>
      </c>
      <c r="CU21" s="128">
        <v>7733.612998947202</v>
      </c>
      <c r="CV21" s="128">
        <v>7733.612998947202</v>
      </c>
      <c r="CW21" s="128">
        <v>7733.612998947202</v>
      </c>
      <c r="CX21" s="128">
        <v>7733.612998947202</v>
      </c>
      <c r="CY21" s="128">
        <v>7733.612998947202</v>
      </c>
    </row>
    <row r="22" spans="1:103" ht="12" customHeight="1" x14ac:dyDescent="0.2">
      <c r="A22" s="108">
        <v>5</v>
      </c>
      <c r="B22" s="108" t="s">
        <v>16</v>
      </c>
      <c r="C22" s="105">
        <v>1</v>
      </c>
      <c r="D22" s="105">
        <v>1</v>
      </c>
      <c r="E22" s="105">
        <v>1</v>
      </c>
      <c r="F22" s="105">
        <v>1</v>
      </c>
      <c r="G22" s="105">
        <v>1</v>
      </c>
      <c r="H22" s="105">
        <v>0</v>
      </c>
      <c r="I22" s="105">
        <v>0</v>
      </c>
      <c r="J22" s="105">
        <v>0</v>
      </c>
      <c r="K22" s="105">
        <v>0</v>
      </c>
      <c r="L22" s="105">
        <v>0</v>
      </c>
      <c r="M22" s="105">
        <v>0</v>
      </c>
      <c r="N22" s="105">
        <v>0</v>
      </c>
      <c r="O22" s="105">
        <v>0</v>
      </c>
      <c r="Q22" s="108">
        <v>5</v>
      </c>
      <c r="R22" s="109" t="s">
        <v>16</v>
      </c>
      <c r="S22" s="121">
        <v>104.71847762643164</v>
      </c>
      <c r="T22" s="121">
        <v>110.86080353146528</v>
      </c>
      <c r="U22" s="121">
        <v>117.67650752266327</v>
      </c>
      <c r="V22" s="121">
        <v>128.14475563694194</v>
      </c>
      <c r="W22" s="121">
        <v>123.91727888715442</v>
      </c>
      <c r="X22" s="121">
        <v>145.15148933344037</v>
      </c>
      <c r="Y22" s="121">
        <v>159.06795515532826</v>
      </c>
      <c r="Z22" s="121">
        <v>118.82793763192029</v>
      </c>
      <c r="AA22" s="121">
        <v>91.291308566800197</v>
      </c>
      <c r="AB22" s="121">
        <v>82.460772666531014</v>
      </c>
      <c r="AC22" s="121">
        <v>83.23546222289238</v>
      </c>
      <c r="AD22" s="121">
        <v>87.506430224672513</v>
      </c>
      <c r="AF22" s="108">
        <v>5</v>
      </c>
      <c r="AG22" s="109" t="s">
        <v>16</v>
      </c>
      <c r="AH22" s="123">
        <v>44.290684644098121</v>
      </c>
      <c r="AI22" s="124">
        <v>44.827665557569524</v>
      </c>
      <c r="AJ22" s="124">
        <v>45.194315859975113</v>
      </c>
      <c r="AK22" s="124">
        <v>45.199999432645932</v>
      </c>
      <c r="AL22" s="124">
        <v>45.19999943264596</v>
      </c>
      <c r="AM22" s="124">
        <v>45.197492436124399</v>
      </c>
      <c r="AN22" s="124">
        <v>45.199999391741379</v>
      </c>
      <c r="AO22" s="124">
        <v>45.185929954455517</v>
      </c>
      <c r="AP22" s="124">
        <v>45.098648340400445</v>
      </c>
      <c r="AQ22" s="124">
        <v>44.773146833317412</v>
      </c>
      <c r="AR22" s="124">
        <v>44.314211204570697</v>
      </c>
      <c r="AS22" s="124">
        <v>43.944123605646936</v>
      </c>
      <c r="AT22" s="124">
        <v>44.291069952730311</v>
      </c>
      <c r="AV22" s="108">
        <v>5</v>
      </c>
      <c r="AW22" s="108" t="s">
        <v>16</v>
      </c>
      <c r="AX22" s="129">
        <v>79.158897034314506</v>
      </c>
      <c r="AY22" s="129">
        <v>76.437381392682298</v>
      </c>
      <c r="AZ22" s="129">
        <v>79.048262560068579</v>
      </c>
      <c r="BA22" s="129">
        <v>78.980144026965576</v>
      </c>
      <c r="BB22" s="129">
        <v>71.268211781197579</v>
      </c>
      <c r="BC22" s="129">
        <v>82.034887598767526</v>
      </c>
      <c r="BD22" s="129">
        <v>76.470828490108062</v>
      </c>
      <c r="BE22" s="129">
        <v>78.978339147664784</v>
      </c>
      <c r="BF22" s="129">
        <v>76.441020526217258</v>
      </c>
      <c r="BG22" s="129">
        <v>78.983348288415314</v>
      </c>
      <c r="BH22" s="129">
        <v>79.134211779770126</v>
      </c>
      <c r="BI22" s="129">
        <v>76.798020266837497</v>
      </c>
      <c r="BJ22" s="108">
        <v>5</v>
      </c>
      <c r="BK22" s="108" t="s">
        <v>16</v>
      </c>
      <c r="BL22" s="129">
        <v>7844.0420946799259</v>
      </c>
      <c r="BM22" s="129">
        <v>7844.0420946799259</v>
      </c>
      <c r="BN22" s="129">
        <v>7844.0420946799259</v>
      </c>
      <c r="BO22" s="129">
        <v>7844.0420946799259</v>
      </c>
      <c r="BP22" s="129">
        <v>7844.0420946799259</v>
      </c>
      <c r="BQ22" s="129">
        <v>7844.0420946799259</v>
      </c>
      <c r="BR22" s="129">
        <v>7844.0420946799259</v>
      </c>
      <c r="BS22" s="129">
        <v>7844.0420946799259</v>
      </c>
      <c r="BT22" s="129">
        <v>7844.0420946799259</v>
      </c>
      <c r="BU22" s="129">
        <v>7844.0420946799259</v>
      </c>
      <c r="BV22" s="129">
        <v>7844.0420946799259</v>
      </c>
      <c r="BW22" s="129">
        <v>7844.0420946799259</v>
      </c>
      <c r="BX22" s="108">
        <f t="shared" si="0"/>
        <v>5</v>
      </c>
      <c r="BY22" s="108" t="str">
        <f t="shared" si="0"/>
        <v>KARGI</v>
      </c>
      <c r="BZ22" s="130">
        <f t="shared" si="0"/>
        <v>104.71847762643164</v>
      </c>
      <c r="CA22" s="130">
        <f t="shared" si="0"/>
        <v>110.86080353146528</v>
      </c>
      <c r="CB22" s="130">
        <f t="shared" si="0"/>
        <v>117.67650752266327</v>
      </c>
      <c r="CC22" s="130">
        <f t="shared" si="0"/>
        <v>128.14475563694194</v>
      </c>
      <c r="CD22" s="130">
        <f t="shared" si="0"/>
        <v>123.91727888715442</v>
      </c>
      <c r="CE22" s="130">
        <f t="shared" si="0"/>
        <v>145.15148933344037</v>
      </c>
      <c r="CF22" s="130">
        <f t="shared" si="0"/>
        <v>159.06795515532826</v>
      </c>
      <c r="CG22" s="130">
        <f t="shared" si="0"/>
        <v>118.82793763192029</v>
      </c>
      <c r="CH22" s="130">
        <f t="shared" si="0"/>
        <v>91.291308566800183</v>
      </c>
      <c r="CI22" s="130">
        <f t="shared" si="0"/>
        <v>82.460772666531014</v>
      </c>
      <c r="CJ22" s="130">
        <f t="shared" si="0"/>
        <v>83.23546222289238</v>
      </c>
      <c r="CK22" s="130">
        <f t="shared" si="0"/>
        <v>87.506430224672513</v>
      </c>
      <c r="CL22" s="108">
        <v>5</v>
      </c>
      <c r="CM22" s="108" t="s">
        <v>16</v>
      </c>
      <c r="CN22" s="128">
        <v>7844.0420946799259</v>
      </c>
      <c r="CO22" s="128">
        <v>7844.0420946799259</v>
      </c>
      <c r="CP22" s="128">
        <v>7844.0420946799259</v>
      </c>
      <c r="CQ22" s="128">
        <v>7844.0420946799259</v>
      </c>
      <c r="CR22" s="128">
        <v>7844.0420946799259</v>
      </c>
      <c r="CS22" s="128">
        <v>7844.0420946799259</v>
      </c>
      <c r="CT22" s="128">
        <v>7844.0420946799259</v>
      </c>
      <c r="CU22" s="128">
        <v>7844.0420946799259</v>
      </c>
      <c r="CV22" s="128">
        <v>7844.0420946799259</v>
      </c>
      <c r="CW22" s="128">
        <v>7844.0420946799259</v>
      </c>
      <c r="CX22" s="128">
        <v>7844.0420946799259</v>
      </c>
      <c r="CY22" s="128">
        <v>7844.0420946799259</v>
      </c>
    </row>
    <row r="23" spans="1:103" ht="12" customHeight="1" x14ac:dyDescent="0.2">
      <c r="A23" s="104">
        <v>6</v>
      </c>
      <c r="B23" s="104" t="s">
        <v>18</v>
      </c>
      <c r="C23" s="105">
        <v>0</v>
      </c>
      <c r="D23" s="105">
        <v>0</v>
      </c>
      <c r="E23" s="105">
        <v>0</v>
      </c>
      <c r="F23" s="105">
        <v>0</v>
      </c>
      <c r="G23" s="105">
        <v>0</v>
      </c>
      <c r="H23" s="105">
        <v>1</v>
      </c>
      <c r="I23" s="105">
        <v>0</v>
      </c>
      <c r="J23" s="105">
        <v>0</v>
      </c>
      <c r="K23" s="105">
        <v>0</v>
      </c>
      <c r="L23" s="105">
        <v>0</v>
      </c>
      <c r="M23" s="105">
        <v>0</v>
      </c>
      <c r="N23" s="105">
        <v>0</v>
      </c>
      <c r="O23" s="105">
        <v>0</v>
      </c>
      <c r="Q23" s="104">
        <v>6</v>
      </c>
      <c r="R23" s="97" t="s">
        <v>18</v>
      </c>
      <c r="S23" s="120">
        <v>6.1980958007442517</v>
      </c>
      <c r="T23" s="120">
        <v>7.4839599362425311</v>
      </c>
      <c r="U23" s="120">
        <v>33.722406900089467</v>
      </c>
      <c r="V23" s="120">
        <v>35.839616883724993</v>
      </c>
      <c r="W23" s="120">
        <v>48.91587901512365</v>
      </c>
      <c r="X23" s="120">
        <v>81.674099958670027</v>
      </c>
      <c r="Y23" s="120">
        <v>85.165741255487475</v>
      </c>
      <c r="Z23" s="120">
        <v>34.645117678375776</v>
      </c>
      <c r="AA23" s="120">
        <v>10.666191024964736</v>
      </c>
      <c r="AB23" s="120">
        <v>5.166438558416889</v>
      </c>
      <c r="AC23" s="120">
        <v>4.1540195104425663</v>
      </c>
      <c r="AD23" s="120">
        <v>4.3775817466593487</v>
      </c>
      <c r="AF23" s="104">
        <v>6</v>
      </c>
      <c r="AG23" s="97" t="s">
        <v>18</v>
      </c>
      <c r="AH23" s="122">
        <v>0</v>
      </c>
      <c r="AI23" s="107">
        <v>0</v>
      </c>
      <c r="AJ23" s="107">
        <v>0</v>
      </c>
      <c r="AK23" s="107">
        <v>0</v>
      </c>
      <c r="AL23" s="107">
        <v>0</v>
      </c>
      <c r="AM23" s="107">
        <v>0</v>
      </c>
      <c r="AN23" s="107">
        <v>0</v>
      </c>
      <c r="AO23" s="107">
        <v>0</v>
      </c>
      <c r="AP23" s="107">
        <v>0</v>
      </c>
      <c r="AQ23" s="107">
        <v>0</v>
      </c>
      <c r="AR23" s="107">
        <v>0</v>
      </c>
      <c r="AS23" s="107">
        <v>0</v>
      </c>
      <c r="AT23" s="107">
        <v>0</v>
      </c>
      <c r="AV23" s="104">
        <v>6</v>
      </c>
      <c r="AW23" s="104" t="s">
        <v>18</v>
      </c>
      <c r="AX23" s="125">
        <v>0</v>
      </c>
      <c r="AY23" s="125">
        <v>0</v>
      </c>
      <c r="AZ23" s="125">
        <v>0</v>
      </c>
      <c r="BA23" s="125">
        <v>0</v>
      </c>
      <c r="BB23" s="125">
        <v>0</v>
      </c>
      <c r="BC23" s="125">
        <v>0</v>
      </c>
      <c r="BD23" s="125">
        <v>0</v>
      </c>
      <c r="BE23" s="125">
        <v>0</v>
      </c>
      <c r="BF23" s="125">
        <v>0</v>
      </c>
      <c r="BG23" s="125">
        <v>0</v>
      </c>
      <c r="BH23" s="125">
        <v>0</v>
      </c>
      <c r="BI23" s="125">
        <v>0</v>
      </c>
      <c r="BJ23" s="104">
        <v>6</v>
      </c>
      <c r="BK23" s="104" t="s">
        <v>18</v>
      </c>
      <c r="BL23" s="125">
        <v>0</v>
      </c>
      <c r="BM23" s="125">
        <v>0</v>
      </c>
      <c r="BN23" s="125">
        <v>0</v>
      </c>
      <c r="BO23" s="125">
        <v>0</v>
      </c>
      <c r="BP23" s="125">
        <v>0</v>
      </c>
      <c r="BQ23" s="125">
        <v>0</v>
      </c>
      <c r="BR23" s="125">
        <v>0</v>
      </c>
      <c r="BS23" s="125">
        <v>0</v>
      </c>
      <c r="BT23" s="125">
        <v>0</v>
      </c>
      <c r="BU23" s="125">
        <v>0</v>
      </c>
      <c r="BV23" s="125">
        <v>0</v>
      </c>
      <c r="BW23" s="125">
        <v>0</v>
      </c>
      <c r="BX23" s="104">
        <f t="shared" si="0"/>
        <v>6</v>
      </c>
      <c r="BY23" s="104" t="str">
        <f t="shared" si="0"/>
        <v>KIRMIR SULAMA</v>
      </c>
      <c r="BZ23" s="126">
        <f t="shared" si="0"/>
        <v>0</v>
      </c>
      <c r="CA23" s="126">
        <f t="shared" si="0"/>
        <v>0</v>
      </c>
      <c r="CB23" s="126">
        <f t="shared" si="0"/>
        <v>0</v>
      </c>
      <c r="CC23" s="126">
        <f t="shared" si="0"/>
        <v>0</v>
      </c>
      <c r="CD23" s="126">
        <f t="shared" si="0"/>
        <v>0</v>
      </c>
      <c r="CE23" s="126">
        <f t="shared" si="0"/>
        <v>0</v>
      </c>
      <c r="CF23" s="126">
        <f t="shared" si="0"/>
        <v>0</v>
      </c>
      <c r="CG23" s="126">
        <f t="shared" si="0"/>
        <v>0</v>
      </c>
      <c r="CH23" s="126">
        <f t="shared" si="0"/>
        <v>0</v>
      </c>
      <c r="CI23" s="126">
        <f t="shared" si="0"/>
        <v>0</v>
      </c>
      <c r="CJ23" s="126">
        <f t="shared" si="0"/>
        <v>0</v>
      </c>
      <c r="CK23" s="126">
        <f t="shared" si="0"/>
        <v>0</v>
      </c>
      <c r="CL23" s="104">
        <v>6</v>
      </c>
      <c r="CM23" s="104" t="s">
        <v>18</v>
      </c>
      <c r="CN23" s="127">
        <v>0</v>
      </c>
      <c r="CO23" s="127">
        <v>0</v>
      </c>
      <c r="CP23" s="127">
        <v>0</v>
      </c>
      <c r="CQ23" s="127">
        <v>0</v>
      </c>
      <c r="CR23" s="127">
        <v>0</v>
      </c>
      <c r="CS23" s="127">
        <v>0</v>
      </c>
      <c r="CT23" s="127">
        <v>0</v>
      </c>
      <c r="CU23" s="127">
        <v>0</v>
      </c>
      <c r="CV23" s="127">
        <v>0</v>
      </c>
      <c r="CW23" s="127">
        <v>0</v>
      </c>
      <c r="CX23" s="127">
        <v>0</v>
      </c>
      <c r="CY23" s="127">
        <v>0</v>
      </c>
    </row>
    <row r="24" spans="1:103" ht="12" customHeight="1" x14ac:dyDescent="0.2">
      <c r="A24" s="108">
        <v>7</v>
      </c>
      <c r="B24" s="108" t="s">
        <v>19</v>
      </c>
      <c r="C24" s="105">
        <v>1</v>
      </c>
      <c r="D24" s="105">
        <v>1</v>
      </c>
      <c r="E24" s="105">
        <v>1</v>
      </c>
      <c r="F24" s="105">
        <v>1</v>
      </c>
      <c r="G24" s="105">
        <v>1</v>
      </c>
      <c r="H24" s="105">
        <v>1</v>
      </c>
      <c r="I24" s="105">
        <v>1</v>
      </c>
      <c r="J24" s="105">
        <v>0</v>
      </c>
      <c r="K24" s="105">
        <v>0</v>
      </c>
      <c r="L24" s="105">
        <v>0</v>
      </c>
      <c r="M24" s="105">
        <v>0</v>
      </c>
      <c r="N24" s="105">
        <v>0</v>
      </c>
      <c r="O24" s="105">
        <v>0</v>
      </c>
      <c r="Q24" s="108">
        <v>7</v>
      </c>
      <c r="R24" s="109" t="s">
        <v>19</v>
      </c>
      <c r="S24" s="121">
        <v>109.7475442342792</v>
      </c>
      <c r="T24" s="121">
        <v>114.64528886707915</v>
      </c>
      <c r="U24" s="121">
        <v>157.29193838071876</v>
      </c>
      <c r="V24" s="121">
        <v>177.44654179777191</v>
      </c>
      <c r="W24" s="121">
        <v>201.59198803354295</v>
      </c>
      <c r="X24" s="121">
        <v>286.91342241527383</v>
      </c>
      <c r="Y24" s="121">
        <v>354.51119797271565</v>
      </c>
      <c r="Z24" s="121">
        <v>217.72572816493198</v>
      </c>
      <c r="AA24" s="121">
        <v>116.61735945447127</v>
      </c>
      <c r="AB24" s="121">
        <v>106.3753997279363</v>
      </c>
      <c r="AC24" s="121">
        <v>107.59854915557742</v>
      </c>
      <c r="AD24" s="121">
        <v>105.06202053212532</v>
      </c>
      <c r="AF24" s="108">
        <v>7</v>
      </c>
      <c r="AG24" s="109" t="s">
        <v>19</v>
      </c>
      <c r="AH24" s="123">
        <v>1194.4420235493906</v>
      </c>
      <c r="AI24" s="124">
        <v>1195.5482994611007</v>
      </c>
      <c r="AJ24" s="124">
        <v>1223.310541510649</v>
      </c>
      <c r="AK24" s="124">
        <v>1261.5411652768014</v>
      </c>
      <c r="AL24" s="124">
        <v>1292.7773913026144</v>
      </c>
      <c r="AM24" s="124">
        <v>1321.1015093625588</v>
      </c>
      <c r="AN24" s="124">
        <v>1372.4578420903699</v>
      </c>
      <c r="AO24" s="124">
        <v>1396.9108161006977</v>
      </c>
      <c r="AP24" s="124">
        <v>1400.6305731750604</v>
      </c>
      <c r="AQ24" s="124">
        <v>1375.0020492681508</v>
      </c>
      <c r="AR24" s="124">
        <v>1311.8767945896932</v>
      </c>
      <c r="AS24" s="124">
        <v>1246.9335029399233</v>
      </c>
      <c r="AT24" s="124">
        <v>1218.7740046014437</v>
      </c>
      <c r="AV24" s="108">
        <v>7</v>
      </c>
      <c r="AW24" s="108" t="s">
        <v>19</v>
      </c>
      <c r="AX24" s="129">
        <v>104.96599465567991</v>
      </c>
      <c r="AY24" s="129">
        <v>101.78228557518396</v>
      </c>
      <c r="AZ24" s="129">
        <v>105.85743605575834</v>
      </c>
      <c r="BA24" s="129">
        <v>104.75675678523925</v>
      </c>
      <c r="BB24" s="129">
        <v>95.250611907756522</v>
      </c>
      <c r="BC24" s="129">
        <v>105.2126206814809</v>
      </c>
      <c r="BD24" s="129">
        <v>101.64109034633547</v>
      </c>
      <c r="BE24" s="129">
        <v>104.76994846444076</v>
      </c>
      <c r="BF24" s="129">
        <v>101.36954473033826</v>
      </c>
      <c r="BG24" s="129">
        <v>104.80400177295138</v>
      </c>
      <c r="BH24" s="129">
        <v>104.93060297187606</v>
      </c>
      <c r="BI24" s="129">
        <v>101.54445822930489</v>
      </c>
      <c r="BJ24" s="108">
        <v>7</v>
      </c>
      <c r="BK24" s="108" t="s">
        <v>19</v>
      </c>
      <c r="BL24" s="129">
        <v>8021.1525221187039</v>
      </c>
      <c r="BM24" s="129">
        <v>8021.1525221187039</v>
      </c>
      <c r="BN24" s="129">
        <v>8021.1525221187039</v>
      </c>
      <c r="BO24" s="129">
        <v>8021.1525221187039</v>
      </c>
      <c r="BP24" s="129">
        <v>8021.1525221187039</v>
      </c>
      <c r="BQ24" s="129">
        <v>8021.1525221187039</v>
      </c>
      <c r="BR24" s="129">
        <v>8021.1525221187039</v>
      </c>
      <c r="BS24" s="129">
        <v>8021.1525221187039</v>
      </c>
      <c r="BT24" s="129">
        <v>8021.1525221187039</v>
      </c>
      <c r="BU24" s="129">
        <v>8021.1525221187039</v>
      </c>
      <c r="BV24" s="129">
        <v>8021.1525221187039</v>
      </c>
      <c r="BW24" s="129">
        <v>8021.1525221187039</v>
      </c>
      <c r="BX24" s="108">
        <f t="shared" si="0"/>
        <v>7</v>
      </c>
      <c r="BY24" s="108" t="str">
        <f t="shared" si="0"/>
        <v>SARIYAR</v>
      </c>
      <c r="BZ24" s="130">
        <f t="shared" si="0"/>
        <v>109.7475442342792</v>
      </c>
      <c r="CA24" s="130">
        <f t="shared" si="0"/>
        <v>114.64528886707915</v>
      </c>
      <c r="CB24" s="130">
        <f t="shared" si="0"/>
        <v>157.29193838071876</v>
      </c>
      <c r="CC24" s="130">
        <f t="shared" si="0"/>
        <v>177.44654179777191</v>
      </c>
      <c r="CD24" s="130">
        <f t="shared" si="0"/>
        <v>201.59198803354295</v>
      </c>
      <c r="CE24" s="130">
        <f t="shared" si="0"/>
        <v>286.91342241527383</v>
      </c>
      <c r="CF24" s="130">
        <f t="shared" si="0"/>
        <v>354.51119797271565</v>
      </c>
      <c r="CG24" s="130">
        <f t="shared" si="0"/>
        <v>217.72572816493198</v>
      </c>
      <c r="CH24" s="130">
        <f t="shared" si="0"/>
        <v>116.61735945447127</v>
      </c>
      <c r="CI24" s="130">
        <f t="shared" si="0"/>
        <v>106.37539972793628</v>
      </c>
      <c r="CJ24" s="130">
        <f t="shared" si="0"/>
        <v>107.59854915557742</v>
      </c>
      <c r="CK24" s="130">
        <f t="shared" si="0"/>
        <v>105.06202053212532</v>
      </c>
      <c r="CL24" s="108">
        <v>7</v>
      </c>
      <c r="CM24" s="108" t="s">
        <v>19</v>
      </c>
      <c r="CN24" s="128">
        <v>8021.1525221187039</v>
      </c>
      <c r="CO24" s="128">
        <v>8021.1525221187039</v>
      </c>
      <c r="CP24" s="128">
        <v>8021.1525221187039</v>
      </c>
      <c r="CQ24" s="128">
        <v>8021.1525221187039</v>
      </c>
      <c r="CR24" s="128">
        <v>8021.1525221187039</v>
      </c>
      <c r="CS24" s="128">
        <v>8021.1525221187039</v>
      </c>
      <c r="CT24" s="128">
        <v>8021.1525221187039</v>
      </c>
      <c r="CU24" s="128">
        <v>8021.1525221187039</v>
      </c>
      <c r="CV24" s="128">
        <v>8021.1525221187039</v>
      </c>
      <c r="CW24" s="128">
        <v>8021.1525221187039</v>
      </c>
      <c r="CX24" s="128">
        <v>8021.1525221187039</v>
      </c>
      <c r="CY24" s="128">
        <v>8021.1525221187039</v>
      </c>
    </row>
    <row r="25" spans="1:103" ht="12" customHeight="1" x14ac:dyDescent="0.2">
      <c r="A25" s="108">
        <v>8</v>
      </c>
      <c r="B25" s="108" t="s">
        <v>23</v>
      </c>
      <c r="C25" s="105">
        <v>1</v>
      </c>
      <c r="D25" s="105">
        <v>1</v>
      </c>
      <c r="E25" s="105">
        <v>1</v>
      </c>
      <c r="F25" s="105">
        <v>1</v>
      </c>
      <c r="G25" s="105">
        <v>1</v>
      </c>
      <c r="H25" s="105">
        <v>1</v>
      </c>
      <c r="I25" s="105">
        <v>1</v>
      </c>
      <c r="J25" s="105">
        <v>1</v>
      </c>
      <c r="K25" s="105">
        <v>0</v>
      </c>
      <c r="L25" s="105">
        <v>0</v>
      </c>
      <c r="M25" s="105">
        <v>0</v>
      </c>
      <c r="N25" s="105">
        <v>0</v>
      </c>
      <c r="O25" s="105">
        <v>0</v>
      </c>
      <c r="Q25" s="108">
        <v>8</v>
      </c>
      <c r="R25" s="109" t="s">
        <v>23</v>
      </c>
      <c r="S25" s="121">
        <v>114.67443068545501</v>
      </c>
      <c r="T25" s="121">
        <v>117.98757294309183</v>
      </c>
      <c r="U25" s="121">
        <v>159.05242046049204</v>
      </c>
      <c r="V25" s="121">
        <v>180.49356964157326</v>
      </c>
      <c r="W25" s="121">
        <v>213.44197660946978</v>
      </c>
      <c r="X25" s="121">
        <v>305.59171011298685</v>
      </c>
      <c r="Y25" s="121">
        <v>376.09529691571709</v>
      </c>
      <c r="Z25" s="121">
        <v>233.10944485108311</v>
      </c>
      <c r="AA25" s="121">
        <v>125.01168414393116</v>
      </c>
      <c r="AB25" s="121">
        <v>113.22525586559</v>
      </c>
      <c r="AC25" s="121">
        <v>113.53905773708891</v>
      </c>
      <c r="AD25" s="121">
        <v>110.17108610706393</v>
      </c>
      <c r="AF25" s="108">
        <v>8</v>
      </c>
      <c r="AG25" s="109" t="s">
        <v>23</v>
      </c>
      <c r="AH25" s="123">
        <v>921.19064266655471</v>
      </c>
      <c r="AI25" s="124">
        <v>918.27242234883533</v>
      </c>
      <c r="AJ25" s="124">
        <v>918.96515991912804</v>
      </c>
      <c r="AK25" s="124">
        <v>925.00130611720556</v>
      </c>
      <c r="AL25" s="124">
        <v>933.033310669907</v>
      </c>
      <c r="AM25" s="124">
        <v>935.79233071567603</v>
      </c>
      <c r="AN25" s="124">
        <v>942.05146305031212</v>
      </c>
      <c r="AO25" s="124">
        <v>944.67683810750009</v>
      </c>
      <c r="AP25" s="124">
        <v>943.23134361415464</v>
      </c>
      <c r="AQ25" s="124">
        <v>939.97696602517931</v>
      </c>
      <c r="AR25" s="124">
        <v>933.18825206384361</v>
      </c>
      <c r="AS25" s="124">
        <v>926.33534715331007</v>
      </c>
      <c r="AT25" s="124">
        <v>920.51955911236939</v>
      </c>
      <c r="AV25" s="108">
        <v>8</v>
      </c>
      <c r="AW25" s="108" t="s">
        <v>23</v>
      </c>
      <c r="AX25" s="129">
        <v>112.53589295498777</v>
      </c>
      <c r="AY25" s="129">
        <v>108.87360104699518</v>
      </c>
      <c r="AZ25" s="129">
        <v>112.50373852577268</v>
      </c>
      <c r="BA25" s="129">
        <v>112.54286914844623</v>
      </c>
      <c r="BB25" s="129">
        <v>102.35767707638567</v>
      </c>
      <c r="BC25" s="129">
        <v>113.40315127806517</v>
      </c>
      <c r="BD25" s="129">
        <v>108.88290125021548</v>
      </c>
      <c r="BE25" s="129">
        <v>112.4202397556914</v>
      </c>
      <c r="BF25" s="129">
        <v>108.75287404149492</v>
      </c>
      <c r="BG25" s="129">
        <v>112.37830441644012</v>
      </c>
      <c r="BH25" s="129">
        <v>112.48966628992567</v>
      </c>
      <c r="BI25" s="129">
        <v>108.99828690065158</v>
      </c>
      <c r="BJ25" s="108">
        <v>8</v>
      </c>
      <c r="BK25" s="108" t="s">
        <v>23</v>
      </c>
      <c r="BL25" s="129">
        <v>5580.5520779472026</v>
      </c>
      <c r="BM25" s="129">
        <v>5580.5520779472026</v>
      </c>
      <c r="BN25" s="129">
        <v>5580.5520779472026</v>
      </c>
      <c r="BO25" s="129">
        <v>5580.5520779472026</v>
      </c>
      <c r="BP25" s="129">
        <v>5580.5520779472026</v>
      </c>
      <c r="BQ25" s="129">
        <v>5580.5520779472026</v>
      </c>
      <c r="BR25" s="129">
        <v>5580.5520779472026</v>
      </c>
      <c r="BS25" s="129">
        <v>5580.5520779472026</v>
      </c>
      <c r="BT25" s="129">
        <v>5580.5520779472026</v>
      </c>
      <c r="BU25" s="129">
        <v>5580.5520779472026</v>
      </c>
      <c r="BV25" s="129">
        <v>5580.5520779472026</v>
      </c>
      <c r="BW25" s="129">
        <v>5580.5520779472026</v>
      </c>
      <c r="BX25" s="108">
        <f t="shared" si="0"/>
        <v>8</v>
      </c>
      <c r="BY25" s="108" t="str">
        <f t="shared" si="0"/>
        <v>GOKCEKAYA</v>
      </c>
      <c r="BZ25" s="130">
        <f t="shared" si="0"/>
        <v>114.67443068545501</v>
      </c>
      <c r="CA25" s="130">
        <f t="shared" si="0"/>
        <v>117.98757294309183</v>
      </c>
      <c r="CB25" s="130">
        <f t="shared" si="0"/>
        <v>159.05242046049204</v>
      </c>
      <c r="CC25" s="130">
        <f t="shared" si="0"/>
        <v>180.49356964157326</v>
      </c>
      <c r="CD25" s="130">
        <f t="shared" si="0"/>
        <v>213.44197660946978</v>
      </c>
      <c r="CE25" s="130">
        <f t="shared" si="0"/>
        <v>305.59171011298685</v>
      </c>
      <c r="CF25" s="130">
        <f t="shared" si="0"/>
        <v>376.09529691571709</v>
      </c>
      <c r="CG25" s="130">
        <f t="shared" si="0"/>
        <v>233.10944485108311</v>
      </c>
      <c r="CH25" s="130">
        <f t="shared" si="0"/>
        <v>125.01168414393116</v>
      </c>
      <c r="CI25" s="130">
        <f t="shared" si="0"/>
        <v>113.22525586559</v>
      </c>
      <c r="CJ25" s="130">
        <f t="shared" si="0"/>
        <v>113.53905773708891</v>
      </c>
      <c r="CK25" s="130">
        <f t="shared" si="0"/>
        <v>110.17108610706393</v>
      </c>
      <c r="CL25" s="108">
        <v>8</v>
      </c>
      <c r="CM25" s="108" t="s">
        <v>23</v>
      </c>
      <c r="CN25" s="128">
        <v>5580.5520779472026</v>
      </c>
      <c r="CO25" s="128">
        <v>5580.5520779472026</v>
      </c>
      <c r="CP25" s="128">
        <v>5580.5520779472026</v>
      </c>
      <c r="CQ25" s="128">
        <v>5580.5520779472026</v>
      </c>
      <c r="CR25" s="128">
        <v>5580.5520779472026</v>
      </c>
      <c r="CS25" s="128">
        <v>5580.5520779472026</v>
      </c>
      <c r="CT25" s="128">
        <v>5580.5520779472026</v>
      </c>
      <c r="CU25" s="128">
        <v>5580.5520779472026</v>
      </c>
      <c r="CV25" s="128">
        <v>5580.5520779472026</v>
      </c>
      <c r="CW25" s="128">
        <v>5580.5520779472026</v>
      </c>
      <c r="CX25" s="128">
        <v>5580.5520779472026</v>
      </c>
      <c r="CY25" s="128">
        <v>5580.5520779472026</v>
      </c>
    </row>
    <row r="26" spans="1:103" ht="12" customHeight="1" x14ac:dyDescent="0.2">
      <c r="A26" s="108">
        <v>9</v>
      </c>
      <c r="B26" s="108" t="s">
        <v>24</v>
      </c>
      <c r="C26" s="105">
        <v>1</v>
      </c>
      <c r="D26" s="105">
        <v>1</v>
      </c>
      <c r="E26" s="105">
        <v>1</v>
      </c>
      <c r="F26" s="105">
        <v>1</v>
      </c>
      <c r="G26" s="105">
        <v>1</v>
      </c>
      <c r="H26" s="105">
        <v>1</v>
      </c>
      <c r="I26" s="105">
        <v>1</v>
      </c>
      <c r="J26" s="105">
        <v>1</v>
      </c>
      <c r="K26" s="105">
        <v>1</v>
      </c>
      <c r="L26" s="105">
        <v>0</v>
      </c>
      <c r="M26" s="105">
        <v>0</v>
      </c>
      <c r="N26" s="105">
        <v>0</v>
      </c>
      <c r="O26" s="105">
        <v>0</v>
      </c>
      <c r="Q26" s="108">
        <v>9</v>
      </c>
      <c r="R26" s="109" t="s">
        <v>24</v>
      </c>
      <c r="S26" s="121">
        <v>114.45974174615029</v>
      </c>
      <c r="T26" s="121">
        <v>117.98549697747902</v>
      </c>
      <c r="U26" s="121">
        <v>159.00649495491689</v>
      </c>
      <c r="V26" s="121">
        <v>180.46893131835438</v>
      </c>
      <c r="W26" s="121">
        <v>213.33084840434157</v>
      </c>
      <c r="X26" s="121">
        <v>305.5917101129869</v>
      </c>
      <c r="Y26" s="121">
        <v>375.9192690073836</v>
      </c>
      <c r="Z26" s="121">
        <v>232.72586528108306</v>
      </c>
      <c r="AA26" s="121">
        <v>124.4314711391055</v>
      </c>
      <c r="AB26" s="121">
        <v>112.56362841851221</v>
      </c>
      <c r="AC26" s="121">
        <v>112.89058868736882</v>
      </c>
      <c r="AD26" s="121">
        <v>109.7709786395602</v>
      </c>
      <c r="AF26" s="108">
        <v>9</v>
      </c>
      <c r="AG26" s="109" t="s">
        <v>24</v>
      </c>
      <c r="AH26" s="123">
        <v>58.029586136516301</v>
      </c>
      <c r="AI26" s="124">
        <v>58.071190660229192</v>
      </c>
      <c r="AJ26" s="124">
        <v>58.032304339514425</v>
      </c>
      <c r="AK26" s="124">
        <v>58.078229845089581</v>
      </c>
      <c r="AL26" s="124">
        <v>58.102868168308461</v>
      </c>
      <c r="AM26" s="124">
        <v>58.213996373436672</v>
      </c>
      <c r="AN26" s="124">
        <v>58.213996373436615</v>
      </c>
      <c r="AO26" s="124">
        <v>58.213996373436757</v>
      </c>
      <c r="AP26" s="124">
        <v>58.213996373436807</v>
      </c>
      <c r="AQ26" s="124">
        <v>58.206482379753297</v>
      </c>
      <c r="AR26" s="124">
        <v>58.121928896243602</v>
      </c>
      <c r="AS26" s="124">
        <v>58.083229135263764</v>
      </c>
      <c r="AT26" s="124">
        <v>58.029525070726308</v>
      </c>
      <c r="AV26" s="108">
        <v>9</v>
      </c>
      <c r="AW26" s="108" t="s">
        <v>24</v>
      </c>
      <c r="AX26" s="129">
        <v>112.21203091427803</v>
      </c>
      <c r="AY26" s="129">
        <v>108.83254935263156</v>
      </c>
      <c r="AZ26" s="129">
        <v>112.69090690562373</v>
      </c>
      <c r="BA26" s="129">
        <v>112.54286914844624</v>
      </c>
      <c r="BB26" s="129">
        <v>102.35767707638567</v>
      </c>
      <c r="BC26" s="129">
        <v>113.40315127806517</v>
      </c>
      <c r="BD26" s="129">
        <v>108.70687334188216</v>
      </c>
      <c r="BE26" s="129">
        <v>112.0366601856914</v>
      </c>
      <c r="BF26" s="129">
        <v>108.2326585449687</v>
      </c>
      <c r="BG26" s="129">
        <v>111.83132116442151</v>
      </c>
      <c r="BH26" s="129">
        <v>111.85298194222018</v>
      </c>
      <c r="BI26" s="129">
        <v>108.55948894447594</v>
      </c>
      <c r="BJ26" s="108">
        <v>9</v>
      </c>
      <c r="BK26" s="108" t="s">
        <v>24</v>
      </c>
      <c r="BL26" s="129">
        <v>5880.5520779472026</v>
      </c>
      <c r="BM26" s="129">
        <v>5880.5520779472026</v>
      </c>
      <c r="BN26" s="129">
        <v>5880.5520779472026</v>
      </c>
      <c r="BO26" s="129">
        <v>5880.5520779472026</v>
      </c>
      <c r="BP26" s="129">
        <v>5880.5520779472026</v>
      </c>
      <c r="BQ26" s="129">
        <v>5880.5520779472026</v>
      </c>
      <c r="BR26" s="129">
        <v>5880.5520779472026</v>
      </c>
      <c r="BS26" s="129">
        <v>5880.5520779472026</v>
      </c>
      <c r="BT26" s="129">
        <v>5880.5520779472026</v>
      </c>
      <c r="BU26" s="129">
        <v>5880.5520779472026</v>
      </c>
      <c r="BV26" s="129">
        <v>5880.5520779472026</v>
      </c>
      <c r="BW26" s="129">
        <v>5880.5520779472026</v>
      </c>
      <c r="BX26" s="108">
        <f t="shared" si="0"/>
        <v>9</v>
      </c>
      <c r="BY26" s="108" t="str">
        <f t="shared" si="0"/>
        <v>YENICE</v>
      </c>
      <c r="BZ26" s="130">
        <f t="shared" si="0"/>
        <v>114.45974174615029</v>
      </c>
      <c r="CA26" s="130">
        <f t="shared" si="0"/>
        <v>117.98549697747902</v>
      </c>
      <c r="CB26" s="130">
        <f t="shared" si="0"/>
        <v>159.00649495491689</v>
      </c>
      <c r="CC26" s="130">
        <f t="shared" si="0"/>
        <v>180.46893131835438</v>
      </c>
      <c r="CD26" s="130">
        <f t="shared" si="0"/>
        <v>213.33084840434157</v>
      </c>
      <c r="CE26" s="130">
        <f t="shared" si="0"/>
        <v>305.5917101129869</v>
      </c>
      <c r="CF26" s="130">
        <f t="shared" si="0"/>
        <v>375.9192690073836</v>
      </c>
      <c r="CG26" s="130">
        <f t="shared" si="0"/>
        <v>232.72586528108306</v>
      </c>
      <c r="CH26" s="130">
        <f t="shared" si="0"/>
        <v>124.4314711391055</v>
      </c>
      <c r="CI26" s="130">
        <f t="shared" si="0"/>
        <v>112.56362841851221</v>
      </c>
      <c r="CJ26" s="130">
        <f t="shared" si="0"/>
        <v>112.89058868736883</v>
      </c>
      <c r="CK26" s="130">
        <f t="shared" si="0"/>
        <v>109.7709786395602</v>
      </c>
      <c r="CL26" s="108">
        <v>9</v>
      </c>
      <c r="CM26" s="108" t="s">
        <v>24</v>
      </c>
      <c r="CN26" s="128">
        <v>5880.5520779472026</v>
      </c>
      <c r="CO26" s="128">
        <v>5880.5520779472026</v>
      </c>
      <c r="CP26" s="128">
        <v>5880.5520779472026</v>
      </c>
      <c r="CQ26" s="128">
        <v>5880.5520779472026</v>
      </c>
      <c r="CR26" s="128">
        <v>5880.5520779472026</v>
      </c>
      <c r="CS26" s="128">
        <v>5880.5520779472026</v>
      </c>
      <c r="CT26" s="128">
        <v>5880.5520779472026</v>
      </c>
      <c r="CU26" s="128">
        <v>5880.5520779472026</v>
      </c>
      <c r="CV26" s="128">
        <v>5880.5520779472026</v>
      </c>
      <c r="CW26" s="128">
        <v>5880.5520779472026</v>
      </c>
      <c r="CX26" s="128">
        <v>5880.5520779472026</v>
      </c>
      <c r="CY26" s="128">
        <v>5880.5520779472026</v>
      </c>
    </row>
    <row r="27" spans="1:103" ht="12" customHeight="1" x14ac:dyDescent="0.2">
      <c r="A27" s="104">
        <v>10</v>
      </c>
      <c r="B27" s="104" t="s">
        <v>25</v>
      </c>
      <c r="C27" s="105">
        <v>1</v>
      </c>
      <c r="D27" s="105">
        <v>1</v>
      </c>
      <c r="E27" s="105">
        <v>1</v>
      </c>
      <c r="F27" s="105">
        <v>1</v>
      </c>
      <c r="G27" s="105">
        <v>1</v>
      </c>
      <c r="H27" s="105">
        <v>1</v>
      </c>
      <c r="I27" s="105">
        <v>1</v>
      </c>
      <c r="J27" s="105">
        <v>1</v>
      </c>
      <c r="K27" s="105">
        <v>1</v>
      </c>
      <c r="L27" s="105">
        <v>1</v>
      </c>
      <c r="M27" s="105">
        <v>0</v>
      </c>
      <c r="N27" s="105">
        <v>0</v>
      </c>
      <c r="O27" s="105">
        <v>0</v>
      </c>
      <c r="Q27" s="104">
        <v>10</v>
      </c>
      <c r="R27" s="97" t="s">
        <v>25</v>
      </c>
      <c r="S27" s="120">
        <v>163.80973434015013</v>
      </c>
      <c r="T27" s="120">
        <v>186.48064582361056</v>
      </c>
      <c r="U27" s="120">
        <v>228.70449686890362</v>
      </c>
      <c r="V27" s="120">
        <v>284.77650111471701</v>
      </c>
      <c r="W27" s="120">
        <v>253.48291537078578</v>
      </c>
      <c r="X27" s="120">
        <v>268.19106911542104</v>
      </c>
      <c r="Y27" s="120">
        <v>277.16215572954712</v>
      </c>
      <c r="Z27" s="120">
        <v>176.2146560442965</v>
      </c>
      <c r="AA27" s="120">
        <v>130.93560124684382</v>
      </c>
      <c r="AB27" s="120">
        <v>168.55146666177492</v>
      </c>
      <c r="AC27" s="120">
        <v>164.71550491173852</v>
      </c>
      <c r="AD27" s="120">
        <v>160.27548120446264</v>
      </c>
      <c r="AF27" s="104">
        <v>10</v>
      </c>
      <c r="AG27" s="97" t="s">
        <v>25</v>
      </c>
      <c r="AH27" s="122">
        <v>0</v>
      </c>
      <c r="AI27" s="107">
        <v>0</v>
      </c>
      <c r="AJ27" s="107">
        <v>0</v>
      </c>
      <c r="AK27" s="107">
        <v>0</v>
      </c>
      <c r="AL27" s="107">
        <v>0</v>
      </c>
      <c r="AM27" s="107">
        <v>0</v>
      </c>
      <c r="AN27" s="107">
        <v>0</v>
      </c>
      <c r="AO27" s="107">
        <v>0</v>
      </c>
      <c r="AP27" s="107">
        <v>0</v>
      </c>
      <c r="AQ27" s="107">
        <v>0</v>
      </c>
      <c r="AR27" s="107">
        <v>0</v>
      </c>
      <c r="AS27" s="107">
        <v>0</v>
      </c>
      <c r="AT27" s="107">
        <v>0</v>
      </c>
      <c r="AV27" s="104">
        <v>10</v>
      </c>
      <c r="AW27" s="104" t="s">
        <v>25</v>
      </c>
      <c r="AX27" s="125">
        <v>0</v>
      </c>
      <c r="AY27" s="125">
        <v>0</v>
      </c>
      <c r="AZ27" s="125">
        <v>0</v>
      </c>
      <c r="BA27" s="125">
        <v>0</v>
      </c>
      <c r="BB27" s="125">
        <v>0</v>
      </c>
      <c r="BC27" s="125">
        <v>0</v>
      </c>
      <c r="BD27" s="125">
        <v>0</v>
      </c>
      <c r="BE27" s="125">
        <v>0</v>
      </c>
      <c r="BF27" s="125">
        <v>0</v>
      </c>
      <c r="BG27" s="125">
        <v>0</v>
      </c>
      <c r="BH27" s="125">
        <v>0</v>
      </c>
      <c r="BI27" s="125">
        <v>0</v>
      </c>
      <c r="BJ27" s="104">
        <v>10</v>
      </c>
      <c r="BK27" s="104" t="s">
        <v>25</v>
      </c>
      <c r="BL27" s="125">
        <v>0</v>
      </c>
      <c r="BM27" s="125">
        <v>0</v>
      </c>
      <c r="BN27" s="125">
        <v>0</v>
      </c>
      <c r="BO27" s="125">
        <v>0</v>
      </c>
      <c r="BP27" s="125">
        <v>0</v>
      </c>
      <c r="BQ27" s="125">
        <v>0</v>
      </c>
      <c r="BR27" s="125">
        <v>0</v>
      </c>
      <c r="BS27" s="125">
        <v>0</v>
      </c>
      <c r="BT27" s="125">
        <v>0</v>
      </c>
      <c r="BU27" s="125">
        <v>0</v>
      </c>
      <c r="BV27" s="125">
        <v>0</v>
      </c>
      <c r="BW27" s="125">
        <v>0</v>
      </c>
      <c r="BX27" s="104">
        <f t="shared" si="0"/>
        <v>10</v>
      </c>
      <c r="BY27" s="104" t="str">
        <f t="shared" si="0"/>
        <v>ORSAK SULAMA</v>
      </c>
      <c r="BZ27" s="126">
        <f t="shared" si="0"/>
        <v>0</v>
      </c>
      <c r="CA27" s="126">
        <f t="shared" si="0"/>
        <v>0</v>
      </c>
      <c r="CB27" s="126">
        <f t="shared" si="0"/>
        <v>0</v>
      </c>
      <c r="CC27" s="126">
        <f t="shared" si="0"/>
        <v>0</v>
      </c>
      <c r="CD27" s="126">
        <f t="shared" si="0"/>
        <v>0</v>
      </c>
      <c r="CE27" s="126">
        <f t="shared" si="0"/>
        <v>0</v>
      </c>
      <c r="CF27" s="126">
        <f t="shared" si="0"/>
        <v>0</v>
      </c>
      <c r="CG27" s="126">
        <f t="shared" si="0"/>
        <v>0</v>
      </c>
      <c r="CH27" s="126">
        <f t="shared" si="0"/>
        <v>0</v>
      </c>
      <c r="CI27" s="126">
        <f t="shared" si="0"/>
        <v>0</v>
      </c>
      <c r="CJ27" s="126">
        <f t="shared" si="0"/>
        <v>0</v>
      </c>
      <c r="CK27" s="126">
        <f t="shared" si="0"/>
        <v>0</v>
      </c>
      <c r="CL27" s="104">
        <v>10</v>
      </c>
      <c r="CM27" s="104" t="s">
        <v>25</v>
      </c>
      <c r="CN27" s="127">
        <v>0</v>
      </c>
      <c r="CO27" s="127">
        <v>0</v>
      </c>
      <c r="CP27" s="127">
        <v>0</v>
      </c>
      <c r="CQ27" s="127">
        <v>0</v>
      </c>
      <c r="CR27" s="127">
        <v>0</v>
      </c>
      <c r="CS27" s="127">
        <v>0</v>
      </c>
      <c r="CT27" s="127">
        <v>0</v>
      </c>
      <c r="CU27" s="127">
        <v>0</v>
      </c>
      <c r="CV27" s="127">
        <v>0</v>
      </c>
      <c r="CW27" s="127">
        <v>0</v>
      </c>
      <c r="CX27" s="127">
        <v>0</v>
      </c>
      <c r="CY27" s="127">
        <v>0</v>
      </c>
    </row>
    <row r="28" spans="1:103" ht="12" customHeight="1" x14ac:dyDescent="0.2">
      <c r="A28" s="104">
        <v>11</v>
      </c>
      <c r="B28" s="104" t="s">
        <v>26</v>
      </c>
      <c r="C28" s="105">
        <v>0</v>
      </c>
      <c r="D28" s="105">
        <v>0</v>
      </c>
      <c r="E28" s="105">
        <v>0</v>
      </c>
      <c r="F28" s="105">
        <v>0</v>
      </c>
      <c r="G28" s="105">
        <v>0</v>
      </c>
      <c r="H28" s="105">
        <v>0</v>
      </c>
      <c r="I28" s="105">
        <v>0</v>
      </c>
      <c r="J28" s="105">
        <v>0</v>
      </c>
      <c r="K28" s="105">
        <v>0</v>
      </c>
      <c r="L28" s="105">
        <v>0</v>
      </c>
      <c r="M28" s="105">
        <v>1</v>
      </c>
      <c r="N28" s="105">
        <v>0</v>
      </c>
      <c r="O28" s="105">
        <v>0</v>
      </c>
      <c r="Q28" s="104">
        <v>11</v>
      </c>
      <c r="R28" s="97" t="s">
        <v>26</v>
      </c>
      <c r="S28" s="120">
        <v>15.228139560490185</v>
      </c>
      <c r="T28" s="120">
        <v>24.272616897125044</v>
      </c>
      <c r="U28" s="120">
        <v>50.529560939824165</v>
      </c>
      <c r="V28" s="120">
        <v>57.169430364211664</v>
      </c>
      <c r="W28" s="120">
        <v>69.369859396686181</v>
      </c>
      <c r="X28" s="120">
        <v>91.236498588263345</v>
      </c>
      <c r="Y28" s="120">
        <v>93.999772395584259</v>
      </c>
      <c r="Z28" s="120">
        <v>68.011580047954268</v>
      </c>
      <c r="AA28" s="120">
        <v>33.011174260976084</v>
      </c>
      <c r="AB28" s="120">
        <v>11.968100985166796</v>
      </c>
      <c r="AC28" s="120">
        <v>7.2855775078529845</v>
      </c>
      <c r="AD28" s="120">
        <v>7.1355220272087969</v>
      </c>
      <c r="AF28" s="104">
        <v>11</v>
      </c>
      <c r="AG28" s="97" t="s">
        <v>26</v>
      </c>
      <c r="AH28" s="122">
        <v>0</v>
      </c>
      <c r="AI28" s="107">
        <v>0</v>
      </c>
      <c r="AJ28" s="107">
        <v>0</v>
      </c>
      <c r="AK28" s="107">
        <v>0</v>
      </c>
      <c r="AL28" s="107">
        <v>0</v>
      </c>
      <c r="AM28" s="107">
        <v>0</v>
      </c>
      <c r="AN28" s="107">
        <v>0</v>
      </c>
      <c r="AO28" s="107">
        <v>0</v>
      </c>
      <c r="AP28" s="107">
        <v>0</v>
      </c>
      <c r="AQ28" s="107">
        <v>0</v>
      </c>
      <c r="AR28" s="107">
        <v>0</v>
      </c>
      <c r="AS28" s="107">
        <v>0</v>
      </c>
      <c r="AT28" s="107">
        <v>0</v>
      </c>
      <c r="AV28" s="104">
        <v>11</v>
      </c>
      <c r="AW28" s="104" t="s">
        <v>26</v>
      </c>
      <c r="AX28" s="125">
        <v>0</v>
      </c>
      <c r="AY28" s="125">
        <v>0</v>
      </c>
      <c r="AZ28" s="125">
        <v>0</v>
      </c>
      <c r="BA28" s="125">
        <v>0</v>
      </c>
      <c r="BB28" s="125">
        <v>0</v>
      </c>
      <c r="BC28" s="125">
        <v>0</v>
      </c>
      <c r="BD28" s="125">
        <v>0</v>
      </c>
      <c r="BE28" s="125">
        <v>0</v>
      </c>
      <c r="BF28" s="125">
        <v>0</v>
      </c>
      <c r="BG28" s="125">
        <v>0</v>
      </c>
      <c r="BH28" s="125">
        <v>0</v>
      </c>
      <c r="BI28" s="125">
        <v>0</v>
      </c>
      <c r="BJ28" s="104">
        <v>11</v>
      </c>
      <c r="BK28" s="104" t="s">
        <v>26</v>
      </c>
      <c r="BL28" s="125">
        <v>0</v>
      </c>
      <c r="BM28" s="125">
        <v>0</v>
      </c>
      <c r="BN28" s="125">
        <v>0</v>
      </c>
      <c r="BO28" s="125">
        <v>0</v>
      </c>
      <c r="BP28" s="125">
        <v>0</v>
      </c>
      <c r="BQ28" s="125">
        <v>0</v>
      </c>
      <c r="BR28" s="125">
        <v>0</v>
      </c>
      <c r="BS28" s="125">
        <v>0</v>
      </c>
      <c r="BT28" s="125">
        <v>0</v>
      </c>
      <c r="BU28" s="125">
        <v>0</v>
      </c>
      <c r="BV28" s="125">
        <v>0</v>
      </c>
      <c r="BW28" s="125">
        <v>0</v>
      </c>
      <c r="BX28" s="104">
        <f t="shared" si="0"/>
        <v>11</v>
      </c>
      <c r="BY28" s="104" t="str">
        <f t="shared" si="0"/>
        <v>GOKSU SULAMA</v>
      </c>
      <c r="BZ28" s="126">
        <f t="shared" si="0"/>
        <v>0</v>
      </c>
      <c r="CA28" s="126">
        <f t="shared" si="0"/>
        <v>0</v>
      </c>
      <c r="CB28" s="126">
        <f t="shared" si="0"/>
        <v>0</v>
      </c>
      <c r="CC28" s="126">
        <f t="shared" si="0"/>
        <v>0</v>
      </c>
      <c r="CD28" s="126">
        <f t="shared" si="0"/>
        <v>0</v>
      </c>
      <c r="CE28" s="126">
        <f t="shared" si="0"/>
        <v>0</v>
      </c>
      <c r="CF28" s="126">
        <f t="shared" si="0"/>
        <v>0</v>
      </c>
      <c r="CG28" s="126">
        <f t="shared" si="0"/>
        <v>0</v>
      </c>
      <c r="CH28" s="126">
        <f t="shared" si="0"/>
        <v>0</v>
      </c>
      <c r="CI28" s="126">
        <f t="shared" si="0"/>
        <v>0</v>
      </c>
      <c r="CJ28" s="126">
        <f t="shared" si="0"/>
        <v>0</v>
      </c>
      <c r="CK28" s="126">
        <f t="shared" si="0"/>
        <v>0</v>
      </c>
      <c r="CL28" s="104">
        <v>11</v>
      </c>
      <c r="CM28" s="104" t="s">
        <v>26</v>
      </c>
      <c r="CN28" s="127">
        <v>0</v>
      </c>
      <c r="CO28" s="127">
        <v>0</v>
      </c>
      <c r="CP28" s="127">
        <v>0</v>
      </c>
      <c r="CQ28" s="127">
        <v>0</v>
      </c>
      <c r="CR28" s="127">
        <v>0</v>
      </c>
      <c r="CS28" s="127">
        <v>0</v>
      </c>
      <c r="CT28" s="127">
        <v>0</v>
      </c>
      <c r="CU28" s="127">
        <v>0</v>
      </c>
      <c r="CV28" s="127">
        <v>0</v>
      </c>
      <c r="CW28" s="127">
        <v>0</v>
      </c>
      <c r="CX28" s="127">
        <v>0</v>
      </c>
      <c r="CY28" s="127">
        <v>0</v>
      </c>
    </row>
    <row r="29" spans="1:103" ht="12" customHeight="1" x14ac:dyDescent="0.2">
      <c r="A29" s="104">
        <v>12</v>
      </c>
      <c r="B29" s="104" t="s">
        <v>27</v>
      </c>
      <c r="C29" s="105">
        <v>1</v>
      </c>
      <c r="D29" s="105">
        <v>1</v>
      </c>
      <c r="E29" s="105">
        <v>1</v>
      </c>
      <c r="F29" s="105">
        <v>1</v>
      </c>
      <c r="G29" s="105">
        <v>1</v>
      </c>
      <c r="H29" s="105">
        <v>1</v>
      </c>
      <c r="I29" s="105">
        <v>1</v>
      </c>
      <c r="J29" s="105">
        <v>1</v>
      </c>
      <c r="K29" s="105">
        <v>1</v>
      </c>
      <c r="L29" s="105">
        <v>1</v>
      </c>
      <c r="M29" s="105">
        <v>1</v>
      </c>
      <c r="N29" s="105">
        <v>1</v>
      </c>
      <c r="O29" s="105">
        <v>0</v>
      </c>
      <c r="Q29" s="104">
        <v>12</v>
      </c>
      <c r="R29" s="97" t="s">
        <v>27</v>
      </c>
      <c r="S29" s="120">
        <v>180.88423551636251</v>
      </c>
      <c r="T29" s="120">
        <v>212.80169326713531</v>
      </c>
      <c r="U29" s="120">
        <v>281.77799990318914</v>
      </c>
      <c r="V29" s="120">
        <v>344.89176446719262</v>
      </c>
      <c r="W29" s="120">
        <v>325.81007270357134</v>
      </c>
      <c r="X29" s="120">
        <v>362.950251981262</v>
      </c>
      <c r="Y29" s="120">
        <v>374.51454822305993</v>
      </c>
      <c r="Z29" s="120">
        <v>246.82193068064569</v>
      </c>
      <c r="AA29" s="120">
        <v>158.42707866037185</v>
      </c>
      <c r="AB29" s="120">
        <v>167.97960271425364</v>
      </c>
      <c r="AC29" s="120">
        <v>161.91090096946431</v>
      </c>
      <c r="AD29" s="120">
        <v>165.57941892681166</v>
      </c>
      <c r="AF29" s="104">
        <v>12</v>
      </c>
      <c r="AG29" s="97" t="s">
        <v>27</v>
      </c>
      <c r="AH29" s="122">
        <v>0</v>
      </c>
      <c r="AI29" s="107">
        <v>0</v>
      </c>
      <c r="AJ29" s="107">
        <v>0</v>
      </c>
      <c r="AK29" s="107">
        <v>0</v>
      </c>
      <c r="AL29" s="107">
        <v>0</v>
      </c>
      <c r="AM29" s="107">
        <v>0</v>
      </c>
      <c r="AN29" s="107">
        <v>0</v>
      </c>
      <c r="AO29" s="107">
        <v>0</v>
      </c>
      <c r="AP29" s="107">
        <v>0</v>
      </c>
      <c r="AQ29" s="107">
        <v>0</v>
      </c>
      <c r="AR29" s="107">
        <v>0</v>
      </c>
      <c r="AS29" s="107">
        <v>0</v>
      </c>
      <c r="AT29" s="107">
        <v>0</v>
      </c>
      <c r="AV29" s="104">
        <v>12</v>
      </c>
      <c r="AW29" s="104" t="s">
        <v>27</v>
      </c>
      <c r="AX29" s="125">
        <v>0</v>
      </c>
      <c r="AY29" s="125">
        <v>0</v>
      </c>
      <c r="AZ29" s="125">
        <v>0</v>
      </c>
      <c r="BA29" s="125">
        <v>0</v>
      </c>
      <c r="BB29" s="125">
        <v>0</v>
      </c>
      <c r="BC29" s="125">
        <v>0</v>
      </c>
      <c r="BD29" s="125">
        <v>0</v>
      </c>
      <c r="BE29" s="125">
        <v>0</v>
      </c>
      <c r="BF29" s="125">
        <v>0</v>
      </c>
      <c r="BG29" s="125">
        <v>0</v>
      </c>
      <c r="BH29" s="125">
        <v>0</v>
      </c>
      <c r="BI29" s="125">
        <v>0</v>
      </c>
      <c r="BJ29" s="104">
        <v>12</v>
      </c>
      <c r="BK29" s="104" t="s">
        <v>27</v>
      </c>
      <c r="BL29" s="125">
        <v>0</v>
      </c>
      <c r="BM29" s="125">
        <v>0</v>
      </c>
      <c r="BN29" s="125">
        <v>0</v>
      </c>
      <c r="BO29" s="125">
        <v>0</v>
      </c>
      <c r="BP29" s="125">
        <v>0</v>
      </c>
      <c r="BQ29" s="125">
        <v>0</v>
      </c>
      <c r="BR29" s="125">
        <v>0</v>
      </c>
      <c r="BS29" s="125">
        <v>0</v>
      </c>
      <c r="BT29" s="125">
        <v>0</v>
      </c>
      <c r="BU29" s="125">
        <v>0</v>
      </c>
      <c r="BV29" s="125">
        <v>0</v>
      </c>
      <c r="BW29" s="125">
        <v>0</v>
      </c>
      <c r="BX29" s="104">
        <f t="shared" si="0"/>
        <v>12</v>
      </c>
      <c r="BY29" s="104" t="str">
        <f t="shared" si="0"/>
        <v>ANAKOL 4_1 SULAMA</v>
      </c>
      <c r="BZ29" s="126">
        <f t="shared" si="0"/>
        <v>0</v>
      </c>
      <c r="CA29" s="126">
        <f t="shared" si="0"/>
        <v>0</v>
      </c>
      <c r="CB29" s="126">
        <f t="shared" si="0"/>
        <v>0</v>
      </c>
      <c r="CC29" s="126">
        <f t="shared" si="0"/>
        <v>0</v>
      </c>
      <c r="CD29" s="126">
        <f t="shared" si="0"/>
        <v>0</v>
      </c>
      <c r="CE29" s="126">
        <f t="shared" si="0"/>
        <v>0</v>
      </c>
      <c r="CF29" s="126">
        <f t="shared" si="0"/>
        <v>0</v>
      </c>
      <c r="CG29" s="126">
        <f t="shared" si="0"/>
        <v>0</v>
      </c>
      <c r="CH29" s="126">
        <f t="shared" si="0"/>
        <v>0</v>
      </c>
      <c r="CI29" s="126">
        <f t="shared" si="0"/>
        <v>0</v>
      </c>
      <c r="CJ29" s="126">
        <f t="shared" si="0"/>
        <v>0</v>
      </c>
      <c r="CK29" s="126">
        <f t="shared" si="0"/>
        <v>0</v>
      </c>
      <c r="CL29" s="104">
        <v>12</v>
      </c>
      <c r="CM29" s="104" t="s">
        <v>27</v>
      </c>
      <c r="CN29" s="127">
        <v>0</v>
      </c>
      <c r="CO29" s="127">
        <v>0</v>
      </c>
      <c r="CP29" s="127">
        <v>0</v>
      </c>
      <c r="CQ29" s="127">
        <v>0</v>
      </c>
      <c r="CR29" s="127">
        <v>0</v>
      </c>
      <c r="CS29" s="127">
        <v>0</v>
      </c>
      <c r="CT29" s="127">
        <v>0</v>
      </c>
      <c r="CU29" s="127">
        <v>0</v>
      </c>
      <c r="CV29" s="127">
        <v>0</v>
      </c>
      <c r="CW29" s="127">
        <v>0</v>
      </c>
      <c r="CX29" s="127">
        <v>0</v>
      </c>
      <c r="CY29" s="127">
        <v>0</v>
      </c>
    </row>
    <row r="30" spans="1:103" ht="12" customHeight="1" x14ac:dyDescent="0.2">
      <c r="A30" s="104">
        <v>13</v>
      </c>
      <c r="B30" s="104" t="s">
        <v>28</v>
      </c>
      <c r="C30" s="105">
        <v>1</v>
      </c>
      <c r="D30" s="105">
        <v>1</v>
      </c>
      <c r="E30" s="105">
        <v>1</v>
      </c>
      <c r="F30" s="105">
        <v>1</v>
      </c>
      <c r="G30" s="105">
        <v>1</v>
      </c>
      <c r="H30" s="105">
        <v>1</v>
      </c>
      <c r="I30" s="105">
        <v>1</v>
      </c>
      <c r="J30" s="105">
        <v>1</v>
      </c>
      <c r="K30" s="105">
        <v>1</v>
      </c>
      <c r="L30" s="105">
        <v>1</v>
      </c>
      <c r="M30" s="105">
        <v>1</v>
      </c>
      <c r="N30" s="105">
        <v>1</v>
      </c>
      <c r="O30" s="105">
        <v>1</v>
      </c>
      <c r="Q30" s="104">
        <v>13</v>
      </c>
      <c r="R30" s="97" t="s">
        <v>28</v>
      </c>
      <c r="S30" s="120">
        <v>269.24842423538644</v>
      </c>
      <c r="T30" s="120">
        <v>328.038346919959</v>
      </c>
      <c r="U30" s="120">
        <v>484.21643952480264</v>
      </c>
      <c r="V30" s="120">
        <v>589.7584546284877</v>
      </c>
      <c r="W30" s="120">
        <v>580.87840254370678</v>
      </c>
      <c r="X30" s="120">
        <v>676.81263280359735</v>
      </c>
      <c r="Y30" s="120">
        <v>641.14165877342134</v>
      </c>
      <c r="Z30" s="120">
        <v>412.66256813123044</v>
      </c>
      <c r="AA30" s="120">
        <v>265.15623974505763</v>
      </c>
      <c r="AB30" s="120">
        <v>258.83667115838006</v>
      </c>
      <c r="AC30" s="120">
        <v>232.2662377920627</v>
      </c>
      <c r="AD30" s="120">
        <v>228.35798749350735</v>
      </c>
      <c r="AF30" s="104">
        <v>13</v>
      </c>
      <c r="AG30" s="97" t="s">
        <v>28</v>
      </c>
      <c r="AH30" s="122">
        <v>0</v>
      </c>
      <c r="AI30" s="107">
        <v>0</v>
      </c>
      <c r="AJ30" s="107">
        <v>0</v>
      </c>
      <c r="AK30" s="107">
        <v>0</v>
      </c>
      <c r="AL30" s="107">
        <v>0</v>
      </c>
      <c r="AM30" s="107">
        <v>0</v>
      </c>
      <c r="AN30" s="107">
        <v>0</v>
      </c>
      <c r="AO30" s="107">
        <v>0</v>
      </c>
      <c r="AP30" s="107">
        <v>0</v>
      </c>
      <c r="AQ30" s="107">
        <v>0</v>
      </c>
      <c r="AR30" s="107">
        <v>0</v>
      </c>
      <c r="AS30" s="107">
        <v>0</v>
      </c>
      <c r="AT30" s="107">
        <v>0</v>
      </c>
      <c r="AV30" s="104">
        <v>13</v>
      </c>
      <c r="AW30" s="104" t="s">
        <v>28</v>
      </c>
      <c r="AX30" s="125">
        <v>0</v>
      </c>
      <c r="AY30" s="125">
        <v>0</v>
      </c>
      <c r="AZ30" s="125">
        <v>0</v>
      </c>
      <c r="BA30" s="125">
        <v>0</v>
      </c>
      <c r="BB30" s="125">
        <v>0</v>
      </c>
      <c r="BC30" s="125">
        <v>0</v>
      </c>
      <c r="BD30" s="125">
        <v>0</v>
      </c>
      <c r="BE30" s="125">
        <v>0</v>
      </c>
      <c r="BF30" s="125">
        <v>0</v>
      </c>
      <c r="BG30" s="125">
        <v>0</v>
      </c>
      <c r="BH30" s="125">
        <v>0</v>
      </c>
      <c r="BI30" s="125">
        <v>0</v>
      </c>
      <c r="BJ30" s="104">
        <v>13</v>
      </c>
      <c r="BK30" s="104" t="s">
        <v>28</v>
      </c>
      <c r="BL30" s="125">
        <v>0</v>
      </c>
      <c r="BM30" s="125">
        <v>0</v>
      </c>
      <c r="BN30" s="125">
        <v>0</v>
      </c>
      <c r="BO30" s="125">
        <v>0</v>
      </c>
      <c r="BP30" s="125">
        <v>0</v>
      </c>
      <c r="BQ30" s="125">
        <v>0</v>
      </c>
      <c r="BR30" s="125">
        <v>0</v>
      </c>
      <c r="BS30" s="125">
        <v>0</v>
      </c>
      <c r="BT30" s="125">
        <v>0</v>
      </c>
      <c r="BU30" s="125">
        <v>0</v>
      </c>
      <c r="BV30" s="125">
        <v>0</v>
      </c>
      <c r="BW30" s="125">
        <v>0</v>
      </c>
      <c r="BX30" s="104">
        <f t="shared" si="0"/>
        <v>13</v>
      </c>
      <c r="BY30" s="104" t="str">
        <f t="shared" si="0"/>
        <v>ASAKARYA SULAMA</v>
      </c>
      <c r="BZ30" s="126">
        <f t="shared" si="0"/>
        <v>0</v>
      </c>
      <c r="CA30" s="126">
        <f t="shared" si="0"/>
        <v>0</v>
      </c>
      <c r="CB30" s="126">
        <f t="shared" si="0"/>
        <v>0</v>
      </c>
      <c r="CC30" s="126">
        <f t="shared" si="0"/>
        <v>0</v>
      </c>
      <c r="CD30" s="126">
        <f t="shared" si="0"/>
        <v>0</v>
      </c>
      <c r="CE30" s="126">
        <f t="shared" si="0"/>
        <v>0</v>
      </c>
      <c r="CF30" s="126">
        <f t="shared" si="0"/>
        <v>0</v>
      </c>
      <c r="CG30" s="126">
        <f t="shared" si="0"/>
        <v>0</v>
      </c>
      <c r="CH30" s="126">
        <f t="shared" si="0"/>
        <v>0</v>
      </c>
      <c r="CI30" s="126">
        <f t="shared" si="0"/>
        <v>0</v>
      </c>
      <c r="CJ30" s="126">
        <f t="shared" si="0"/>
        <v>0</v>
      </c>
      <c r="CK30" s="126">
        <f t="shared" si="0"/>
        <v>0</v>
      </c>
      <c r="CL30" s="104">
        <v>13</v>
      </c>
      <c r="CM30" s="104" t="s">
        <v>28</v>
      </c>
      <c r="CN30" s="127">
        <v>0</v>
      </c>
      <c r="CO30" s="127">
        <v>0</v>
      </c>
      <c r="CP30" s="127">
        <v>0</v>
      </c>
      <c r="CQ30" s="127">
        <v>0</v>
      </c>
      <c r="CR30" s="127">
        <v>0</v>
      </c>
      <c r="CS30" s="127">
        <v>0</v>
      </c>
      <c r="CT30" s="127">
        <v>0</v>
      </c>
      <c r="CU30" s="127">
        <v>0</v>
      </c>
      <c r="CV30" s="127">
        <v>0</v>
      </c>
      <c r="CW30" s="127">
        <v>0</v>
      </c>
      <c r="CX30" s="127">
        <v>0</v>
      </c>
      <c r="CY30" s="127">
        <v>0</v>
      </c>
    </row>
    <row r="31" spans="1:103" ht="12" customHeight="1" x14ac:dyDescent="0.2">
      <c r="AG31" s="98"/>
      <c r="AH31" s="98"/>
      <c r="AI31" s="98"/>
      <c r="AJ31" s="98"/>
      <c r="AK31" s="98"/>
      <c r="AL31" s="98"/>
      <c r="AM31" s="98"/>
      <c r="AN31" s="98"/>
      <c r="AO31" s="98"/>
      <c r="AP31" s="98"/>
      <c r="AQ31" s="98"/>
      <c r="AR31" s="98"/>
      <c r="AS31" s="98"/>
      <c r="AV31" s="104">
        <v>1</v>
      </c>
      <c r="AW31" s="104" t="s">
        <v>21</v>
      </c>
      <c r="AX31" s="131">
        <v>0</v>
      </c>
      <c r="AY31" s="131">
        <v>0</v>
      </c>
      <c r="AZ31" s="131">
        <v>0</v>
      </c>
      <c r="BA31" s="131">
        <v>0</v>
      </c>
      <c r="BB31" s="131">
        <v>0</v>
      </c>
      <c r="BC31" s="131">
        <v>0</v>
      </c>
      <c r="BD31" s="131">
        <v>0</v>
      </c>
      <c r="BE31" s="131">
        <v>0</v>
      </c>
      <c r="BF31" s="131">
        <v>0</v>
      </c>
      <c r="BG31" s="131">
        <v>0</v>
      </c>
      <c r="BH31" s="131">
        <v>0</v>
      </c>
      <c r="BI31" s="131">
        <v>0</v>
      </c>
      <c r="BJ31" s="104">
        <v>1</v>
      </c>
      <c r="BK31" s="104" t="s">
        <v>21</v>
      </c>
      <c r="BL31" s="131">
        <v>10.659000000000001</v>
      </c>
      <c r="BM31" s="131">
        <v>8.5579999999999998</v>
      </c>
      <c r="BN31" s="131">
        <v>11.561</v>
      </c>
      <c r="BO31" s="131">
        <v>12.606</v>
      </c>
      <c r="BP31" s="131">
        <v>15.059000000000001</v>
      </c>
      <c r="BQ31" s="131">
        <v>19.25</v>
      </c>
      <c r="BR31" s="131">
        <v>20.581000000000003</v>
      </c>
      <c r="BS31" s="131">
        <v>25.223000000000003</v>
      </c>
      <c r="BT31" s="131">
        <v>34.474000000000004</v>
      </c>
      <c r="BU31" s="131">
        <v>32.813000000000002</v>
      </c>
      <c r="BV31" s="131">
        <v>28.952000000000002</v>
      </c>
      <c r="BW31" s="131">
        <v>16.412000000000003</v>
      </c>
      <c r="BX31" s="104">
        <f t="shared" ref="BX31:CK43" si="1">Q108</f>
        <v>1</v>
      </c>
      <c r="BY31" s="97" t="str">
        <f t="shared" si="1"/>
        <v>YUK SAKARYA SULAMA</v>
      </c>
      <c r="BZ31" s="119">
        <f t="shared" si="1"/>
        <v>9.5609999999999999</v>
      </c>
      <c r="CA31" s="119">
        <f t="shared" si="1"/>
        <v>7.7710000000000008</v>
      </c>
      <c r="CB31" s="119">
        <f t="shared" si="1"/>
        <v>10.510000000000002</v>
      </c>
      <c r="CC31" s="119">
        <f t="shared" si="1"/>
        <v>11.46</v>
      </c>
      <c r="CD31" s="119">
        <f t="shared" si="1"/>
        <v>13.69</v>
      </c>
      <c r="CE31" s="119">
        <f t="shared" si="1"/>
        <v>17.5</v>
      </c>
      <c r="CF31" s="119">
        <f t="shared" si="1"/>
        <v>18.707000000000001</v>
      </c>
      <c r="CG31" s="119">
        <f t="shared" si="1"/>
        <v>22.132000000000005</v>
      </c>
      <c r="CH31" s="119">
        <f t="shared" si="1"/>
        <v>30.107000000000006</v>
      </c>
      <c r="CI31" s="119">
        <f t="shared" si="1"/>
        <v>28.796499999999995</v>
      </c>
      <c r="CJ31" s="119">
        <f t="shared" si="1"/>
        <v>25.425999999999998</v>
      </c>
      <c r="CK31" s="119">
        <f t="shared" si="1"/>
        <v>14.506000000000004</v>
      </c>
      <c r="CL31" s="104">
        <v>1</v>
      </c>
      <c r="CM31" s="104" t="s">
        <v>21</v>
      </c>
      <c r="CN31" s="131">
        <v>34.474000000000004</v>
      </c>
      <c r="CO31" s="131">
        <v>34.474000000000004</v>
      </c>
      <c r="CP31" s="131">
        <v>34.474000000000004</v>
      </c>
      <c r="CQ31" s="131">
        <v>34.474000000000004</v>
      </c>
      <c r="CR31" s="131">
        <v>34.474000000000004</v>
      </c>
      <c r="CS31" s="131">
        <v>34.474000000000004</v>
      </c>
      <c r="CT31" s="131">
        <v>34.474000000000004</v>
      </c>
      <c r="CU31" s="131">
        <v>34.474000000000004</v>
      </c>
      <c r="CV31" s="131">
        <v>34.474000000000004</v>
      </c>
      <c r="CW31" s="131">
        <v>34.474000000000004</v>
      </c>
      <c r="CX31" s="131">
        <v>34.474000000000004</v>
      </c>
      <c r="CY31" s="131">
        <v>34.474000000000004</v>
      </c>
    </row>
    <row r="32" spans="1:103" ht="12" customHeight="1" x14ac:dyDescent="0.2">
      <c r="B32" s="100" t="s">
        <v>55</v>
      </c>
      <c r="C32" s="114">
        <v>-1</v>
      </c>
      <c r="R32" s="100" t="s">
        <v>148</v>
      </c>
      <c r="S32" s="115"/>
      <c r="T32" s="115"/>
      <c r="U32" s="115"/>
      <c r="V32" s="115" t="s">
        <v>145</v>
      </c>
      <c r="W32" s="115"/>
      <c r="X32" s="115"/>
      <c r="Y32" s="115"/>
      <c r="Z32" s="115"/>
      <c r="AA32" s="115"/>
      <c r="AB32" s="115"/>
      <c r="AC32" s="115"/>
      <c r="AD32" s="115"/>
      <c r="AG32" s="116" t="s">
        <v>52</v>
      </c>
      <c r="AH32" s="103" t="s">
        <v>39</v>
      </c>
      <c r="AI32" s="103" t="s">
        <v>40</v>
      </c>
      <c r="AJ32" s="103" t="s">
        <v>41</v>
      </c>
      <c r="AK32" s="103" t="s">
        <v>42</v>
      </c>
      <c r="AL32" s="103" t="s">
        <v>43</v>
      </c>
      <c r="AM32" s="103" t="s">
        <v>44</v>
      </c>
      <c r="AN32" s="103" t="s">
        <v>45</v>
      </c>
      <c r="AO32" s="103" t="s">
        <v>46</v>
      </c>
      <c r="AP32" s="103" t="s">
        <v>47</v>
      </c>
      <c r="AQ32" s="103" t="s">
        <v>48</v>
      </c>
      <c r="AR32" s="103" t="s">
        <v>49</v>
      </c>
      <c r="AS32" s="103" t="s">
        <v>50</v>
      </c>
      <c r="AT32" s="103" t="s">
        <v>51</v>
      </c>
      <c r="AV32" s="104">
        <v>2</v>
      </c>
      <c r="AW32" s="104" t="s">
        <v>22</v>
      </c>
      <c r="AX32" s="131">
        <v>0</v>
      </c>
      <c r="AY32" s="131">
        <v>0</v>
      </c>
      <c r="AZ32" s="131">
        <v>0</v>
      </c>
      <c r="BA32" s="131">
        <v>0</v>
      </c>
      <c r="BB32" s="131">
        <v>0</v>
      </c>
      <c r="BC32" s="131">
        <v>0</v>
      </c>
      <c r="BD32" s="131">
        <v>0</v>
      </c>
      <c r="BE32" s="131">
        <v>0</v>
      </c>
      <c r="BF32" s="131">
        <v>0</v>
      </c>
      <c r="BG32" s="131">
        <v>0</v>
      </c>
      <c r="BH32" s="131">
        <v>0</v>
      </c>
      <c r="BI32" s="131">
        <v>0</v>
      </c>
      <c r="BJ32" s="104">
        <v>2</v>
      </c>
      <c r="BK32" s="104" t="s">
        <v>22</v>
      </c>
      <c r="BL32" s="131">
        <v>10.66628448585174</v>
      </c>
      <c r="BM32" s="131">
        <v>9.9244586712212453</v>
      </c>
      <c r="BN32" s="131">
        <v>12.137678578887099</v>
      </c>
      <c r="BO32" s="131">
        <v>14.087079425455281</v>
      </c>
      <c r="BP32" s="131">
        <v>17.567860496120325</v>
      </c>
      <c r="BQ32" s="131">
        <v>22.462941614765846</v>
      </c>
      <c r="BR32" s="131">
        <v>22.698223653135496</v>
      </c>
      <c r="BS32" s="131">
        <v>18.429976256238469</v>
      </c>
      <c r="BT32" s="131">
        <v>14.792053217268395</v>
      </c>
      <c r="BU32" s="131">
        <v>15.53260655954891</v>
      </c>
      <c r="BV32" s="131">
        <v>14.300742999344502</v>
      </c>
      <c r="BW32" s="131">
        <v>11.909314203570036</v>
      </c>
      <c r="BX32" s="104">
        <f t="shared" si="1"/>
        <v>2</v>
      </c>
      <c r="BY32" s="97" t="str">
        <f t="shared" si="1"/>
        <v>PORSUK SULAMA</v>
      </c>
      <c r="BZ32" s="119">
        <f t="shared" si="1"/>
        <v>9.3497543294040106</v>
      </c>
      <c r="CA32" s="119">
        <f t="shared" si="1"/>
        <v>8.7096528659775778</v>
      </c>
      <c r="CB32" s="119">
        <f t="shared" si="1"/>
        <v>10.636225968380542</v>
      </c>
      <c r="CC32" s="119">
        <f t="shared" si="1"/>
        <v>12.338407558064466</v>
      </c>
      <c r="CD32" s="119">
        <f t="shared" si="1"/>
        <v>15.380904851034181</v>
      </c>
      <c r="CE32" s="119">
        <f t="shared" si="1"/>
        <v>19.657145631617592</v>
      </c>
      <c r="CF32" s="119">
        <f t="shared" si="1"/>
        <v>19.885471684330447</v>
      </c>
      <c r="CG32" s="119">
        <f t="shared" si="1"/>
        <v>16.143351496188902</v>
      </c>
      <c r="CH32" s="119">
        <f t="shared" si="1"/>
        <v>12.787784184275345</v>
      </c>
      <c r="CI32" s="119">
        <f t="shared" si="1"/>
        <v>13.137176806164728</v>
      </c>
      <c r="CJ32" s="119">
        <f t="shared" si="1"/>
        <v>12.11176299494976</v>
      </c>
      <c r="CK32" s="119">
        <f t="shared" si="1"/>
        <v>10.271551530454929</v>
      </c>
      <c r="CL32" s="104">
        <v>2</v>
      </c>
      <c r="CM32" s="104" t="s">
        <v>22</v>
      </c>
      <c r="CN32" s="131">
        <v>22.698223653135496</v>
      </c>
      <c r="CO32" s="131">
        <v>22.698223653135496</v>
      </c>
      <c r="CP32" s="131">
        <v>22.698223653135496</v>
      </c>
      <c r="CQ32" s="131">
        <v>22.698223653135496</v>
      </c>
      <c r="CR32" s="131">
        <v>22.698223653135496</v>
      </c>
      <c r="CS32" s="131">
        <v>22.698223653135496</v>
      </c>
      <c r="CT32" s="131">
        <v>22.698223653135496</v>
      </c>
      <c r="CU32" s="131">
        <v>22.698223653135496</v>
      </c>
      <c r="CV32" s="131">
        <v>22.698223653135496</v>
      </c>
      <c r="CW32" s="131">
        <v>22.698223653135496</v>
      </c>
      <c r="CX32" s="131">
        <v>22.698223653135496</v>
      </c>
      <c r="CY32" s="131">
        <v>22.698223653135496</v>
      </c>
    </row>
    <row r="33" spans="1:103" ht="12" customHeight="1" x14ac:dyDescent="0.2">
      <c r="A33" s="104">
        <v>1</v>
      </c>
      <c r="B33" s="104" t="s">
        <v>21</v>
      </c>
      <c r="C33" s="105">
        <v>0</v>
      </c>
      <c r="D33" s="105">
        <v>0</v>
      </c>
      <c r="E33" s="105">
        <v>0</v>
      </c>
      <c r="F33" s="105">
        <v>0</v>
      </c>
      <c r="G33" s="105">
        <v>0</v>
      </c>
      <c r="H33" s="105">
        <v>0</v>
      </c>
      <c r="I33" s="105">
        <v>0</v>
      </c>
      <c r="J33" s="105">
        <v>0</v>
      </c>
      <c r="K33" s="105">
        <v>0</v>
      </c>
      <c r="L33" s="105">
        <v>0</v>
      </c>
      <c r="M33" s="105">
        <v>0</v>
      </c>
      <c r="N33" s="105">
        <v>0</v>
      </c>
      <c r="O33" s="105">
        <v>0</v>
      </c>
      <c r="Q33" s="104">
        <v>1</v>
      </c>
      <c r="R33" s="97" t="s">
        <v>21</v>
      </c>
      <c r="S33" s="120">
        <f t="array" ref="S33:AD45">MMULT(C33:O45,(S63:AD75-C48:N60-S123:AD135))</f>
        <v>0</v>
      </c>
      <c r="T33" s="120">
        <v>0</v>
      </c>
      <c r="U33" s="120">
        <v>0</v>
      </c>
      <c r="V33" s="120">
        <v>0</v>
      </c>
      <c r="W33" s="120">
        <v>0</v>
      </c>
      <c r="X33" s="120">
        <v>0</v>
      </c>
      <c r="Y33" s="120">
        <v>0</v>
      </c>
      <c r="Z33" s="120">
        <v>0</v>
      </c>
      <c r="AA33" s="120">
        <v>0</v>
      </c>
      <c r="AB33" s="120">
        <v>0</v>
      </c>
      <c r="AC33" s="120">
        <v>0</v>
      </c>
      <c r="AD33" s="120">
        <v>0</v>
      </c>
      <c r="AF33" s="104">
        <v>1</v>
      </c>
      <c r="AG33" s="97" t="s">
        <v>21</v>
      </c>
      <c r="AH33" s="120">
        <v>0</v>
      </c>
      <c r="AI33" s="120">
        <f t="array" ref="AI33:AT45">S33:AD45</f>
        <v>0</v>
      </c>
      <c r="AJ33" s="120">
        <v>0</v>
      </c>
      <c r="AK33" s="120">
        <v>0</v>
      </c>
      <c r="AL33" s="120">
        <v>0</v>
      </c>
      <c r="AM33" s="120">
        <v>0</v>
      </c>
      <c r="AN33" s="120">
        <v>0</v>
      </c>
      <c r="AO33" s="120">
        <v>0</v>
      </c>
      <c r="AP33" s="120">
        <v>0</v>
      </c>
      <c r="AQ33" s="120">
        <v>0</v>
      </c>
      <c r="AR33" s="120">
        <v>0</v>
      </c>
      <c r="AS33" s="120">
        <v>0</v>
      </c>
      <c r="AT33" s="120">
        <v>0</v>
      </c>
      <c r="AV33" s="104">
        <v>3</v>
      </c>
      <c r="AW33" s="104" t="s">
        <v>17</v>
      </c>
      <c r="AX33" s="131">
        <v>0</v>
      </c>
      <c r="AY33" s="131">
        <v>0</v>
      </c>
      <c r="AZ33" s="131">
        <v>0</v>
      </c>
      <c r="BA33" s="131">
        <v>0</v>
      </c>
      <c r="BB33" s="131">
        <v>0</v>
      </c>
      <c r="BC33" s="131">
        <v>0</v>
      </c>
      <c r="BD33" s="131">
        <v>0</v>
      </c>
      <c r="BE33" s="131">
        <v>0</v>
      </c>
      <c r="BF33" s="131">
        <v>0</v>
      </c>
      <c r="BG33" s="131">
        <v>0</v>
      </c>
      <c r="BH33" s="131">
        <v>0</v>
      </c>
      <c r="BI33" s="131">
        <v>0</v>
      </c>
      <c r="BJ33" s="104">
        <v>3</v>
      </c>
      <c r="BK33" s="104" t="s">
        <v>17</v>
      </c>
      <c r="BL33" s="131">
        <v>1.551836043488372</v>
      </c>
      <c r="BM33" s="131">
        <v>4.6688297674418615E-2</v>
      </c>
      <c r="BN33" s="131">
        <v>0</v>
      </c>
      <c r="BO33" s="131">
        <v>0</v>
      </c>
      <c r="BP33" s="131">
        <v>0</v>
      </c>
      <c r="BQ33" s="131">
        <v>0</v>
      </c>
      <c r="BR33" s="131">
        <v>0</v>
      </c>
      <c r="BS33" s="131">
        <v>12.499426957906978</v>
      </c>
      <c r="BT33" s="131">
        <v>19.377374269767444</v>
      </c>
      <c r="BU33" s="131">
        <v>19.943389538139535</v>
      </c>
      <c r="BV33" s="131">
        <v>16.643196222093025</v>
      </c>
      <c r="BW33" s="131">
        <v>6.1262242083720935</v>
      </c>
      <c r="BX33" s="104">
        <f t="shared" si="1"/>
        <v>3</v>
      </c>
      <c r="BY33" s="97" t="str">
        <f t="shared" si="1"/>
        <v>ANKARA SULAMA</v>
      </c>
      <c r="BZ33" s="119">
        <f t="shared" si="1"/>
        <v>1.3402220375581386</v>
      </c>
      <c r="CA33" s="119">
        <f t="shared" si="1"/>
        <v>4.032171162790732E-2</v>
      </c>
      <c r="CB33" s="119">
        <f t="shared" si="1"/>
        <v>0</v>
      </c>
      <c r="CC33" s="119">
        <f t="shared" si="1"/>
        <v>0</v>
      </c>
      <c r="CD33" s="119">
        <f t="shared" si="1"/>
        <v>0</v>
      </c>
      <c r="CE33" s="119">
        <f t="shared" si="1"/>
        <v>0</v>
      </c>
      <c r="CF33" s="119">
        <f t="shared" si="1"/>
        <v>0</v>
      </c>
      <c r="CG33" s="119">
        <f t="shared" si="1"/>
        <v>10.794959645465118</v>
      </c>
      <c r="CH33" s="119">
        <f t="shared" si="1"/>
        <v>16.735005051162787</v>
      </c>
      <c r="CI33" s="119">
        <f t="shared" si="1"/>
        <v>17.223836419302327</v>
      </c>
      <c r="CJ33" s="119">
        <f t="shared" si="1"/>
        <v>14.373669464534881</v>
      </c>
      <c r="CK33" s="119">
        <f t="shared" si="1"/>
        <v>5.2908299981395324</v>
      </c>
      <c r="CL33" s="104">
        <v>3</v>
      </c>
      <c r="CM33" s="104" t="s">
        <v>17</v>
      </c>
      <c r="CN33" s="131">
        <v>19.943389538139535</v>
      </c>
      <c r="CO33" s="131">
        <v>19.943389538139535</v>
      </c>
      <c r="CP33" s="131">
        <v>19.943389538139535</v>
      </c>
      <c r="CQ33" s="131">
        <v>19.943389538139535</v>
      </c>
      <c r="CR33" s="131">
        <v>19.943389538139535</v>
      </c>
      <c r="CS33" s="131">
        <v>19.943389538139535</v>
      </c>
      <c r="CT33" s="131">
        <v>19.943389538139535</v>
      </c>
      <c r="CU33" s="131">
        <v>19.943389538139535</v>
      </c>
      <c r="CV33" s="131">
        <v>19.943389538139535</v>
      </c>
      <c r="CW33" s="131">
        <v>19.943389538139535</v>
      </c>
      <c r="CX33" s="131">
        <v>19.943389538139535</v>
      </c>
      <c r="CY33" s="131">
        <v>19.943389538139535</v>
      </c>
    </row>
    <row r="34" spans="1:103" ht="12" customHeight="1" x14ac:dyDescent="0.2">
      <c r="A34" s="104">
        <v>2</v>
      </c>
      <c r="B34" s="104" t="s">
        <v>22</v>
      </c>
      <c r="C34" s="105">
        <v>0</v>
      </c>
      <c r="D34" s="105">
        <v>0</v>
      </c>
      <c r="E34" s="105">
        <v>0</v>
      </c>
      <c r="F34" s="105">
        <v>0</v>
      </c>
      <c r="G34" s="105">
        <v>0</v>
      </c>
      <c r="H34" s="105">
        <v>0</v>
      </c>
      <c r="I34" s="105">
        <v>0</v>
      </c>
      <c r="J34" s="105">
        <v>0</v>
      </c>
      <c r="K34" s="105">
        <v>0</v>
      </c>
      <c r="L34" s="105">
        <v>0</v>
      </c>
      <c r="M34" s="105">
        <v>0</v>
      </c>
      <c r="N34" s="105">
        <v>0</v>
      </c>
      <c r="O34" s="105">
        <v>0</v>
      </c>
      <c r="Q34" s="104">
        <v>2</v>
      </c>
      <c r="R34" s="97" t="s">
        <v>22</v>
      </c>
      <c r="S34" s="120">
        <v>0</v>
      </c>
      <c r="T34" s="120">
        <v>0</v>
      </c>
      <c r="U34" s="120">
        <v>0</v>
      </c>
      <c r="V34" s="120">
        <v>0</v>
      </c>
      <c r="W34" s="120">
        <v>0</v>
      </c>
      <c r="X34" s="120">
        <v>0</v>
      </c>
      <c r="Y34" s="120">
        <v>0</v>
      </c>
      <c r="Z34" s="120">
        <v>0</v>
      </c>
      <c r="AA34" s="120">
        <v>0</v>
      </c>
      <c r="AB34" s="120">
        <v>0</v>
      </c>
      <c r="AC34" s="120">
        <v>0</v>
      </c>
      <c r="AD34" s="120">
        <v>0</v>
      </c>
      <c r="AF34" s="104">
        <v>2</v>
      </c>
      <c r="AG34" s="97" t="s">
        <v>22</v>
      </c>
      <c r="AH34" s="120">
        <v>0</v>
      </c>
      <c r="AI34" s="120">
        <v>0</v>
      </c>
      <c r="AJ34" s="120">
        <v>0</v>
      </c>
      <c r="AK34" s="120">
        <v>0</v>
      </c>
      <c r="AL34" s="120">
        <v>0</v>
      </c>
      <c r="AM34" s="120">
        <v>0</v>
      </c>
      <c r="AN34" s="120">
        <v>0</v>
      </c>
      <c r="AO34" s="120">
        <v>0</v>
      </c>
      <c r="AP34" s="120">
        <v>0</v>
      </c>
      <c r="AQ34" s="120">
        <v>0</v>
      </c>
      <c r="AR34" s="120">
        <v>0</v>
      </c>
      <c r="AS34" s="120">
        <v>0</v>
      </c>
      <c r="AT34" s="120">
        <v>0</v>
      </c>
      <c r="AV34" s="108">
        <v>4</v>
      </c>
      <c r="AW34" s="108" t="s">
        <v>0</v>
      </c>
      <c r="AX34" s="132">
        <v>0</v>
      </c>
      <c r="AY34" s="132">
        <v>0</v>
      </c>
      <c r="AZ34" s="132">
        <v>0</v>
      </c>
      <c r="BA34" s="132">
        <v>0</v>
      </c>
      <c r="BB34" s="132">
        <v>0</v>
      </c>
      <c r="BC34" s="132">
        <v>0</v>
      </c>
      <c r="BD34" s="132">
        <v>0</v>
      </c>
      <c r="BE34" s="132">
        <v>0</v>
      </c>
      <c r="BF34" s="132">
        <v>0</v>
      </c>
      <c r="BG34" s="132">
        <v>0</v>
      </c>
      <c r="BH34" s="132">
        <v>0</v>
      </c>
      <c r="BI34" s="132">
        <v>0</v>
      </c>
      <c r="BJ34" s="108">
        <v>4</v>
      </c>
      <c r="BK34" s="108" t="s">
        <v>0</v>
      </c>
      <c r="BL34" s="132">
        <v>0</v>
      </c>
      <c r="BM34" s="132">
        <v>0</v>
      </c>
      <c r="BN34" s="132">
        <v>0</v>
      </c>
      <c r="BO34" s="132">
        <v>0</v>
      </c>
      <c r="BP34" s="132">
        <v>0</v>
      </c>
      <c r="BQ34" s="132">
        <v>0</v>
      </c>
      <c r="BR34" s="132">
        <v>0</v>
      </c>
      <c r="BS34" s="132">
        <v>0</v>
      </c>
      <c r="BT34" s="132">
        <v>0</v>
      </c>
      <c r="BU34" s="132">
        <v>0</v>
      </c>
      <c r="BV34" s="132">
        <v>0</v>
      </c>
      <c r="BW34" s="132">
        <v>0</v>
      </c>
      <c r="BX34" s="108">
        <f t="shared" si="1"/>
        <v>4</v>
      </c>
      <c r="BY34" s="109" t="str">
        <f t="shared" si="1"/>
        <v>GURSOGUT</v>
      </c>
      <c r="BZ34" s="132">
        <f t="shared" si="1"/>
        <v>0</v>
      </c>
      <c r="CA34" s="132">
        <f t="shared" si="1"/>
        <v>0</v>
      </c>
      <c r="CB34" s="132">
        <f t="shared" si="1"/>
        <v>0</v>
      </c>
      <c r="CC34" s="132">
        <f t="shared" si="1"/>
        <v>0</v>
      </c>
      <c r="CD34" s="132">
        <f t="shared" si="1"/>
        <v>0</v>
      </c>
      <c r="CE34" s="132">
        <f t="shared" si="1"/>
        <v>0</v>
      </c>
      <c r="CF34" s="132">
        <f t="shared" si="1"/>
        <v>0</v>
      </c>
      <c r="CG34" s="132">
        <f t="shared" si="1"/>
        <v>0</v>
      </c>
      <c r="CH34" s="132">
        <f t="shared" si="1"/>
        <v>0</v>
      </c>
      <c r="CI34" s="132">
        <f t="shared" si="1"/>
        <v>0</v>
      </c>
      <c r="CJ34" s="132">
        <f t="shared" si="1"/>
        <v>0</v>
      </c>
      <c r="CK34" s="132">
        <f t="shared" si="1"/>
        <v>0</v>
      </c>
      <c r="CL34" s="108">
        <v>4</v>
      </c>
      <c r="CM34" s="108" t="s">
        <v>0</v>
      </c>
      <c r="CN34" s="132">
        <v>0</v>
      </c>
      <c r="CO34" s="132">
        <v>0</v>
      </c>
      <c r="CP34" s="132">
        <v>0</v>
      </c>
      <c r="CQ34" s="132">
        <v>0</v>
      </c>
      <c r="CR34" s="132">
        <v>0</v>
      </c>
      <c r="CS34" s="132">
        <v>0</v>
      </c>
      <c r="CT34" s="132">
        <v>0</v>
      </c>
      <c r="CU34" s="132">
        <v>0</v>
      </c>
      <c r="CV34" s="132">
        <v>0</v>
      </c>
      <c r="CW34" s="132">
        <v>0</v>
      </c>
      <c r="CX34" s="132">
        <v>0</v>
      </c>
      <c r="CY34" s="132">
        <v>0</v>
      </c>
    </row>
    <row r="35" spans="1:103" ht="12" customHeight="1" x14ac:dyDescent="0.2">
      <c r="A35" s="104">
        <v>3</v>
      </c>
      <c r="B35" s="104" t="s">
        <v>17</v>
      </c>
      <c r="C35" s="105">
        <v>0</v>
      </c>
      <c r="D35" s="105">
        <v>0</v>
      </c>
      <c r="E35" s="105">
        <v>0</v>
      </c>
      <c r="F35" s="105">
        <v>0</v>
      </c>
      <c r="G35" s="105">
        <v>0</v>
      </c>
      <c r="H35" s="105">
        <v>0</v>
      </c>
      <c r="I35" s="105">
        <v>0</v>
      </c>
      <c r="J35" s="105">
        <v>0</v>
      </c>
      <c r="K35" s="105">
        <v>0</v>
      </c>
      <c r="L35" s="105">
        <v>0</v>
      </c>
      <c r="M35" s="105">
        <v>0</v>
      </c>
      <c r="N35" s="105">
        <v>0</v>
      </c>
      <c r="O35" s="105">
        <v>0</v>
      </c>
      <c r="Q35" s="104">
        <v>3</v>
      </c>
      <c r="R35" s="97" t="s">
        <v>17</v>
      </c>
      <c r="S35" s="120">
        <v>0</v>
      </c>
      <c r="T35" s="120">
        <v>0</v>
      </c>
      <c r="U35" s="120">
        <v>0</v>
      </c>
      <c r="V35" s="120">
        <v>0</v>
      </c>
      <c r="W35" s="120">
        <v>0</v>
      </c>
      <c r="X35" s="120">
        <v>0</v>
      </c>
      <c r="Y35" s="120">
        <v>0</v>
      </c>
      <c r="Z35" s="120">
        <v>0</v>
      </c>
      <c r="AA35" s="120">
        <v>0</v>
      </c>
      <c r="AB35" s="120">
        <v>0</v>
      </c>
      <c r="AC35" s="120">
        <v>0</v>
      </c>
      <c r="AD35" s="120">
        <v>0</v>
      </c>
      <c r="AF35" s="104">
        <v>3</v>
      </c>
      <c r="AG35" s="97" t="s">
        <v>17</v>
      </c>
      <c r="AH35" s="120">
        <v>0</v>
      </c>
      <c r="AI35" s="120">
        <v>0</v>
      </c>
      <c r="AJ35" s="120">
        <v>0</v>
      </c>
      <c r="AK35" s="120">
        <v>0</v>
      </c>
      <c r="AL35" s="120">
        <v>0</v>
      </c>
      <c r="AM35" s="120">
        <v>0</v>
      </c>
      <c r="AN35" s="120">
        <v>0</v>
      </c>
      <c r="AO35" s="120">
        <v>0</v>
      </c>
      <c r="AP35" s="120">
        <v>0</v>
      </c>
      <c r="AQ35" s="120">
        <v>0</v>
      </c>
      <c r="AR35" s="120">
        <v>0</v>
      </c>
      <c r="AS35" s="120">
        <v>0</v>
      </c>
      <c r="AT35" s="120">
        <v>0</v>
      </c>
      <c r="AV35" s="108">
        <v>5</v>
      </c>
      <c r="AW35" s="108" t="s">
        <v>16</v>
      </c>
      <c r="AX35" s="132">
        <v>0</v>
      </c>
      <c r="AY35" s="132">
        <v>0</v>
      </c>
      <c r="AZ35" s="132">
        <v>0</v>
      </c>
      <c r="BA35" s="132">
        <v>0</v>
      </c>
      <c r="BB35" s="132">
        <v>0</v>
      </c>
      <c r="BC35" s="132">
        <v>0</v>
      </c>
      <c r="BD35" s="132">
        <v>0</v>
      </c>
      <c r="BE35" s="132">
        <v>0</v>
      </c>
      <c r="BF35" s="132">
        <v>0</v>
      </c>
      <c r="BG35" s="132">
        <v>0</v>
      </c>
      <c r="BH35" s="132">
        <v>0</v>
      </c>
      <c r="BI35" s="132">
        <v>0</v>
      </c>
      <c r="BJ35" s="108">
        <v>5</v>
      </c>
      <c r="BK35" s="108" t="s">
        <v>16</v>
      </c>
      <c r="BL35" s="132">
        <v>0</v>
      </c>
      <c r="BM35" s="132">
        <v>0</v>
      </c>
      <c r="BN35" s="132">
        <v>0</v>
      </c>
      <c r="BO35" s="132">
        <v>0</v>
      </c>
      <c r="BP35" s="132">
        <v>0</v>
      </c>
      <c r="BQ35" s="132">
        <v>0</v>
      </c>
      <c r="BR35" s="132">
        <v>0</v>
      </c>
      <c r="BS35" s="132">
        <v>0</v>
      </c>
      <c r="BT35" s="132">
        <v>0</v>
      </c>
      <c r="BU35" s="132">
        <v>0</v>
      </c>
      <c r="BV35" s="132">
        <v>0</v>
      </c>
      <c r="BW35" s="132">
        <v>0</v>
      </c>
      <c r="BX35" s="108">
        <f t="shared" si="1"/>
        <v>5</v>
      </c>
      <c r="BY35" s="109" t="str">
        <f t="shared" si="1"/>
        <v>KARGI</v>
      </c>
      <c r="BZ35" s="132">
        <f t="shared" si="1"/>
        <v>0</v>
      </c>
      <c r="CA35" s="132">
        <f t="shared" si="1"/>
        <v>0</v>
      </c>
      <c r="CB35" s="132">
        <f t="shared" si="1"/>
        <v>0</v>
      </c>
      <c r="CC35" s="132">
        <f t="shared" si="1"/>
        <v>0</v>
      </c>
      <c r="CD35" s="132">
        <f t="shared" si="1"/>
        <v>0</v>
      </c>
      <c r="CE35" s="132">
        <f t="shared" si="1"/>
        <v>0</v>
      </c>
      <c r="CF35" s="132">
        <f t="shared" si="1"/>
        <v>0</v>
      </c>
      <c r="CG35" s="132">
        <f t="shared" si="1"/>
        <v>0</v>
      </c>
      <c r="CH35" s="132">
        <f t="shared" si="1"/>
        <v>0</v>
      </c>
      <c r="CI35" s="132">
        <f t="shared" si="1"/>
        <v>0</v>
      </c>
      <c r="CJ35" s="132">
        <f t="shared" si="1"/>
        <v>0</v>
      </c>
      <c r="CK35" s="132">
        <f t="shared" si="1"/>
        <v>0</v>
      </c>
      <c r="CL35" s="108">
        <v>5</v>
      </c>
      <c r="CM35" s="108" t="s">
        <v>16</v>
      </c>
      <c r="CN35" s="132">
        <v>0</v>
      </c>
      <c r="CO35" s="132">
        <v>0</v>
      </c>
      <c r="CP35" s="132">
        <v>0</v>
      </c>
      <c r="CQ35" s="132">
        <v>0</v>
      </c>
      <c r="CR35" s="132">
        <v>0</v>
      </c>
      <c r="CS35" s="132">
        <v>0</v>
      </c>
      <c r="CT35" s="132">
        <v>0</v>
      </c>
      <c r="CU35" s="132">
        <v>0</v>
      </c>
      <c r="CV35" s="132">
        <v>0</v>
      </c>
      <c r="CW35" s="132">
        <v>0</v>
      </c>
      <c r="CX35" s="132">
        <v>0</v>
      </c>
      <c r="CY35" s="132">
        <v>0</v>
      </c>
    </row>
    <row r="36" spans="1:103" ht="12" customHeight="1" x14ac:dyDescent="0.2">
      <c r="A36" s="108">
        <v>4</v>
      </c>
      <c r="B36" s="108" t="s">
        <v>0</v>
      </c>
      <c r="C36" s="105">
        <v>0</v>
      </c>
      <c r="D36" s="105">
        <v>0</v>
      </c>
      <c r="E36" s="105">
        <v>0</v>
      </c>
      <c r="F36" s="105">
        <v>1</v>
      </c>
      <c r="G36" s="105">
        <v>0</v>
      </c>
      <c r="H36" s="105">
        <v>0</v>
      </c>
      <c r="I36" s="105">
        <v>0</v>
      </c>
      <c r="J36" s="105">
        <v>0</v>
      </c>
      <c r="K36" s="105">
        <v>0</v>
      </c>
      <c r="L36" s="105">
        <v>0</v>
      </c>
      <c r="M36" s="105">
        <v>0</v>
      </c>
      <c r="N36" s="105">
        <v>0</v>
      </c>
      <c r="O36" s="105">
        <v>0</v>
      </c>
      <c r="Q36" s="108">
        <v>4</v>
      </c>
      <c r="R36" s="109" t="s">
        <v>0</v>
      </c>
      <c r="S36" s="121">
        <v>7.749531998084624</v>
      </c>
      <c r="T36" s="121">
        <v>4.0808324785072188</v>
      </c>
      <c r="U36" s="121">
        <v>-0.88261359223274383</v>
      </c>
      <c r="V36" s="121">
        <v>-2.4277260875394404</v>
      </c>
      <c r="W36" s="121">
        <v>-6.5530191846573302</v>
      </c>
      <c r="X36" s="121">
        <v>-8.4456596193895734</v>
      </c>
      <c r="Y36" s="121">
        <v>-4.8848344642919876</v>
      </c>
      <c r="Z36" s="121">
        <v>11.738760512098994</v>
      </c>
      <c r="AA36" s="121">
        <v>22.833955598631828</v>
      </c>
      <c r="AB36" s="121">
        <v>18.000836025013086</v>
      </c>
      <c r="AC36" s="121">
        <v>11.112617100066277</v>
      </c>
      <c r="AD36" s="121">
        <v>10.903759958978563</v>
      </c>
      <c r="AF36" s="108">
        <v>4</v>
      </c>
      <c r="AG36" s="109" t="s">
        <v>0</v>
      </c>
      <c r="AH36" s="121">
        <v>1006.7536902317303</v>
      </c>
      <c r="AI36" s="121">
        <v>7.749531998084624</v>
      </c>
      <c r="AJ36" s="121">
        <v>4.0808324785072188</v>
      </c>
      <c r="AK36" s="121">
        <v>-0.88261359223274383</v>
      </c>
      <c r="AL36" s="121">
        <v>-2.4277260875394404</v>
      </c>
      <c r="AM36" s="121">
        <v>-6.5530191846573302</v>
      </c>
      <c r="AN36" s="121">
        <v>-8.4456596193895734</v>
      </c>
      <c r="AO36" s="121">
        <v>-4.8848344642919876</v>
      </c>
      <c r="AP36" s="121">
        <v>11.738760512098994</v>
      </c>
      <c r="AQ36" s="121">
        <v>22.833955598631828</v>
      </c>
      <c r="AR36" s="121">
        <v>18.000836025013086</v>
      </c>
      <c r="AS36" s="121">
        <v>11.112617100066277</v>
      </c>
      <c r="AT36" s="121">
        <v>10.903759958978563</v>
      </c>
      <c r="AV36" s="104">
        <v>6</v>
      </c>
      <c r="AW36" s="104" t="s">
        <v>18</v>
      </c>
      <c r="AX36" s="131">
        <v>0</v>
      </c>
      <c r="AY36" s="131">
        <v>0</v>
      </c>
      <c r="AZ36" s="131">
        <v>0</v>
      </c>
      <c r="BA36" s="131">
        <v>0</v>
      </c>
      <c r="BB36" s="131">
        <v>0</v>
      </c>
      <c r="BC36" s="131">
        <v>0</v>
      </c>
      <c r="BD36" s="131">
        <v>0</v>
      </c>
      <c r="BE36" s="131">
        <v>0</v>
      </c>
      <c r="BF36" s="131">
        <v>0</v>
      </c>
      <c r="BG36" s="131">
        <v>0</v>
      </c>
      <c r="BH36" s="131">
        <v>0</v>
      </c>
      <c r="BI36" s="131">
        <v>0</v>
      </c>
      <c r="BJ36" s="104">
        <v>6</v>
      </c>
      <c r="BK36" s="104" t="s">
        <v>18</v>
      </c>
      <c r="BL36" s="131">
        <v>1.1538115471723926</v>
      </c>
      <c r="BM36" s="131">
        <v>1.4421060223439788</v>
      </c>
      <c r="BN36" s="131">
        <v>3.4190494281611801</v>
      </c>
      <c r="BO36" s="131">
        <v>3.484537856679232</v>
      </c>
      <c r="BP36" s="131">
        <v>4.6146611682198158</v>
      </c>
      <c r="BQ36" s="131">
        <v>10.334579514784679</v>
      </c>
      <c r="BR36" s="131">
        <v>13.467521167419937</v>
      </c>
      <c r="BS36" s="131">
        <v>6.1363304555147513</v>
      </c>
      <c r="BT36" s="131">
        <v>2.3397469139157163</v>
      </c>
      <c r="BU36" s="131">
        <v>1.6732420367127532</v>
      </c>
      <c r="BV36" s="131">
        <v>1.7476644542810895</v>
      </c>
      <c r="BW36" s="131">
        <v>1.5014396889234451</v>
      </c>
      <c r="BX36" s="104">
        <f t="shared" si="1"/>
        <v>6</v>
      </c>
      <c r="BY36" s="97" t="str">
        <f t="shared" si="1"/>
        <v>KIRMIR SULAMA</v>
      </c>
      <c r="BZ36" s="119">
        <f t="shared" si="1"/>
        <v>0.98152127309162296</v>
      </c>
      <c r="CA36" s="119">
        <f t="shared" si="1"/>
        <v>1.228085552955644</v>
      </c>
      <c r="CB36" s="119">
        <f t="shared" si="1"/>
        <v>2.8919026968332311</v>
      </c>
      <c r="CC36" s="119">
        <f t="shared" si="1"/>
        <v>2.9539491870181465</v>
      </c>
      <c r="CD36" s="119">
        <f t="shared" si="1"/>
        <v>3.9126022652845371</v>
      </c>
      <c r="CE36" s="119">
        <f t="shared" si="1"/>
        <v>8.7516974809465928</v>
      </c>
      <c r="CF36" s="119">
        <f t="shared" si="1"/>
        <v>11.443512211311383</v>
      </c>
      <c r="CG36" s="119">
        <f t="shared" si="1"/>
        <v>5.2228037596758696</v>
      </c>
      <c r="CH36" s="119">
        <f t="shared" si="1"/>
        <v>1.9933264859856656</v>
      </c>
      <c r="CI36" s="119">
        <f t="shared" si="1"/>
        <v>1.4312465758819748</v>
      </c>
      <c r="CJ36" s="119">
        <f t="shared" si="1"/>
        <v>1.4958237539726689</v>
      </c>
      <c r="CK36" s="119">
        <f t="shared" si="1"/>
        <v>1.2857612492449491</v>
      </c>
      <c r="CL36" s="104">
        <v>6</v>
      </c>
      <c r="CM36" s="104" t="s">
        <v>18</v>
      </c>
      <c r="CN36" s="131">
        <v>13.467521167419937</v>
      </c>
      <c r="CO36" s="131">
        <v>13.467521167419937</v>
      </c>
      <c r="CP36" s="131">
        <v>13.467521167419937</v>
      </c>
      <c r="CQ36" s="131">
        <v>13.467521167419937</v>
      </c>
      <c r="CR36" s="131">
        <v>13.467521167419937</v>
      </c>
      <c r="CS36" s="131">
        <v>13.467521167419937</v>
      </c>
      <c r="CT36" s="131">
        <v>13.467521167419937</v>
      </c>
      <c r="CU36" s="131">
        <v>13.467521167419937</v>
      </c>
      <c r="CV36" s="131">
        <v>13.467521167419937</v>
      </c>
      <c r="CW36" s="131">
        <v>13.467521167419937</v>
      </c>
      <c r="CX36" s="131">
        <v>13.467521167419937</v>
      </c>
      <c r="CY36" s="131">
        <v>13.467521167419937</v>
      </c>
    </row>
    <row r="37" spans="1:103" ht="12" customHeight="1" x14ac:dyDescent="0.2">
      <c r="A37" s="108">
        <v>5</v>
      </c>
      <c r="B37" s="108" t="s">
        <v>16</v>
      </c>
      <c r="C37" s="105">
        <v>0</v>
      </c>
      <c r="D37" s="105">
        <v>0</v>
      </c>
      <c r="E37" s="105">
        <v>0</v>
      </c>
      <c r="F37" s="105">
        <v>-1</v>
      </c>
      <c r="G37" s="105">
        <v>1</v>
      </c>
      <c r="H37" s="105">
        <v>0</v>
      </c>
      <c r="I37" s="105">
        <v>0</v>
      </c>
      <c r="J37" s="105">
        <v>0</v>
      </c>
      <c r="K37" s="105">
        <v>0</v>
      </c>
      <c r="L37" s="105">
        <v>0</v>
      </c>
      <c r="M37" s="105">
        <v>0</v>
      </c>
      <c r="N37" s="105">
        <v>0</v>
      </c>
      <c r="O37" s="105">
        <v>0</v>
      </c>
      <c r="Q37" s="108">
        <v>5</v>
      </c>
      <c r="R37" s="109" t="s">
        <v>16</v>
      </c>
      <c r="S37" s="121">
        <v>0.53698091347140142</v>
      </c>
      <c r="T37" s="121">
        <v>0.36665030240558849</v>
      </c>
      <c r="U37" s="121">
        <v>5.6835726708186485E-3</v>
      </c>
      <c r="V37" s="121">
        <v>2.8421709430404007E-14</v>
      </c>
      <c r="W37" s="121">
        <v>-2.5069965215607226E-3</v>
      </c>
      <c r="X37" s="121">
        <v>2.506955616979667E-3</v>
      </c>
      <c r="Y37" s="121">
        <v>-1.4069437285861852E-2</v>
      </c>
      <c r="Z37" s="121">
        <v>-8.7281614055074286E-2</v>
      </c>
      <c r="AA37" s="121">
        <v>-0.32550150708303605</v>
      </c>
      <c r="AB37" s="121">
        <v>-0.4589356287467119</v>
      </c>
      <c r="AC37" s="121">
        <v>-0.37008759892376197</v>
      </c>
      <c r="AD37" s="121">
        <v>0.34694634708337624</v>
      </c>
      <c r="AF37" s="108">
        <v>5</v>
      </c>
      <c r="AG37" s="109" t="s">
        <v>16</v>
      </c>
      <c r="AH37" s="121">
        <v>44.290684644098121</v>
      </c>
      <c r="AI37" s="121">
        <v>0.53698091347140142</v>
      </c>
      <c r="AJ37" s="121">
        <v>0.36665030240558849</v>
      </c>
      <c r="AK37" s="121">
        <v>5.6835726708186485E-3</v>
      </c>
      <c r="AL37" s="121">
        <v>2.8421709430404007E-14</v>
      </c>
      <c r="AM37" s="121">
        <v>-2.5069965215607226E-3</v>
      </c>
      <c r="AN37" s="121">
        <v>2.506955616979667E-3</v>
      </c>
      <c r="AO37" s="121">
        <v>-1.4069437285861852E-2</v>
      </c>
      <c r="AP37" s="121">
        <v>-8.7281614055074286E-2</v>
      </c>
      <c r="AQ37" s="121">
        <v>-0.32550150708303605</v>
      </c>
      <c r="AR37" s="121">
        <v>-0.4589356287467119</v>
      </c>
      <c r="AS37" s="121">
        <v>-0.37008759892376197</v>
      </c>
      <c r="AT37" s="121">
        <v>0.34694634708337624</v>
      </c>
      <c r="AV37" s="108">
        <v>7</v>
      </c>
      <c r="AW37" s="108" t="s">
        <v>19</v>
      </c>
      <c r="AX37" s="132">
        <v>0</v>
      </c>
      <c r="AY37" s="132">
        <v>0</v>
      </c>
      <c r="AZ37" s="132">
        <v>0</v>
      </c>
      <c r="BA37" s="132">
        <v>0</v>
      </c>
      <c r="BB37" s="132">
        <v>0</v>
      </c>
      <c r="BC37" s="132">
        <v>0</v>
      </c>
      <c r="BD37" s="132">
        <v>0</v>
      </c>
      <c r="BE37" s="132">
        <v>0</v>
      </c>
      <c r="BF37" s="132">
        <v>0</v>
      </c>
      <c r="BG37" s="132">
        <v>0</v>
      </c>
      <c r="BH37" s="132">
        <v>0</v>
      </c>
      <c r="BI37" s="132">
        <v>0</v>
      </c>
      <c r="BJ37" s="108">
        <v>7</v>
      </c>
      <c r="BK37" s="108" t="s">
        <v>19</v>
      </c>
      <c r="BL37" s="132">
        <v>0</v>
      </c>
      <c r="BM37" s="132">
        <v>0</v>
      </c>
      <c r="BN37" s="132">
        <v>0</v>
      </c>
      <c r="BO37" s="132">
        <v>0</v>
      </c>
      <c r="BP37" s="132">
        <v>0</v>
      </c>
      <c r="BQ37" s="132">
        <v>0</v>
      </c>
      <c r="BR37" s="132">
        <v>0</v>
      </c>
      <c r="BS37" s="132">
        <v>0</v>
      </c>
      <c r="BT37" s="132">
        <v>0</v>
      </c>
      <c r="BU37" s="132">
        <v>0</v>
      </c>
      <c r="BV37" s="132">
        <v>0</v>
      </c>
      <c r="BW37" s="132">
        <v>0</v>
      </c>
      <c r="BX37" s="108">
        <f t="shared" si="1"/>
        <v>7</v>
      </c>
      <c r="BY37" s="109" t="str">
        <f t="shared" si="1"/>
        <v>SARIYAR</v>
      </c>
      <c r="BZ37" s="132">
        <f t="shared" si="1"/>
        <v>0</v>
      </c>
      <c r="CA37" s="132">
        <f t="shared" si="1"/>
        <v>0</v>
      </c>
      <c r="CB37" s="132">
        <f t="shared" si="1"/>
        <v>0</v>
      </c>
      <c r="CC37" s="132">
        <f t="shared" si="1"/>
        <v>0</v>
      </c>
      <c r="CD37" s="132">
        <f t="shared" si="1"/>
        <v>0</v>
      </c>
      <c r="CE37" s="132">
        <f t="shared" si="1"/>
        <v>0</v>
      </c>
      <c r="CF37" s="132">
        <f t="shared" si="1"/>
        <v>0</v>
      </c>
      <c r="CG37" s="132">
        <f t="shared" si="1"/>
        <v>0</v>
      </c>
      <c r="CH37" s="132">
        <f t="shared" si="1"/>
        <v>0</v>
      </c>
      <c r="CI37" s="132">
        <f t="shared" si="1"/>
        <v>0</v>
      </c>
      <c r="CJ37" s="132">
        <f t="shared" si="1"/>
        <v>0</v>
      </c>
      <c r="CK37" s="132">
        <f t="shared" si="1"/>
        <v>0</v>
      </c>
      <c r="CL37" s="108">
        <v>7</v>
      </c>
      <c r="CM37" s="108" t="s">
        <v>19</v>
      </c>
      <c r="CN37" s="132">
        <v>0</v>
      </c>
      <c r="CO37" s="132">
        <v>0</v>
      </c>
      <c r="CP37" s="132">
        <v>0</v>
      </c>
      <c r="CQ37" s="132">
        <v>0</v>
      </c>
      <c r="CR37" s="132">
        <v>0</v>
      </c>
      <c r="CS37" s="132">
        <v>0</v>
      </c>
      <c r="CT37" s="132">
        <v>0</v>
      </c>
      <c r="CU37" s="132">
        <v>0</v>
      </c>
      <c r="CV37" s="132">
        <v>0</v>
      </c>
      <c r="CW37" s="132">
        <v>0</v>
      </c>
      <c r="CX37" s="132">
        <v>0</v>
      </c>
      <c r="CY37" s="132">
        <v>0</v>
      </c>
    </row>
    <row r="38" spans="1:103" ht="12" customHeight="1" x14ac:dyDescent="0.2">
      <c r="A38" s="104">
        <v>6</v>
      </c>
      <c r="B38" s="104" t="s">
        <v>18</v>
      </c>
      <c r="C38" s="105">
        <v>0</v>
      </c>
      <c r="D38" s="105">
        <v>0</v>
      </c>
      <c r="E38" s="105">
        <v>0</v>
      </c>
      <c r="F38" s="105">
        <v>0</v>
      </c>
      <c r="G38" s="105">
        <v>0</v>
      </c>
      <c r="H38" s="105">
        <v>0</v>
      </c>
      <c r="I38" s="105">
        <v>0</v>
      </c>
      <c r="J38" s="105">
        <v>0</v>
      </c>
      <c r="K38" s="105">
        <v>0</v>
      </c>
      <c r="L38" s="105">
        <v>0</v>
      </c>
      <c r="M38" s="105">
        <v>0</v>
      </c>
      <c r="N38" s="105">
        <v>0</v>
      </c>
      <c r="O38" s="105">
        <v>0</v>
      </c>
      <c r="Q38" s="104">
        <v>6</v>
      </c>
      <c r="R38" s="97" t="s">
        <v>18</v>
      </c>
      <c r="S38" s="120">
        <v>0</v>
      </c>
      <c r="T38" s="120">
        <v>0</v>
      </c>
      <c r="U38" s="120">
        <v>0</v>
      </c>
      <c r="V38" s="120">
        <v>0</v>
      </c>
      <c r="W38" s="120">
        <v>0</v>
      </c>
      <c r="X38" s="120">
        <v>0</v>
      </c>
      <c r="Y38" s="120">
        <v>0</v>
      </c>
      <c r="Z38" s="120">
        <v>0</v>
      </c>
      <c r="AA38" s="120">
        <v>0</v>
      </c>
      <c r="AB38" s="120">
        <v>0</v>
      </c>
      <c r="AC38" s="120">
        <v>0</v>
      </c>
      <c r="AD38" s="120">
        <v>0</v>
      </c>
      <c r="AF38" s="104">
        <v>6</v>
      </c>
      <c r="AG38" s="97" t="s">
        <v>18</v>
      </c>
      <c r="AH38" s="120">
        <v>0</v>
      </c>
      <c r="AI38" s="120">
        <v>0</v>
      </c>
      <c r="AJ38" s="120">
        <v>0</v>
      </c>
      <c r="AK38" s="120">
        <v>0</v>
      </c>
      <c r="AL38" s="120">
        <v>0</v>
      </c>
      <c r="AM38" s="120">
        <v>0</v>
      </c>
      <c r="AN38" s="120">
        <v>0</v>
      </c>
      <c r="AO38" s="120">
        <v>0</v>
      </c>
      <c r="AP38" s="120">
        <v>0</v>
      </c>
      <c r="AQ38" s="120">
        <v>0</v>
      </c>
      <c r="AR38" s="120">
        <v>0</v>
      </c>
      <c r="AS38" s="120">
        <v>0</v>
      </c>
      <c r="AT38" s="120">
        <v>0</v>
      </c>
      <c r="AV38" s="108">
        <v>8</v>
      </c>
      <c r="AW38" s="108" t="s">
        <v>23</v>
      </c>
      <c r="AX38" s="132">
        <v>0</v>
      </c>
      <c r="AY38" s="132">
        <v>0</v>
      </c>
      <c r="AZ38" s="132">
        <v>0</v>
      </c>
      <c r="BA38" s="132">
        <v>0</v>
      </c>
      <c r="BB38" s="132">
        <v>0</v>
      </c>
      <c r="BC38" s="132">
        <v>0</v>
      </c>
      <c r="BD38" s="132">
        <v>0</v>
      </c>
      <c r="BE38" s="132">
        <v>0</v>
      </c>
      <c r="BF38" s="132">
        <v>0</v>
      </c>
      <c r="BG38" s="132">
        <v>0</v>
      </c>
      <c r="BH38" s="132">
        <v>0</v>
      </c>
      <c r="BI38" s="132">
        <v>0</v>
      </c>
      <c r="BJ38" s="108">
        <v>8</v>
      </c>
      <c r="BK38" s="108" t="s">
        <v>23</v>
      </c>
      <c r="BL38" s="132">
        <v>0</v>
      </c>
      <c r="BM38" s="132">
        <v>0</v>
      </c>
      <c r="BN38" s="132">
        <v>0</v>
      </c>
      <c r="BO38" s="132">
        <v>0</v>
      </c>
      <c r="BP38" s="132">
        <v>0</v>
      </c>
      <c r="BQ38" s="132">
        <v>0</v>
      </c>
      <c r="BR38" s="132">
        <v>0</v>
      </c>
      <c r="BS38" s="132">
        <v>0</v>
      </c>
      <c r="BT38" s="132">
        <v>0</v>
      </c>
      <c r="BU38" s="132">
        <v>0</v>
      </c>
      <c r="BV38" s="132">
        <v>0</v>
      </c>
      <c r="BW38" s="132">
        <v>0</v>
      </c>
      <c r="BX38" s="108">
        <f t="shared" si="1"/>
        <v>8</v>
      </c>
      <c r="BY38" s="109" t="str">
        <f t="shared" si="1"/>
        <v>GOKCEKAYA</v>
      </c>
      <c r="BZ38" s="132">
        <f t="shared" si="1"/>
        <v>0</v>
      </c>
      <c r="CA38" s="132">
        <f t="shared" si="1"/>
        <v>0</v>
      </c>
      <c r="CB38" s="132">
        <f t="shared" si="1"/>
        <v>0</v>
      </c>
      <c r="CC38" s="132">
        <f t="shared" si="1"/>
        <v>0</v>
      </c>
      <c r="CD38" s="132">
        <f t="shared" si="1"/>
        <v>0</v>
      </c>
      <c r="CE38" s="132">
        <f t="shared" si="1"/>
        <v>0</v>
      </c>
      <c r="CF38" s="132">
        <f t="shared" si="1"/>
        <v>0</v>
      </c>
      <c r="CG38" s="132">
        <f t="shared" si="1"/>
        <v>0</v>
      </c>
      <c r="CH38" s="132">
        <f t="shared" si="1"/>
        <v>0</v>
      </c>
      <c r="CI38" s="132">
        <f t="shared" si="1"/>
        <v>0</v>
      </c>
      <c r="CJ38" s="132">
        <f t="shared" si="1"/>
        <v>0</v>
      </c>
      <c r="CK38" s="132">
        <f t="shared" si="1"/>
        <v>0</v>
      </c>
      <c r="CL38" s="108">
        <v>8</v>
      </c>
      <c r="CM38" s="108" t="s">
        <v>23</v>
      </c>
      <c r="CN38" s="132">
        <v>0</v>
      </c>
      <c r="CO38" s="132">
        <v>0</v>
      </c>
      <c r="CP38" s="132">
        <v>0</v>
      </c>
      <c r="CQ38" s="132">
        <v>0</v>
      </c>
      <c r="CR38" s="132">
        <v>0</v>
      </c>
      <c r="CS38" s="132">
        <v>0</v>
      </c>
      <c r="CT38" s="132">
        <v>0</v>
      </c>
      <c r="CU38" s="132">
        <v>0</v>
      </c>
      <c r="CV38" s="132">
        <v>0</v>
      </c>
      <c r="CW38" s="132">
        <v>0</v>
      </c>
      <c r="CX38" s="132">
        <v>0</v>
      </c>
      <c r="CY38" s="132">
        <v>0</v>
      </c>
    </row>
    <row r="39" spans="1:103" ht="12" customHeight="1" x14ac:dyDescent="0.2">
      <c r="A39" s="108">
        <v>7</v>
      </c>
      <c r="B39" s="108" t="s">
        <v>19</v>
      </c>
      <c r="C39" s="105">
        <v>0</v>
      </c>
      <c r="D39" s="105">
        <v>0</v>
      </c>
      <c r="E39" s="105">
        <v>0</v>
      </c>
      <c r="F39" s="105">
        <v>0</v>
      </c>
      <c r="G39" s="105">
        <v>-1</v>
      </c>
      <c r="H39" s="105">
        <v>0</v>
      </c>
      <c r="I39" s="105">
        <v>1</v>
      </c>
      <c r="J39" s="105">
        <v>0</v>
      </c>
      <c r="K39" s="105">
        <v>0</v>
      </c>
      <c r="L39" s="105">
        <v>0</v>
      </c>
      <c r="M39" s="105">
        <v>0</v>
      </c>
      <c r="N39" s="105">
        <v>0</v>
      </c>
      <c r="O39" s="105">
        <v>0</v>
      </c>
      <c r="Q39" s="108">
        <v>7</v>
      </c>
      <c r="R39" s="109" t="s">
        <v>19</v>
      </c>
      <c r="S39" s="121">
        <v>1.1062759117101066</v>
      </c>
      <c r="T39" s="121">
        <v>27.762242049548405</v>
      </c>
      <c r="U39" s="121">
        <v>38.230623766152277</v>
      </c>
      <c r="V39" s="121">
        <v>31.236226025812954</v>
      </c>
      <c r="W39" s="121">
        <v>28.324118059944368</v>
      </c>
      <c r="X39" s="121">
        <v>51.356332727811093</v>
      </c>
      <c r="Y39" s="121">
        <v>24.452974010327825</v>
      </c>
      <c r="Z39" s="121">
        <v>3.7197570743625796</v>
      </c>
      <c r="AA39" s="121">
        <v>-25.628523906909574</v>
      </c>
      <c r="AB39" s="121">
        <v>-63.125254678457694</v>
      </c>
      <c r="AC39" s="121">
        <v>-64.943291649769918</v>
      </c>
      <c r="AD39" s="121">
        <v>-28.15949833847969</v>
      </c>
      <c r="AF39" s="108">
        <v>7</v>
      </c>
      <c r="AG39" s="109" t="s">
        <v>19</v>
      </c>
      <c r="AH39" s="121">
        <v>1194.4420235493906</v>
      </c>
      <c r="AI39" s="121">
        <v>1.1062759117101066</v>
      </c>
      <c r="AJ39" s="121">
        <v>27.762242049548405</v>
      </c>
      <c r="AK39" s="121">
        <v>38.230623766152277</v>
      </c>
      <c r="AL39" s="121">
        <v>31.236226025812954</v>
      </c>
      <c r="AM39" s="121">
        <v>28.324118059944368</v>
      </c>
      <c r="AN39" s="121">
        <v>51.356332727811093</v>
      </c>
      <c r="AO39" s="121">
        <v>24.452974010327825</v>
      </c>
      <c r="AP39" s="121">
        <v>3.7197570743625796</v>
      </c>
      <c r="AQ39" s="121">
        <v>-25.628523906909574</v>
      </c>
      <c r="AR39" s="121">
        <v>-63.125254678457694</v>
      </c>
      <c r="AS39" s="121">
        <v>-64.943291649769918</v>
      </c>
      <c r="AT39" s="121">
        <v>-28.15949833847969</v>
      </c>
      <c r="AV39" s="108">
        <v>9</v>
      </c>
      <c r="AW39" s="108" t="s">
        <v>24</v>
      </c>
      <c r="AX39" s="132">
        <v>0</v>
      </c>
      <c r="AY39" s="132">
        <v>0</v>
      </c>
      <c r="AZ39" s="132">
        <v>0</v>
      </c>
      <c r="BA39" s="132">
        <v>0</v>
      </c>
      <c r="BB39" s="132">
        <v>0</v>
      </c>
      <c r="BC39" s="132">
        <v>0</v>
      </c>
      <c r="BD39" s="132">
        <v>0</v>
      </c>
      <c r="BE39" s="132">
        <v>0</v>
      </c>
      <c r="BF39" s="132">
        <v>0</v>
      </c>
      <c r="BG39" s="132">
        <v>0</v>
      </c>
      <c r="BH39" s="132">
        <v>0</v>
      </c>
      <c r="BI39" s="132">
        <v>0</v>
      </c>
      <c r="BJ39" s="108">
        <v>9</v>
      </c>
      <c r="BK39" s="108" t="s">
        <v>24</v>
      </c>
      <c r="BL39" s="132">
        <v>0</v>
      </c>
      <c r="BM39" s="132">
        <v>0</v>
      </c>
      <c r="BN39" s="132">
        <v>0</v>
      </c>
      <c r="BO39" s="132">
        <v>0</v>
      </c>
      <c r="BP39" s="132">
        <v>0</v>
      </c>
      <c r="BQ39" s="132">
        <v>0</v>
      </c>
      <c r="BR39" s="132">
        <v>0</v>
      </c>
      <c r="BS39" s="132">
        <v>0</v>
      </c>
      <c r="BT39" s="132">
        <v>0</v>
      </c>
      <c r="BU39" s="132">
        <v>0</v>
      </c>
      <c r="BV39" s="132">
        <v>0</v>
      </c>
      <c r="BW39" s="132">
        <v>0</v>
      </c>
      <c r="BX39" s="108">
        <f t="shared" si="1"/>
        <v>9</v>
      </c>
      <c r="BY39" s="109" t="str">
        <f t="shared" si="1"/>
        <v>YENICE</v>
      </c>
      <c r="BZ39" s="132">
        <f t="shared" si="1"/>
        <v>0</v>
      </c>
      <c r="CA39" s="132">
        <f t="shared" si="1"/>
        <v>0</v>
      </c>
      <c r="CB39" s="132">
        <f t="shared" si="1"/>
        <v>0</v>
      </c>
      <c r="CC39" s="132">
        <f t="shared" si="1"/>
        <v>0</v>
      </c>
      <c r="CD39" s="132">
        <f t="shared" si="1"/>
        <v>0</v>
      </c>
      <c r="CE39" s="132">
        <f t="shared" si="1"/>
        <v>0</v>
      </c>
      <c r="CF39" s="132">
        <f t="shared" si="1"/>
        <v>0</v>
      </c>
      <c r="CG39" s="132">
        <f t="shared" si="1"/>
        <v>0</v>
      </c>
      <c r="CH39" s="132">
        <f t="shared" si="1"/>
        <v>0</v>
      </c>
      <c r="CI39" s="132">
        <f t="shared" si="1"/>
        <v>0</v>
      </c>
      <c r="CJ39" s="132">
        <f t="shared" si="1"/>
        <v>0</v>
      </c>
      <c r="CK39" s="132">
        <f t="shared" si="1"/>
        <v>0</v>
      </c>
      <c r="CL39" s="108">
        <v>9</v>
      </c>
      <c r="CM39" s="108" t="s">
        <v>24</v>
      </c>
      <c r="CN39" s="132">
        <v>0</v>
      </c>
      <c r="CO39" s="132">
        <v>0</v>
      </c>
      <c r="CP39" s="132">
        <v>0</v>
      </c>
      <c r="CQ39" s="132">
        <v>0</v>
      </c>
      <c r="CR39" s="132">
        <v>0</v>
      </c>
      <c r="CS39" s="132">
        <v>0</v>
      </c>
      <c r="CT39" s="132">
        <v>0</v>
      </c>
      <c r="CU39" s="132">
        <v>0</v>
      </c>
      <c r="CV39" s="132">
        <v>0</v>
      </c>
      <c r="CW39" s="132">
        <v>0</v>
      </c>
      <c r="CX39" s="132">
        <v>0</v>
      </c>
      <c r="CY39" s="132">
        <v>0</v>
      </c>
    </row>
    <row r="40" spans="1:103" ht="12" customHeight="1" x14ac:dyDescent="0.2">
      <c r="A40" s="108">
        <v>8</v>
      </c>
      <c r="B40" s="108" t="s">
        <v>23</v>
      </c>
      <c r="C40" s="105">
        <v>0</v>
      </c>
      <c r="D40" s="105">
        <v>0</v>
      </c>
      <c r="E40" s="105">
        <v>0</v>
      </c>
      <c r="F40" s="105">
        <v>0</v>
      </c>
      <c r="G40" s="105">
        <v>0</v>
      </c>
      <c r="H40" s="105">
        <v>0</v>
      </c>
      <c r="I40" s="105">
        <v>-1</v>
      </c>
      <c r="J40" s="105">
        <v>1</v>
      </c>
      <c r="K40" s="105">
        <v>0</v>
      </c>
      <c r="L40" s="105">
        <v>0</v>
      </c>
      <c r="M40" s="105">
        <v>0</v>
      </c>
      <c r="N40" s="105">
        <v>0</v>
      </c>
      <c r="O40" s="105">
        <v>0</v>
      </c>
      <c r="Q40" s="108">
        <v>8</v>
      </c>
      <c r="R40" s="109" t="s">
        <v>23</v>
      </c>
      <c r="S40" s="121">
        <v>-2.9182203177193733</v>
      </c>
      <c r="T40" s="121">
        <v>0.69273757029274918</v>
      </c>
      <c r="U40" s="121">
        <v>6.0361461980774607</v>
      </c>
      <c r="V40" s="121">
        <v>8.0320045527014656</v>
      </c>
      <c r="W40" s="121">
        <v>2.7590200457690628</v>
      </c>
      <c r="X40" s="121">
        <v>6.2591323346361492</v>
      </c>
      <c r="Y40" s="121">
        <v>2.6253750571879841</v>
      </c>
      <c r="Z40" s="121">
        <v>-1.4454944933454232</v>
      </c>
      <c r="AA40" s="121">
        <v>-3.254377588975359</v>
      </c>
      <c r="AB40" s="121">
        <v>-6.7887139613357377</v>
      </c>
      <c r="AC40" s="121">
        <v>-6.8529049105335105</v>
      </c>
      <c r="AD40" s="121">
        <v>-5.8157880409406921</v>
      </c>
      <c r="AF40" s="108">
        <v>8</v>
      </c>
      <c r="AG40" s="109" t="s">
        <v>23</v>
      </c>
      <c r="AH40" s="121">
        <v>921.19064266655471</v>
      </c>
      <c r="AI40" s="121">
        <v>-2.9182203177193733</v>
      </c>
      <c r="AJ40" s="121">
        <v>0.69273757029274918</v>
      </c>
      <c r="AK40" s="121">
        <v>6.0361461980774607</v>
      </c>
      <c r="AL40" s="121">
        <v>8.0320045527014656</v>
      </c>
      <c r="AM40" s="121">
        <v>2.7590200457690628</v>
      </c>
      <c r="AN40" s="121">
        <v>6.2591323346361492</v>
      </c>
      <c r="AO40" s="121">
        <v>2.6253750571879841</v>
      </c>
      <c r="AP40" s="121">
        <v>-1.4454944933454232</v>
      </c>
      <c r="AQ40" s="121">
        <v>-3.254377588975359</v>
      </c>
      <c r="AR40" s="121">
        <v>-6.7887139613357377</v>
      </c>
      <c r="AS40" s="121">
        <v>-6.8529049105335105</v>
      </c>
      <c r="AT40" s="121">
        <v>-5.8157880409406921</v>
      </c>
      <c r="AV40" s="104">
        <v>10</v>
      </c>
      <c r="AW40" s="104" t="s">
        <v>25</v>
      </c>
      <c r="AX40" s="131">
        <v>0</v>
      </c>
      <c r="AY40" s="131">
        <v>0</v>
      </c>
      <c r="AZ40" s="131">
        <v>0</v>
      </c>
      <c r="BA40" s="131">
        <v>0</v>
      </c>
      <c r="BB40" s="131">
        <v>0</v>
      </c>
      <c r="BC40" s="131">
        <v>0</v>
      </c>
      <c r="BD40" s="131">
        <v>0</v>
      </c>
      <c r="BE40" s="131">
        <v>0</v>
      </c>
      <c r="BF40" s="131">
        <v>0</v>
      </c>
      <c r="BG40" s="131">
        <v>0</v>
      </c>
      <c r="BH40" s="131">
        <v>0</v>
      </c>
      <c r="BI40" s="131">
        <v>0</v>
      </c>
      <c r="BJ40" s="104">
        <v>10</v>
      </c>
      <c r="BK40" s="104" t="s">
        <v>25</v>
      </c>
      <c r="BL40" s="131">
        <v>1.3343714568696754</v>
      </c>
      <c r="BM40" s="131">
        <v>0.87453093788815139</v>
      </c>
      <c r="BN40" s="131">
        <v>1.6593631556693131</v>
      </c>
      <c r="BO40" s="131">
        <v>2.0946480858779446</v>
      </c>
      <c r="BP40" s="131">
        <v>2.9419877763877089</v>
      </c>
      <c r="BQ40" s="131">
        <v>4.2673331787437991</v>
      </c>
      <c r="BR40" s="131">
        <v>3.6096391931154592</v>
      </c>
      <c r="BS40" s="131">
        <v>4.2461962954895345</v>
      </c>
      <c r="BT40" s="131">
        <v>10.46657307524972</v>
      </c>
      <c r="BU40" s="131">
        <v>14.379477984391658</v>
      </c>
      <c r="BV40" s="131">
        <v>12.274318072421826</v>
      </c>
      <c r="BW40" s="131">
        <v>5.1466712551890765</v>
      </c>
      <c r="BX40" s="104">
        <f t="shared" si="1"/>
        <v>10</v>
      </c>
      <c r="BY40" s="97" t="str">
        <f t="shared" si="1"/>
        <v>ORSAK SULAMA</v>
      </c>
      <c r="BZ40" s="119">
        <f t="shared" si="1"/>
        <v>1.1659308474411523</v>
      </c>
      <c r="CA40" s="119">
        <f t="shared" si="1"/>
        <v>0.77461956046801017</v>
      </c>
      <c r="CB40" s="119">
        <f t="shared" si="1"/>
        <v>1.4706768372844978</v>
      </c>
      <c r="CC40" s="119">
        <f t="shared" si="1"/>
        <v>1.8433833251423106</v>
      </c>
      <c r="CD40" s="119">
        <f t="shared" si="1"/>
        <v>2.5895603142422488</v>
      </c>
      <c r="CE40" s="119">
        <f t="shared" si="1"/>
        <v>3.7450688209416967</v>
      </c>
      <c r="CF40" s="119">
        <f t="shared" si="1"/>
        <v>3.1577025791532662</v>
      </c>
      <c r="CG40" s="119">
        <f t="shared" si="1"/>
        <v>3.6920586729431939</v>
      </c>
      <c r="CH40" s="119">
        <f t="shared" si="1"/>
        <v>9.0570772948589067</v>
      </c>
      <c r="CI40" s="119">
        <f t="shared" si="1"/>
        <v>12.431594481768512</v>
      </c>
      <c r="CJ40" s="119">
        <f t="shared" si="1"/>
        <v>10.611152722975026</v>
      </c>
      <c r="CK40" s="119">
        <f t="shared" si="1"/>
        <v>4.4523406525472113</v>
      </c>
      <c r="CL40" s="104">
        <v>10</v>
      </c>
      <c r="CM40" s="104" t="s">
        <v>25</v>
      </c>
      <c r="CN40" s="131">
        <v>14.379477984391658</v>
      </c>
      <c r="CO40" s="131">
        <v>14.379477984391658</v>
      </c>
      <c r="CP40" s="131">
        <v>14.379477984391658</v>
      </c>
      <c r="CQ40" s="131">
        <v>14.379477984391658</v>
      </c>
      <c r="CR40" s="131">
        <v>14.379477984391658</v>
      </c>
      <c r="CS40" s="131">
        <v>14.379477984391658</v>
      </c>
      <c r="CT40" s="131">
        <v>14.379477984391658</v>
      </c>
      <c r="CU40" s="131">
        <v>14.379477984391658</v>
      </c>
      <c r="CV40" s="131">
        <v>14.379477984391658</v>
      </c>
      <c r="CW40" s="131">
        <v>14.379477984391658</v>
      </c>
      <c r="CX40" s="131">
        <v>14.379477984391658</v>
      </c>
      <c r="CY40" s="131">
        <v>14.379477984391658</v>
      </c>
    </row>
    <row r="41" spans="1:103" ht="12" customHeight="1" x14ac:dyDescent="0.2">
      <c r="A41" s="108">
        <v>9</v>
      </c>
      <c r="B41" s="108" t="s">
        <v>24</v>
      </c>
      <c r="C41" s="105">
        <v>0</v>
      </c>
      <c r="D41" s="105">
        <v>0</v>
      </c>
      <c r="E41" s="105">
        <v>0</v>
      </c>
      <c r="F41" s="105">
        <v>0</v>
      </c>
      <c r="G41" s="105">
        <v>0</v>
      </c>
      <c r="H41" s="105">
        <v>0</v>
      </c>
      <c r="I41" s="105">
        <v>0</v>
      </c>
      <c r="J41" s="105">
        <v>-1</v>
      </c>
      <c r="K41" s="105">
        <v>1</v>
      </c>
      <c r="L41" s="105">
        <v>0</v>
      </c>
      <c r="M41" s="105">
        <v>0</v>
      </c>
      <c r="N41" s="105">
        <v>0</v>
      </c>
      <c r="O41" s="105">
        <v>0</v>
      </c>
      <c r="Q41" s="108">
        <v>9</v>
      </c>
      <c r="R41" s="109" t="s">
        <v>24</v>
      </c>
      <c r="S41" s="121">
        <v>4.1604523712890362E-2</v>
      </c>
      <c r="T41" s="121">
        <v>-3.8886320714766498E-2</v>
      </c>
      <c r="U41" s="121">
        <v>4.5925505575155512E-2</v>
      </c>
      <c r="V41" s="121">
        <v>2.4638323218880487E-2</v>
      </c>
      <c r="W41" s="121">
        <v>0.11112820512821031</v>
      </c>
      <c r="X41" s="121">
        <v>-5.6843418860808015E-14</v>
      </c>
      <c r="Y41" s="121">
        <v>1.4566126083082054E-13</v>
      </c>
      <c r="Z41" s="121">
        <v>5.1514348342607263E-14</v>
      </c>
      <c r="AA41" s="121">
        <v>-7.5139936835100229E-3</v>
      </c>
      <c r="AB41" s="121">
        <v>-8.4553483509694161E-2</v>
      </c>
      <c r="AC41" s="121">
        <v>-3.8699760979838516E-2</v>
      </c>
      <c r="AD41" s="121">
        <v>-5.3704064537452467E-2</v>
      </c>
      <c r="AF41" s="108">
        <v>9</v>
      </c>
      <c r="AG41" s="109" t="s">
        <v>24</v>
      </c>
      <c r="AH41" s="121">
        <v>58.029586136516301</v>
      </c>
      <c r="AI41" s="121">
        <v>4.1604523712890362E-2</v>
      </c>
      <c r="AJ41" s="121">
        <v>-3.8886320714766498E-2</v>
      </c>
      <c r="AK41" s="121">
        <v>4.5925505575155512E-2</v>
      </c>
      <c r="AL41" s="121">
        <v>2.4638323218880487E-2</v>
      </c>
      <c r="AM41" s="121">
        <v>0.11112820512821031</v>
      </c>
      <c r="AN41" s="121">
        <v>-5.6843418860808015E-14</v>
      </c>
      <c r="AO41" s="121">
        <v>1.4566126083082054E-13</v>
      </c>
      <c r="AP41" s="121">
        <v>5.1514348342607263E-14</v>
      </c>
      <c r="AQ41" s="121">
        <v>-7.5139936835100229E-3</v>
      </c>
      <c r="AR41" s="121">
        <v>-8.4553483509694161E-2</v>
      </c>
      <c r="AS41" s="121">
        <v>-3.8699760979838516E-2</v>
      </c>
      <c r="AT41" s="121">
        <v>-5.3704064537452467E-2</v>
      </c>
      <c r="AV41" s="104">
        <v>11</v>
      </c>
      <c r="AW41" s="104" t="s">
        <v>26</v>
      </c>
      <c r="AX41" s="131">
        <v>0</v>
      </c>
      <c r="AY41" s="131">
        <v>0</v>
      </c>
      <c r="AZ41" s="131">
        <v>0</v>
      </c>
      <c r="BA41" s="131">
        <v>0</v>
      </c>
      <c r="BB41" s="131">
        <v>0</v>
      </c>
      <c r="BC41" s="131">
        <v>0</v>
      </c>
      <c r="BD41" s="131">
        <v>0</v>
      </c>
      <c r="BE41" s="131">
        <v>0</v>
      </c>
      <c r="BF41" s="131">
        <v>0</v>
      </c>
      <c r="BG41" s="131">
        <v>0</v>
      </c>
      <c r="BH41" s="131">
        <v>0</v>
      </c>
      <c r="BI41" s="131">
        <v>0</v>
      </c>
      <c r="BJ41" s="104">
        <v>11</v>
      </c>
      <c r="BK41" s="104" t="s">
        <v>26</v>
      </c>
      <c r="BL41" s="131">
        <v>1.9056129976501184</v>
      </c>
      <c r="BM41" s="131">
        <v>1.9420325963371101</v>
      </c>
      <c r="BN41" s="131">
        <v>3.8513770440547335</v>
      </c>
      <c r="BO41" s="131">
        <v>5.3580292882594609</v>
      </c>
      <c r="BP41" s="131">
        <v>5.6295223338726581</v>
      </c>
      <c r="BQ41" s="131">
        <v>11.87653897725043</v>
      </c>
      <c r="BR41" s="131">
        <v>17.428024023757796</v>
      </c>
      <c r="BS41" s="131">
        <v>10.585381831975059</v>
      </c>
      <c r="BT41" s="131">
        <v>4.7107353781108383</v>
      </c>
      <c r="BU41" s="131">
        <v>1.5445055049963246</v>
      </c>
      <c r="BV41" s="131">
        <v>1.1590831088101521</v>
      </c>
      <c r="BW41" s="131">
        <v>0.92105143489746655</v>
      </c>
      <c r="BX41" s="104">
        <f t="shared" si="1"/>
        <v>11</v>
      </c>
      <c r="BY41" s="97" t="str">
        <f t="shared" si="1"/>
        <v>GOKSU SULAMA</v>
      </c>
      <c r="BZ41" s="119">
        <f t="shared" si="1"/>
        <v>1.6821134854976598</v>
      </c>
      <c r="CA41" s="119">
        <f t="shared" si="1"/>
        <v>1.704003205846111</v>
      </c>
      <c r="CB41" s="119">
        <f t="shared" si="1"/>
        <v>3.38955127422585</v>
      </c>
      <c r="CC41" s="119">
        <f t="shared" si="1"/>
        <v>4.738458076239553</v>
      </c>
      <c r="CD41" s="119">
        <f t="shared" si="1"/>
        <v>4.977144757562753</v>
      </c>
      <c r="CE41" s="119">
        <f t="shared" si="1"/>
        <v>10.575473875153419</v>
      </c>
      <c r="CF41" s="119">
        <f t="shared" si="1"/>
        <v>15.575553680700967</v>
      </c>
      <c r="CG41" s="119">
        <f t="shared" si="1"/>
        <v>9.4258366794686648</v>
      </c>
      <c r="CH41" s="119">
        <f t="shared" si="1"/>
        <v>4.1770476282389737</v>
      </c>
      <c r="CI41" s="119">
        <f t="shared" si="1"/>
        <v>1.3582084774794456</v>
      </c>
      <c r="CJ41" s="119">
        <f t="shared" si="1"/>
        <v>1.0155498739341411</v>
      </c>
      <c r="CK41" s="119">
        <f t="shared" si="1"/>
        <v>0.80677789889067597</v>
      </c>
      <c r="CL41" s="104">
        <v>11</v>
      </c>
      <c r="CM41" s="104" t="s">
        <v>26</v>
      </c>
      <c r="CN41" s="131">
        <v>17.428024023757796</v>
      </c>
      <c r="CO41" s="131">
        <v>17.428024023757796</v>
      </c>
      <c r="CP41" s="131">
        <v>17.428024023757796</v>
      </c>
      <c r="CQ41" s="131">
        <v>17.428024023757796</v>
      </c>
      <c r="CR41" s="131">
        <v>17.428024023757796</v>
      </c>
      <c r="CS41" s="131">
        <v>17.428024023757796</v>
      </c>
      <c r="CT41" s="131">
        <v>17.428024023757796</v>
      </c>
      <c r="CU41" s="131">
        <v>17.428024023757796</v>
      </c>
      <c r="CV41" s="131">
        <v>17.428024023757796</v>
      </c>
      <c r="CW41" s="131">
        <v>17.428024023757796</v>
      </c>
      <c r="CX41" s="131">
        <v>17.428024023757796</v>
      </c>
      <c r="CY41" s="131">
        <v>17.428024023757796</v>
      </c>
    </row>
    <row r="42" spans="1:103" ht="12" customHeight="1" x14ac:dyDescent="0.2">
      <c r="A42" s="104">
        <v>10</v>
      </c>
      <c r="B42" s="104" t="s">
        <v>25</v>
      </c>
      <c r="C42" s="105">
        <v>0</v>
      </c>
      <c r="D42" s="105">
        <v>0</v>
      </c>
      <c r="E42" s="105">
        <v>0</v>
      </c>
      <c r="F42" s="105">
        <v>0</v>
      </c>
      <c r="G42" s="105">
        <v>0</v>
      </c>
      <c r="H42" s="105">
        <v>0</v>
      </c>
      <c r="I42" s="105">
        <v>0</v>
      </c>
      <c r="J42" s="105">
        <v>0</v>
      </c>
      <c r="K42" s="105">
        <v>0</v>
      </c>
      <c r="L42" s="105">
        <v>0</v>
      </c>
      <c r="M42" s="105">
        <v>0</v>
      </c>
      <c r="N42" s="105">
        <v>0</v>
      </c>
      <c r="O42" s="105">
        <v>0</v>
      </c>
      <c r="Q42" s="104">
        <v>10</v>
      </c>
      <c r="R42" s="97" t="s">
        <v>25</v>
      </c>
      <c r="S42" s="120">
        <v>0</v>
      </c>
      <c r="T42" s="120">
        <v>0</v>
      </c>
      <c r="U42" s="120">
        <v>0</v>
      </c>
      <c r="V42" s="120">
        <v>0</v>
      </c>
      <c r="W42" s="120">
        <v>0</v>
      </c>
      <c r="X42" s="120">
        <v>0</v>
      </c>
      <c r="Y42" s="120">
        <v>0</v>
      </c>
      <c r="Z42" s="120">
        <v>0</v>
      </c>
      <c r="AA42" s="120">
        <v>0</v>
      </c>
      <c r="AB42" s="120">
        <v>0</v>
      </c>
      <c r="AC42" s="120">
        <v>0</v>
      </c>
      <c r="AD42" s="120">
        <v>0</v>
      </c>
      <c r="AF42" s="104">
        <v>10</v>
      </c>
      <c r="AG42" s="97" t="s">
        <v>25</v>
      </c>
      <c r="AH42" s="120">
        <v>0</v>
      </c>
      <c r="AI42" s="120">
        <v>0</v>
      </c>
      <c r="AJ42" s="120">
        <v>0</v>
      </c>
      <c r="AK42" s="120">
        <v>0</v>
      </c>
      <c r="AL42" s="120">
        <v>0</v>
      </c>
      <c r="AM42" s="120">
        <v>0</v>
      </c>
      <c r="AN42" s="120">
        <v>0</v>
      </c>
      <c r="AO42" s="120">
        <v>0</v>
      </c>
      <c r="AP42" s="120">
        <v>0</v>
      </c>
      <c r="AQ42" s="120">
        <v>0</v>
      </c>
      <c r="AR42" s="120">
        <v>0</v>
      </c>
      <c r="AS42" s="120">
        <v>0</v>
      </c>
      <c r="AT42" s="120">
        <v>0</v>
      </c>
      <c r="AV42" s="104">
        <v>12</v>
      </c>
      <c r="AW42" s="104" t="s">
        <v>27</v>
      </c>
      <c r="AX42" s="131">
        <v>0</v>
      </c>
      <c r="AY42" s="131">
        <v>0</v>
      </c>
      <c r="AZ42" s="131">
        <v>0</v>
      </c>
      <c r="BA42" s="131">
        <v>0</v>
      </c>
      <c r="BB42" s="131">
        <v>0</v>
      </c>
      <c r="BC42" s="131">
        <v>0</v>
      </c>
      <c r="BD42" s="131">
        <v>0</v>
      </c>
      <c r="BE42" s="131">
        <v>0</v>
      </c>
      <c r="BF42" s="131">
        <v>0</v>
      </c>
      <c r="BG42" s="131">
        <v>0</v>
      </c>
      <c r="BH42" s="131">
        <v>0</v>
      </c>
      <c r="BI42" s="131">
        <v>0</v>
      </c>
      <c r="BJ42" s="104">
        <v>12</v>
      </c>
      <c r="BK42" s="104" t="s">
        <v>27</v>
      </c>
      <c r="BL42" s="131">
        <v>7.9324166952380981E-2</v>
      </c>
      <c r="BM42" s="131">
        <v>0</v>
      </c>
      <c r="BN42" s="131">
        <v>0</v>
      </c>
      <c r="BO42" s="131">
        <v>0</v>
      </c>
      <c r="BP42" s="131">
        <v>0</v>
      </c>
      <c r="BQ42" s="131">
        <v>0</v>
      </c>
      <c r="BR42" s="131">
        <v>0</v>
      </c>
      <c r="BS42" s="131">
        <v>0.26032140414176069</v>
      </c>
      <c r="BT42" s="131">
        <v>8.8583513310950828</v>
      </c>
      <c r="BU42" s="131">
        <v>16.933757084832706</v>
      </c>
      <c r="BV42" s="131">
        <v>14.027239726779138</v>
      </c>
      <c r="BW42" s="131">
        <v>4.3387515893453958</v>
      </c>
      <c r="BX42" s="104">
        <f t="shared" si="1"/>
        <v>12</v>
      </c>
      <c r="BY42" s="97" t="str">
        <f t="shared" si="1"/>
        <v>ANAKOL 4_1 SULAMA</v>
      </c>
      <c r="BZ42" s="119">
        <f t="shared" si="1"/>
        <v>6.1295947190476208E-2</v>
      </c>
      <c r="CA42" s="119">
        <f t="shared" si="1"/>
        <v>0</v>
      </c>
      <c r="CB42" s="119">
        <f t="shared" si="1"/>
        <v>0</v>
      </c>
      <c r="CC42" s="119">
        <f t="shared" si="1"/>
        <v>0</v>
      </c>
      <c r="CD42" s="119">
        <f t="shared" si="1"/>
        <v>0</v>
      </c>
      <c r="CE42" s="119">
        <f t="shared" si="1"/>
        <v>0</v>
      </c>
      <c r="CF42" s="119">
        <f t="shared" si="1"/>
        <v>0</v>
      </c>
      <c r="CG42" s="119">
        <f t="shared" si="1"/>
        <v>0.20115744865499691</v>
      </c>
      <c r="CH42" s="119">
        <f t="shared" si="1"/>
        <v>6.8450896649371087</v>
      </c>
      <c r="CI42" s="119">
        <f t="shared" si="1"/>
        <v>13.085175929188908</v>
      </c>
      <c r="CJ42" s="119">
        <f t="shared" si="1"/>
        <v>10.839230697965696</v>
      </c>
      <c r="CK42" s="119">
        <f t="shared" si="1"/>
        <v>3.3526716826759873</v>
      </c>
      <c r="CL42" s="104">
        <v>12</v>
      </c>
      <c r="CM42" s="104" t="s">
        <v>27</v>
      </c>
      <c r="CN42" s="131">
        <v>16.933757084832706</v>
      </c>
      <c r="CO42" s="131">
        <v>16.933757084832706</v>
      </c>
      <c r="CP42" s="131">
        <v>16.933757084832706</v>
      </c>
      <c r="CQ42" s="131">
        <v>16.933757084832706</v>
      </c>
      <c r="CR42" s="131">
        <v>16.933757084832706</v>
      </c>
      <c r="CS42" s="131">
        <v>16.933757084832706</v>
      </c>
      <c r="CT42" s="131">
        <v>16.933757084832706</v>
      </c>
      <c r="CU42" s="131">
        <v>16.933757084832706</v>
      </c>
      <c r="CV42" s="131">
        <v>16.933757084832706</v>
      </c>
      <c r="CW42" s="131">
        <v>16.933757084832706</v>
      </c>
      <c r="CX42" s="131">
        <v>16.933757084832706</v>
      </c>
      <c r="CY42" s="131">
        <v>16.933757084832706</v>
      </c>
    </row>
    <row r="43" spans="1:103" ht="12" customHeight="1" x14ac:dyDescent="0.2">
      <c r="A43" s="104">
        <v>11</v>
      </c>
      <c r="B43" s="104" t="s">
        <v>26</v>
      </c>
      <c r="C43" s="105">
        <v>0</v>
      </c>
      <c r="D43" s="105">
        <v>0</v>
      </c>
      <c r="E43" s="105">
        <v>0</v>
      </c>
      <c r="F43" s="105">
        <v>0</v>
      </c>
      <c r="G43" s="105">
        <v>0</v>
      </c>
      <c r="H43" s="105">
        <v>0</v>
      </c>
      <c r="I43" s="105">
        <v>0</v>
      </c>
      <c r="J43" s="105">
        <v>0</v>
      </c>
      <c r="K43" s="105">
        <v>0</v>
      </c>
      <c r="L43" s="105">
        <v>0</v>
      </c>
      <c r="M43" s="105">
        <v>0</v>
      </c>
      <c r="N43" s="105">
        <v>0</v>
      </c>
      <c r="O43" s="105">
        <v>0</v>
      </c>
      <c r="Q43" s="104">
        <v>11</v>
      </c>
      <c r="R43" s="97" t="s">
        <v>26</v>
      </c>
      <c r="S43" s="120">
        <v>0</v>
      </c>
      <c r="T43" s="120">
        <v>0</v>
      </c>
      <c r="U43" s="120">
        <v>0</v>
      </c>
      <c r="V43" s="120">
        <v>0</v>
      </c>
      <c r="W43" s="120">
        <v>0</v>
      </c>
      <c r="X43" s="120">
        <v>0</v>
      </c>
      <c r="Y43" s="120">
        <v>0</v>
      </c>
      <c r="Z43" s="120">
        <v>0</v>
      </c>
      <c r="AA43" s="120">
        <v>0</v>
      </c>
      <c r="AB43" s="120">
        <v>0</v>
      </c>
      <c r="AC43" s="120">
        <v>0</v>
      </c>
      <c r="AD43" s="120">
        <v>0</v>
      </c>
      <c r="AF43" s="104">
        <v>11</v>
      </c>
      <c r="AG43" s="97" t="s">
        <v>26</v>
      </c>
      <c r="AH43" s="120">
        <v>0</v>
      </c>
      <c r="AI43" s="120">
        <v>0</v>
      </c>
      <c r="AJ43" s="120">
        <v>0</v>
      </c>
      <c r="AK43" s="120">
        <v>0</v>
      </c>
      <c r="AL43" s="120">
        <v>0</v>
      </c>
      <c r="AM43" s="120">
        <v>0</v>
      </c>
      <c r="AN43" s="120">
        <v>0</v>
      </c>
      <c r="AO43" s="120">
        <v>0</v>
      </c>
      <c r="AP43" s="120">
        <v>0</v>
      </c>
      <c r="AQ43" s="120">
        <v>0</v>
      </c>
      <c r="AR43" s="120">
        <v>0</v>
      </c>
      <c r="AS43" s="120">
        <v>0</v>
      </c>
      <c r="AT43" s="120">
        <v>0</v>
      </c>
      <c r="AV43" s="104">
        <v>13</v>
      </c>
      <c r="AW43" s="104" t="s">
        <v>28</v>
      </c>
      <c r="AX43" s="131">
        <v>0</v>
      </c>
      <c r="AY43" s="131">
        <v>0</v>
      </c>
      <c r="AZ43" s="131">
        <v>0</v>
      </c>
      <c r="BA43" s="131">
        <v>0</v>
      </c>
      <c r="BB43" s="131">
        <v>0</v>
      </c>
      <c r="BC43" s="131">
        <v>0</v>
      </c>
      <c r="BD43" s="131">
        <v>0</v>
      </c>
      <c r="BE43" s="131">
        <v>0</v>
      </c>
      <c r="BF43" s="131">
        <v>0</v>
      </c>
      <c r="BG43" s="131">
        <v>0</v>
      </c>
      <c r="BH43" s="131">
        <v>0</v>
      </c>
      <c r="BI43" s="131">
        <v>0</v>
      </c>
      <c r="BJ43" s="104">
        <v>13</v>
      </c>
      <c r="BK43" s="104" t="s">
        <v>28</v>
      </c>
      <c r="BL43" s="131">
        <v>0</v>
      </c>
      <c r="BM43" s="131">
        <v>0</v>
      </c>
      <c r="BN43" s="131">
        <v>0</v>
      </c>
      <c r="BO43" s="131">
        <v>0</v>
      </c>
      <c r="BP43" s="131">
        <v>0</v>
      </c>
      <c r="BQ43" s="131">
        <v>0</v>
      </c>
      <c r="BR43" s="131">
        <v>0</v>
      </c>
      <c r="BS43" s="131">
        <v>0.67217985759325938</v>
      </c>
      <c r="BT43" s="131">
        <v>1.2476908296949654</v>
      </c>
      <c r="BU43" s="131">
        <v>1.8635306157477458</v>
      </c>
      <c r="BV43" s="131">
        <v>1.6762296753420838</v>
      </c>
      <c r="BW43" s="131">
        <v>0.63878833384172506</v>
      </c>
      <c r="BX43" s="104">
        <f t="shared" si="1"/>
        <v>13</v>
      </c>
      <c r="BY43" s="97" t="str">
        <f t="shared" si="1"/>
        <v>ASAKARYA SULAMA</v>
      </c>
      <c r="BZ43" s="119">
        <f t="shared" si="1"/>
        <v>0</v>
      </c>
      <c r="CA43" s="119">
        <f t="shared" si="1"/>
        <v>0</v>
      </c>
      <c r="CB43" s="119">
        <f t="shared" si="1"/>
        <v>0</v>
      </c>
      <c r="CC43" s="119">
        <f t="shared" si="1"/>
        <v>0</v>
      </c>
      <c r="CD43" s="119">
        <f t="shared" si="1"/>
        <v>0</v>
      </c>
      <c r="CE43" s="119">
        <f t="shared" si="1"/>
        <v>0</v>
      </c>
      <c r="CF43" s="119">
        <f t="shared" si="1"/>
        <v>0</v>
      </c>
      <c r="CG43" s="119">
        <f t="shared" si="1"/>
        <v>0.58051896792145286</v>
      </c>
      <c r="CH43" s="119">
        <f t="shared" si="1"/>
        <v>1.0775511711001968</v>
      </c>
      <c r="CI43" s="119">
        <f t="shared" si="1"/>
        <v>1.609412804509418</v>
      </c>
      <c r="CJ43" s="119">
        <f t="shared" si="1"/>
        <v>1.4476529014317983</v>
      </c>
      <c r="CK43" s="119">
        <f t="shared" si="1"/>
        <v>0.55168083377239796</v>
      </c>
      <c r="CL43" s="104">
        <v>13</v>
      </c>
      <c r="CM43" s="104" t="s">
        <v>28</v>
      </c>
      <c r="CN43" s="131">
        <v>1.8635306157477458</v>
      </c>
      <c r="CO43" s="131">
        <v>1.8635306157477458</v>
      </c>
      <c r="CP43" s="131">
        <v>1.8635306157477458</v>
      </c>
      <c r="CQ43" s="131">
        <v>1.8635306157477458</v>
      </c>
      <c r="CR43" s="131">
        <v>1.8635306157477458</v>
      </c>
      <c r="CS43" s="131">
        <v>1.8635306157477458</v>
      </c>
      <c r="CT43" s="131">
        <v>1.8635306157477458</v>
      </c>
      <c r="CU43" s="131">
        <v>1.8635306157477458</v>
      </c>
      <c r="CV43" s="131">
        <v>1.8635306157477458</v>
      </c>
      <c r="CW43" s="131">
        <v>1.8635306157477458</v>
      </c>
      <c r="CX43" s="131">
        <v>1.8635306157477458</v>
      </c>
      <c r="CY43" s="131">
        <v>1.8635306157477458</v>
      </c>
    </row>
    <row r="44" spans="1:103" ht="12" customHeight="1" x14ac:dyDescent="0.2">
      <c r="A44" s="104">
        <v>12</v>
      </c>
      <c r="B44" s="104" t="s">
        <v>27</v>
      </c>
      <c r="C44" s="105">
        <v>0</v>
      </c>
      <c r="D44" s="105">
        <v>0</v>
      </c>
      <c r="E44" s="105">
        <v>0</v>
      </c>
      <c r="F44" s="105">
        <v>0</v>
      </c>
      <c r="G44" s="105">
        <v>0</v>
      </c>
      <c r="H44" s="105">
        <v>0</v>
      </c>
      <c r="I44" s="105">
        <v>0</v>
      </c>
      <c r="J44" s="105">
        <v>0</v>
      </c>
      <c r="K44" s="105">
        <v>0</v>
      </c>
      <c r="L44" s="105">
        <v>0</v>
      </c>
      <c r="M44" s="105">
        <v>0</v>
      </c>
      <c r="N44" s="105">
        <v>0</v>
      </c>
      <c r="O44" s="105">
        <v>0</v>
      </c>
      <c r="Q44" s="104">
        <v>12</v>
      </c>
      <c r="R44" s="97" t="s">
        <v>27</v>
      </c>
      <c r="S44" s="120">
        <v>0</v>
      </c>
      <c r="T44" s="120">
        <v>0</v>
      </c>
      <c r="U44" s="120">
        <v>0</v>
      </c>
      <c r="V44" s="120">
        <v>0</v>
      </c>
      <c r="W44" s="120">
        <v>0</v>
      </c>
      <c r="X44" s="120">
        <v>0</v>
      </c>
      <c r="Y44" s="120">
        <v>0</v>
      </c>
      <c r="Z44" s="120">
        <v>0</v>
      </c>
      <c r="AA44" s="120">
        <v>0</v>
      </c>
      <c r="AB44" s="120">
        <v>0</v>
      </c>
      <c r="AC44" s="120">
        <v>0</v>
      </c>
      <c r="AD44" s="120">
        <v>0</v>
      </c>
      <c r="AF44" s="104">
        <v>12</v>
      </c>
      <c r="AG44" s="97" t="s">
        <v>27</v>
      </c>
      <c r="AH44" s="120">
        <v>0</v>
      </c>
      <c r="AI44" s="120">
        <v>0</v>
      </c>
      <c r="AJ44" s="120">
        <v>0</v>
      </c>
      <c r="AK44" s="120">
        <v>0</v>
      </c>
      <c r="AL44" s="120">
        <v>0</v>
      </c>
      <c r="AM44" s="120">
        <v>0</v>
      </c>
      <c r="AN44" s="120">
        <v>0</v>
      </c>
      <c r="AO44" s="120">
        <v>0</v>
      </c>
      <c r="AP44" s="120">
        <v>0</v>
      </c>
      <c r="AQ44" s="120">
        <v>0</v>
      </c>
      <c r="AR44" s="120">
        <v>0</v>
      </c>
      <c r="AS44" s="120">
        <v>0</v>
      </c>
      <c r="AT44" s="120">
        <v>0</v>
      </c>
      <c r="AV44" s="104"/>
      <c r="BJ44" s="104"/>
      <c r="CL44" s="104"/>
    </row>
    <row r="45" spans="1:103" ht="12" customHeight="1" x14ac:dyDescent="0.2">
      <c r="A45" s="104">
        <v>13</v>
      </c>
      <c r="B45" s="104" t="s">
        <v>28</v>
      </c>
      <c r="C45" s="105">
        <v>0</v>
      </c>
      <c r="D45" s="105">
        <v>0</v>
      </c>
      <c r="E45" s="105">
        <v>0</v>
      </c>
      <c r="F45" s="105">
        <v>0</v>
      </c>
      <c r="G45" s="105">
        <v>0</v>
      </c>
      <c r="H45" s="105">
        <v>0</v>
      </c>
      <c r="I45" s="105">
        <v>0</v>
      </c>
      <c r="J45" s="105">
        <v>0</v>
      </c>
      <c r="K45" s="105">
        <v>0</v>
      </c>
      <c r="L45" s="105">
        <v>0</v>
      </c>
      <c r="M45" s="105">
        <v>0</v>
      </c>
      <c r="N45" s="105">
        <v>0</v>
      </c>
      <c r="O45" s="105">
        <v>0</v>
      </c>
      <c r="Q45" s="104">
        <v>13</v>
      </c>
      <c r="R45" s="97" t="s">
        <v>28</v>
      </c>
      <c r="S45" s="120">
        <v>0</v>
      </c>
      <c r="T45" s="120">
        <v>0</v>
      </c>
      <c r="U45" s="120">
        <v>0</v>
      </c>
      <c r="V45" s="120">
        <v>0</v>
      </c>
      <c r="W45" s="120">
        <v>0</v>
      </c>
      <c r="X45" s="120">
        <v>0</v>
      </c>
      <c r="Y45" s="120">
        <v>0</v>
      </c>
      <c r="Z45" s="120">
        <v>0</v>
      </c>
      <c r="AA45" s="120">
        <v>0</v>
      </c>
      <c r="AB45" s="120">
        <v>0</v>
      </c>
      <c r="AC45" s="120">
        <v>0</v>
      </c>
      <c r="AD45" s="120">
        <v>0</v>
      </c>
      <c r="AF45" s="104">
        <v>13</v>
      </c>
      <c r="AG45" s="97" t="s">
        <v>28</v>
      </c>
      <c r="AH45" s="120">
        <v>0</v>
      </c>
      <c r="AI45" s="120">
        <v>0</v>
      </c>
      <c r="AJ45" s="120">
        <v>0</v>
      </c>
      <c r="AK45" s="120">
        <v>0</v>
      </c>
      <c r="AL45" s="120">
        <v>0</v>
      </c>
      <c r="AM45" s="120">
        <v>0</v>
      </c>
      <c r="AN45" s="120">
        <v>0</v>
      </c>
      <c r="AO45" s="120">
        <v>0</v>
      </c>
      <c r="AP45" s="120">
        <v>0</v>
      </c>
      <c r="AQ45" s="120">
        <v>0</v>
      </c>
      <c r="AR45" s="120">
        <v>0</v>
      </c>
      <c r="AS45" s="120">
        <v>0</v>
      </c>
      <c r="AT45" s="120">
        <v>0</v>
      </c>
      <c r="AV45" s="104">
        <v>1</v>
      </c>
      <c r="AW45" s="104" t="s">
        <v>21</v>
      </c>
      <c r="AX45" s="133">
        <f t="array" ref="AX45:BI70">BZ18:CK43-AX18:BI43</f>
        <v>0</v>
      </c>
      <c r="AY45" s="133">
        <v>0</v>
      </c>
      <c r="AZ45" s="133">
        <v>0</v>
      </c>
      <c r="BA45" s="133">
        <v>0</v>
      </c>
      <c r="BB45" s="133">
        <v>0</v>
      </c>
      <c r="BC45" s="133">
        <v>0</v>
      </c>
      <c r="BD45" s="133">
        <v>0</v>
      </c>
      <c r="BE45" s="133">
        <v>0</v>
      </c>
      <c r="BF45" s="133">
        <v>0</v>
      </c>
      <c r="BG45" s="133">
        <v>0</v>
      </c>
      <c r="BH45" s="133">
        <v>0</v>
      </c>
      <c r="BI45" s="133">
        <v>0</v>
      </c>
      <c r="BJ45" s="104">
        <v>1</v>
      </c>
      <c r="BK45" s="104" t="s">
        <v>21</v>
      </c>
      <c r="BL45" s="133">
        <f t="array" ref="BL45:BW70">BL18:BW43-BZ18:CK43</f>
        <v>0</v>
      </c>
      <c r="BM45" s="133">
        <v>0</v>
      </c>
      <c r="BN45" s="133">
        <v>0</v>
      </c>
      <c r="BO45" s="133">
        <v>0</v>
      </c>
      <c r="BP45" s="133">
        <v>0</v>
      </c>
      <c r="BQ45" s="133">
        <v>0</v>
      </c>
      <c r="BR45" s="133">
        <v>0</v>
      </c>
      <c r="BS45" s="133">
        <v>0</v>
      </c>
      <c r="BT45" s="133">
        <v>0</v>
      </c>
      <c r="BU45" s="133">
        <v>0</v>
      </c>
      <c r="BV45" s="133">
        <v>0</v>
      </c>
      <c r="BW45" s="133">
        <v>0</v>
      </c>
      <c r="BX45" s="99"/>
      <c r="BY45" s="135" t="s">
        <v>111</v>
      </c>
      <c r="BZ45" s="99"/>
      <c r="CA45" s="99"/>
      <c r="CB45" s="99"/>
      <c r="CC45" s="99"/>
      <c r="CD45" s="99"/>
      <c r="CE45" s="99"/>
      <c r="CF45" s="99"/>
      <c r="CG45" s="99"/>
      <c r="CH45" s="99"/>
      <c r="CI45" s="99"/>
      <c r="CJ45" s="99"/>
      <c r="CK45" s="99"/>
      <c r="CL45" s="104"/>
      <c r="CM45" s="104"/>
      <c r="CN45" s="133"/>
      <c r="CO45" s="133"/>
      <c r="CP45" s="133"/>
      <c r="CQ45" s="133"/>
      <c r="CR45" s="133"/>
      <c r="CS45" s="133"/>
      <c r="CT45" s="133"/>
      <c r="CU45" s="133"/>
      <c r="CV45" s="133"/>
      <c r="CW45" s="133"/>
      <c r="CX45" s="133"/>
    </row>
    <row r="46" spans="1:103" ht="12" customHeight="1" x14ac:dyDescent="0.2">
      <c r="C46" s="97"/>
      <c r="R46" s="97"/>
      <c r="AG46" s="98"/>
      <c r="AH46" s="98"/>
      <c r="AI46" s="98"/>
      <c r="AJ46" s="98"/>
      <c r="AK46" s="98"/>
      <c r="AL46" s="98"/>
      <c r="AM46" s="98"/>
      <c r="AN46" s="98"/>
      <c r="AO46" s="98"/>
      <c r="AP46" s="98"/>
      <c r="AQ46" s="98"/>
      <c r="AR46" s="98"/>
      <c r="AS46" s="98"/>
      <c r="AV46" s="104">
        <v>2</v>
      </c>
      <c r="AW46" s="104" t="s">
        <v>22</v>
      </c>
      <c r="AX46" s="133">
        <v>0</v>
      </c>
      <c r="AY46" s="133">
        <v>0</v>
      </c>
      <c r="AZ46" s="133">
        <v>0</v>
      </c>
      <c r="BA46" s="133">
        <v>0</v>
      </c>
      <c r="BB46" s="133">
        <v>0</v>
      </c>
      <c r="BC46" s="133">
        <v>0</v>
      </c>
      <c r="BD46" s="133">
        <v>0</v>
      </c>
      <c r="BE46" s="133">
        <v>0</v>
      </c>
      <c r="BF46" s="133">
        <v>0</v>
      </c>
      <c r="BG46" s="133">
        <v>0</v>
      </c>
      <c r="BH46" s="133">
        <v>0</v>
      </c>
      <c r="BI46" s="133">
        <v>0</v>
      </c>
      <c r="BJ46" s="104">
        <v>2</v>
      </c>
      <c r="BK46" s="104" t="s">
        <v>22</v>
      </c>
      <c r="BL46" s="133">
        <v>0</v>
      </c>
      <c r="BM46" s="133">
        <v>0</v>
      </c>
      <c r="BN46" s="133">
        <v>0</v>
      </c>
      <c r="BO46" s="133">
        <v>0</v>
      </c>
      <c r="BP46" s="133">
        <v>0</v>
      </c>
      <c r="BQ46" s="133">
        <v>0</v>
      </c>
      <c r="BR46" s="133">
        <v>0</v>
      </c>
      <c r="BS46" s="133">
        <v>0</v>
      </c>
      <c r="BT46" s="133">
        <v>0</v>
      </c>
      <c r="BU46" s="133">
        <v>0</v>
      </c>
      <c r="BV46" s="133">
        <v>0</v>
      </c>
      <c r="BW46" s="133">
        <v>0</v>
      </c>
      <c r="BX46" s="99"/>
      <c r="BY46" s="99" t="s">
        <v>72</v>
      </c>
      <c r="BZ46" s="126">
        <v>0</v>
      </c>
      <c r="CA46" s="126">
        <v>0</v>
      </c>
      <c r="CB46" s="126">
        <v>0</v>
      </c>
      <c r="CC46" s="126">
        <v>0</v>
      </c>
      <c r="CD46" s="126">
        <v>0</v>
      </c>
      <c r="CE46" s="126">
        <v>0</v>
      </c>
      <c r="CF46" s="126">
        <v>0</v>
      </c>
      <c r="CG46" s="126">
        <v>0</v>
      </c>
      <c r="CH46" s="126">
        <v>0</v>
      </c>
      <c r="CI46" s="126">
        <v>0</v>
      </c>
      <c r="CJ46" s="126">
        <v>0</v>
      </c>
      <c r="CK46" s="126">
        <v>0</v>
      </c>
      <c r="CL46" s="104"/>
      <c r="CM46" s="104"/>
      <c r="CN46" s="133"/>
      <c r="CO46" s="133"/>
      <c r="CP46" s="133"/>
      <c r="CQ46" s="133"/>
      <c r="CR46" s="133"/>
      <c r="CS46" s="133"/>
      <c r="CT46" s="133"/>
      <c r="CU46" s="133"/>
      <c r="CV46" s="133"/>
      <c r="CW46" s="133"/>
      <c r="CX46" s="133"/>
    </row>
    <row r="47" spans="1:103" ht="12" customHeight="1" x14ac:dyDescent="0.2">
      <c r="B47" s="118" t="s">
        <v>35</v>
      </c>
      <c r="C47" s="102" t="s">
        <v>1</v>
      </c>
      <c r="D47" s="102" t="s">
        <v>2</v>
      </c>
      <c r="E47" s="102" t="s">
        <v>3</v>
      </c>
      <c r="F47" s="102" t="s">
        <v>4</v>
      </c>
      <c r="G47" s="102" t="s">
        <v>5</v>
      </c>
      <c r="H47" s="102" t="s">
        <v>6</v>
      </c>
      <c r="I47" s="102" t="s">
        <v>7</v>
      </c>
      <c r="J47" s="102" t="s">
        <v>8</v>
      </c>
      <c r="K47" s="102" t="s">
        <v>9</v>
      </c>
      <c r="L47" s="102" t="s">
        <v>10</v>
      </c>
      <c r="M47" s="102" t="s">
        <v>11</v>
      </c>
      <c r="N47" s="102" t="s">
        <v>12</v>
      </c>
      <c r="O47" s="97"/>
      <c r="P47" s="97"/>
      <c r="R47" s="136" t="s">
        <v>147</v>
      </c>
      <c r="S47" s="137"/>
      <c r="T47" s="137"/>
      <c r="U47" s="137"/>
      <c r="V47" s="137"/>
      <c r="W47" s="137"/>
      <c r="X47" s="137"/>
      <c r="Y47" s="137"/>
      <c r="Z47" s="137"/>
      <c r="AA47" s="137"/>
      <c r="AB47" s="137"/>
      <c r="AC47" s="137"/>
      <c r="AD47" s="137"/>
      <c r="AG47" s="116" t="s">
        <v>106</v>
      </c>
      <c r="AH47" s="103"/>
      <c r="AI47" s="103"/>
      <c r="AJ47" s="103"/>
      <c r="AK47" s="103"/>
      <c r="AL47" s="103"/>
      <c r="AM47" s="103"/>
      <c r="AN47" s="103"/>
      <c r="AO47" s="103"/>
      <c r="AP47" s="103"/>
      <c r="AQ47" s="103"/>
      <c r="AR47" s="103"/>
      <c r="AS47" s="103"/>
      <c r="AV47" s="104">
        <v>3</v>
      </c>
      <c r="AW47" s="104" t="s">
        <v>17</v>
      </c>
      <c r="AX47" s="133">
        <v>0</v>
      </c>
      <c r="AY47" s="133">
        <v>0</v>
      </c>
      <c r="AZ47" s="133">
        <v>0</v>
      </c>
      <c r="BA47" s="133">
        <v>0</v>
      </c>
      <c r="BB47" s="133">
        <v>0</v>
      </c>
      <c r="BC47" s="133">
        <v>0</v>
      </c>
      <c r="BD47" s="133">
        <v>0</v>
      </c>
      <c r="BE47" s="133">
        <v>0</v>
      </c>
      <c r="BF47" s="133">
        <v>0</v>
      </c>
      <c r="BG47" s="133">
        <v>0</v>
      </c>
      <c r="BH47" s="133">
        <v>0</v>
      </c>
      <c r="BI47" s="133">
        <v>0</v>
      </c>
      <c r="BJ47" s="104">
        <v>3</v>
      </c>
      <c r="BK47" s="104" t="s">
        <v>17</v>
      </c>
      <c r="BL47" s="133">
        <v>0</v>
      </c>
      <c r="BM47" s="133">
        <v>0</v>
      </c>
      <c r="BN47" s="133">
        <v>0</v>
      </c>
      <c r="BO47" s="133">
        <v>0</v>
      </c>
      <c r="BP47" s="133">
        <v>0</v>
      </c>
      <c r="BQ47" s="133">
        <v>0</v>
      </c>
      <c r="BR47" s="133">
        <v>0</v>
      </c>
      <c r="BS47" s="133">
        <v>0</v>
      </c>
      <c r="BT47" s="133">
        <v>0</v>
      </c>
      <c r="BU47" s="133">
        <v>0</v>
      </c>
      <c r="BV47" s="133">
        <v>0</v>
      </c>
      <c r="BW47" s="133">
        <v>0</v>
      </c>
      <c r="BX47" s="99"/>
      <c r="BY47" s="99" t="s">
        <v>73</v>
      </c>
      <c r="BZ47" s="126">
        <v>0</v>
      </c>
      <c r="CA47" s="126">
        <v>0</v>
      </c>
      <c r="CB47" s="126">
        <v>0</v>
      </c>
      <c r="CC47" s="126">
        <v>0</v>
      </c>
      <c r="CD47" s="126">
        <v>0</v>
      </c>
      <c r="CE47" s="126">
        <v>0</v>
      </c>
      <c r="CF47" s="126">
        <v>0</v>
      </c>
      <c r="CG47" s="126">
        <v>0</v>
      </c>
      <c r="CH47" s="126">
        <v>0</v>
      </c>
      <c r="CI47" s="126">
        <v>0</v>
      </c>
      <c r="CJ47" s="126">
        <v>0</v>
      </c>
      <c r="CK47" s="126">
        <v>0</v>
      </c>
      <c r="CL47" s="104"/>
      <c r="CM47" s="104"/>
      <c r="CN47" s="133"/>
      <c r="CO47" s="133"/>
      <c r="CP47" s="133"/>
      <c r="CQ47" s="133"/>
      <c r="CR47" s="133"/>
      <c r="CS47" s="133"/>
      <c r="CT47" s="133"/>
      <c r="CU47" s="133"/>
      <c r="CV47" s="133"/>
      <c r="CW47" s="133"/>
      <c r="CX47" s="133"/>
    </row>
    <row r="48" spans="1:103" ht="12" customHeight="1" x14ac:dyDescent="0.2">
      <c r="A48" s="104">
        <v>1</v>
      </c>
      <c r="B48" s="104" t="s">
        <v>21</v>
      </c>
      <c r="C48" s="126">
        <f t="array" ref="C48:N60">C63:N75+C78:N90</f>
        <v>0</v>
      </c>
      <c r="D48" s="126">
        <v>0</v>
      </c>
      <c r="E48" s="126">
        <v>0</v>
      </c>
      <c r="F48" s="126">
        <v>0</v>
      </c>
      <c r="G48" s="126">
        <v>0</v>
      </c>
      <c r="H48" s="126">
        <v>0</v>
      </c>
      <c r="I48" s="126">
        <v>0</v>
      </c>
      <c r="J48" s="126">
        <v>0</v>
      </c>
      <c r="K48" s="126">
        <v>0</v>
      </c>
      <c r="L48" s="126">
        <v>0</v>
      </c>
      <c r="M48" s="126">
        <v>0</v>
      </c>
      <c r="N48" s="126">
        <v>0</v>
      </c>
      <c r="O48" s="97"/>
      <c r="P48" s="97"/>
      <c r="Q48" s="104">
        <v>1</v>
      </c>
      <c r="R48" s="97" t="s">
        <v>21</v>
      </c>
      <c r="S48" s="139">
        <f t="array" ref="S48:AD60">S63:AD75-C48:N60-S123:AD135</f>
        <v>43.852295408621302</v>
      </c>
      <c r="T48" s="139">
        <v>50.680179315279609</v>
      </c>
      <c r="U48" s="139">
        <v>57.328781737684551</v>
      </c>
      <c r="V48" s="139">
        <v>58.897114264309415</v>
      </c>
      <c r="W48" s="139">
        <v>55.692996633435243</v>
      </c>
      <c r="X48" s="139">
        <v>65.90761051895069</v>
      </c>
      <c r="Y48" s="139">
        <v>60.340719394558143</v>
      </c>
      <c r="Z48" s="139">
        <v>60.848900369883339</v>
      </c>
      <c r="AA48" s="139">
        <v>64.374627802013038</v>
      </c>
      <c r="AB48" s="139">
        <v>51.887808479838839</v>
      </c>
      <c r="AC48" s="139">
        <v>43.742853350018393</v>
      </c>
      <c r="AD48" s="139">
        <v>34.569292325235708</v>
      </c>
      <c r="AF48" s="104">
        <v>1</v>
      </c>
      <c r="AG48" s="97" t="s">
        <v>21</v>
      </c>
      <c r="AH48" s="141">
        <f t="array" ref="AH48:AS60">100*(1-(S18:AD30/C138:N150))</f>
        <v>29.867683595225415</v>
      </c>
      <c r="AI48" s="141">
        <v>28.677647012050411</v>
      </c>
      <c r="AJ48" s="141">
        <v>32.923300719285933</v>
      </c>
      <c r="AK48" s="141">
        <v>34.768136040009686</v>
      </c>
      <c r="AL48" s="141">
        <v>40.090473951069448</v>
      </c>
      <c r="AM48" s="141">
        <v>40.93053796420125</v>
      </c>
      <c r="AN48" s="141">
        <v>42.152715251653092</v>
      </c>
      <c r="AO48" s="141">
        <v>34.963940613210468</v>
      </c>
      <c r="AP48" s="141">
        <v>28.305627487887342</v>
      </c>
      <c r="AQ48" s="141">
        <v>20.833311084552641</v>
      </c>
      <c r="AR48" s="141">
        <v>25.19149272992739</v>
      </c>
      <c r="AS48" s="141">
        <v>35.294061585657957</v>
      </c>
      <c r="AV48" s="108">
        <v>4</v>
      </c>
      <c r="AW48" s="108" t="s">
        <v>0</v>
      </c>
      <c r="AX48" s="134">
        <v>26.589470773822143</v>
      </c>
      <c r="AY48" s="134">
        <v>34.824579370414256</v>
      </c>
      <c r="AZ48" s="134">
        <v>38.633928535265511</v>
      </c>
      <c r="BA48" s="134">
        <v>49.16461160997639</v>
      </c>
      <c r="BB48" s="134">
        <v>52.730549044702485</v>
      </c>
      <c r="BC48" s="134">
        <v>63.119108690289821</v>
      </c>
      <c r="BD48" s="134">
        <v>83.131975771587761</v>
      </c>
      <c r="BE48" s="134">
        <v>40.478249843675954</v>
      </c>
      <c r="BF48" s="134">
        <v>15.371693240598958</v>
      </c>
      <c r="BG48" s="134">
        <v>3.9813889725958376</v>
      </c>
      <c r="BH48" s="134">
        <v>4.819082600407512</v>
      </c>
      <c r="BI48" s="134">
        <v>11.897237708720624</v>
      </c>
      <c r="BJ48" s="108">
        <v>4</v>
      </c>
      <c r="BK48" s="108" t="s">
        <v>0</v>
      </c>
      <c r="BL48" s="134">
        <v>7628.2474352282388</v>
      </c>
      <c r="BM48" s="134">
        <v>7622.3855451133313</v>
      </c>
      <c r="BN48" s="134">
        <v>7615.9308078518679</v>
      </c>
      <c r="BO48" s="134">
        <v>7605.4682433102598</v>
      </c>
      <c r="BP48" s="134">
        <v>7609.6982270565695</v>
      </c>
      <c r="BQ48" s="134">
        <v>7588.4590026581445</v>
      </c>
      <c r="BR48" s="134">
        <v>7574.5103235428805</v>
      </c>
      <c r="BS48" s="134">
        <v>7614.7334893748166</v>
      </c>
      <c r="BT48" s="134">
        <v>7642.4111856011205</v>
      </c>
      <c r="BU48" s="134">
        <v>7651.290377582739</v>
      </c>
      <c r="BV48" s="134">
        <v>7650.429495026794</v>
      </c>
      <c r="BW48" s="134">
        <v>7645.5245702368511</v>
      </c>
      <c r="BX48" s="99"/>
      <c r="BY48" s="99" t="s">
        <v>74</v>
      </c>
      <c r="BZ48" s="126">
        <v>0</v>
      </c>
      <c r="CA48" s="126">
        <v>0</v>
      </c>
      <c r="CB48" s="126">
        <v>0</v>
      </c>
      <c r="CC48" s="126">
        <v>0</v>
      </c>
      <c r="CD48" s="126">
        <v>0</v>
      </c>
      <c r="CE48" s="126">
        <v>0</v>
      </c>
      <c r="CF48" s="126">
        <v>0</v>
      </c>
      <c r="CG48" s="126">
        <v>0</v>
      </c>
      <c r="CH48" s="126">
        <v>0</v>
      </c>
      <c r="CI48" s="126">
        <v>0</v>
      </c>
      <c r="CJ48" s="126">
        <v>0</v>
      </c>
      <c r="CK48" s="126">
        <v>0</v>
      </c>
      <c r="CL48" s="108"/>
      <c r="CM48" s="108"/>
      <c r="CN48" s="134"/>
      <c r="CO48" s="134"/>
      <c r="CP48" s="134"/>
      <c r="CQ48" s="134"/>
      <c r="CR48" s="134"/>
      <c r="CS48" s="134"/>
      <c r="CT48" s="134"/>
      <c r="CU48" s="134"/>
      <c r="CV48" s="134"/>
      <c r="CW48" s="134"/>
      <c r="CX48" s="134"/>
    </row>
    <row r="49" spans="1:102" ht="12" customHeight="1" x14ac:dyDescent="0.2">
      <c r="A49" s="104">
        <v>2</v>
      </c>
      <c r="B49" s="104" t="s">
        <v>22</v>
      </c>
      <c r="C49" s="126">
        <v>0</v>
      </c>
      <c r="D49" s="126">
        <v>0</v>
      </c>
      <c r="E49" s="126">
        <v>0</v>
      </c>
      <c r="F49" s="126">
        <v>0</v>
      </c>
      <c r="G49" s="126">
        <v>0</v>
      </c>
      <c r="H49" s="126">
        <v>0</v>
      </c>
      <c r="I49" s="126">
        <v>0</v>
      </c>
      <c r="J49" s="126">
        <v>0</v>
      </c>
      <c r="K49" s="126">
        <v>0</v>
      </c>
      <c r="L49" s="126">
        <v>0</v>
      </c>
      <c r="M49" s="126">
        <v>0</v>
      </c>
      <c r="N49" s="126">
        <v>0</v>
      </c>
      <c r="O49" s="97"/>
      <c r="P49" s="97"/>
      <c r="Q49" s="104">
        <v>2</v>
      </c>
      <c r="R49" s="97" t="s">
        <v>22</v>
      </c>
      <c r="S49" s="139">
        <v>17.136009648320186</v>
      </c>
      <c r="T49" s="139">
        <v>28.858125024853376</v>
      </c>
      <c r="U49" s="139">
        <v>20.152310500344335</v>
      </c>
      <c r="V49" s="139">
        <v>22.567857320529725</v>
      </c>
      <c r="W49" s="139">
        <v>14.965828831178264</v>
      </c>
      <c r="X49" s="139">
        <v>6.9181381991925939</v>
      </c>
      <c r="Y49" s="139">
        <v>20.98544197413981</v>
      </c>
      <c r="Z49" s="139">
        <v>26.550868073722388</v>
      </c>
      <c r="AA49" s="139">
        <v>9.5033576031155462</v>
      </c>
      <c r="AB49" s="139">
        <v>10.084551538676894</v>
      </c>
      <c r="AC49" s="139">
        <v>10.293348853912551</v>
      </c>
      <c r="AD49" s="139">
        <v>18.299672661540889</v>
      </c>
      <c r="AF49" s="104">
        <v>2</v>
      </c>
      <c r="AG49" s="97" t="s">
        <v>22</v>
      </c>
      <c r="AH49" s="141">
        <v>41.529836791130194</v>
      </c>
      <c r="AI49" s="141">
        <v>30.534998790420953</v>
      </c>
      <c r="AJ49" s="141">
        <v>50.318672435917236</v>
      </c>
      <c r="AK49" s="141">
        <v>45.83353985676937</v>
      </c>
      <c r="AL49" s="141">
        <v>67.449666702924944</v>
      </c>
      <c r="AM49" s="141">
        <v>86.38396491592151</v>
      </c>
      <c r="AN49" s="141">
        <v>60.383529161659169</v>
      </c>
      <c r="AO49" s="141">
        <v>53.095884064400998</v>
      </c>
      <c r="AP49" s="141">
        <v>74.197918205345118</v>
      </c>
      <c r="AQ49" s="141">
        <v>68.009443099813154</v>
      </c>
      <c r="AR49" s="141">
        <v>65.573851134740281</v>
      </c>
      <c r="AS49" s="141">
        <v>39.31684196018567</v>
      </c>
      <c r="AV49" s="108">
        <v>5</v>
      </c>
      <c r="AW49" s="108" t="s">
        <v>16</v>
      </c>
      <c r="AX49" s="134">
        <v>25.559580592117129</v>
      </c>
      <c r="AY49" s="134">
        <v>34.423422138782982</v>
      </c>
      <c r="AZ49" s="134">
        <v>38.628244962594692</v>
      </c>
      <c r="BA49" s="134">
        <v>49.164611609976362</v>
      </c>
      <c r="BB49" s="134">
        <v>52.649067105956846</v>
      </c>
      <c r="BC49" s="134">
        <v>63.116601734672841</v>
      </c>
      <c r="BD49" s="134">
        <v>82.597126665220202</v>
      </c>
      <c r="BE49" s="134">
        <v>39.849598484255509</v>
      </c>
      <c r="BF49" s="134">
        <v>14.850288040582925</v>
      </c>
      <c r="BG49" s="134">
        <v>3.4774243781156997</v>
      </c>
      <c r="BH49" s="134">
        <v>4.1012504431222538</v>
      </c>
      <c r="BI49" s="134">
        <v>10.708409957835016</v>
      </c>
      <c r="BJ49" s="108">
        <v>5</v>
      </c>
      <c r="BK49" s="108" t="s">
        <v>16</v>
      </c>
      <c r="BL49" s="134">
        <v>7739.3236170534947</v>
      </c>
      <c r="BM49" s="134">
        <v>7733.1812911484603</v>
      </c>
      <c r="BN49" s="134">
        <v>7726.3655871572628</v>
      </c>
      <c r="BO49" s="134">
        <v>7715.8973390429837</v>
      </c>
      <c r="BP49" s="134">
        <v>7720.1248157927712</v>
      </c>
      <c r="BQ49" s="134">
        <v>7698.8906053464852</v>
      </c>
      <c r="BR49" s="134">
        <v>7684.9741395245974</v>
      </c>
      <c r="BS49" s="134">
        <v>7725.2141570480053</v>
      </c>
      <c r="BT49" s="134">
        <v>7752.7507861131253</v>
      </c>
      <c r="BU49" s="134">
        <v>7761.581322013395</v>
      </c>
      <c r="BV49" s="134">
        <v>7760.8066324570336</v>
      </c>
      <c r="BW49" s="134">
        <v>7756.535664455253</v>
      </c>
      <c r="BX49" s="99"/>
      <c r="BY49" s="143" t="s">
        <v>75</v>
      </c>
      <c r="BZ49" s="144">
        <v>233.61299894720221</v>
      </c>
      <c r="CA49" s="130">
        <v>233.61299894720221</v>
      </c>
      <c r="CB49" s="130">
        <v>233.61299894720221</v>
      </c>
      <c r="CC49" s="130">
        <v>233.61299894720221</v>
      </c>
      <c r="CD49" s="130">
        <v>233.61299894720221</v>
      </c>
      <c r="CE49" s="130">
        <v>233.61299894720221</v>
      </c>
      <c r="CF49" s="130">
        <v>233.61299894720221</v>
      </c>
      <c r="CG49" s="130">
        <v>233.61299894720221</v>
      </c>
      <c r="CH49" s="130">
        <v>233.61299894720221</v>
      </c>
      <c r="CI49" s="130">
        <v>233.61299894720221</v>
      </c>
      <c r="CJ49" s="130">
        <v>233.61299894720221</v>
      </c>
      <c r="CK49" s="130">
        <v>233.61299894720221</v>
      </c>
      <c r="CL49" s="108"/>
      <c r="CM49" s="108"/>
      <c r="CN49" s="134"/>
      <c r="CO49" s="134"/>
      <c r="CP49" s="134"/>
      <c r="CQ49" s="134"/>
      <c r="CR49" s="134"/>
      <c r="CS49" s="134"/>
      <c r="CT49" s="134"/>
      <c r="CU49" s="134"/>
      <c r="CV49" s="134"/>
      <c r="CW49" s="134"/>
      <c r="CX49" s="134"/>
    </row>
    <row r="50" spans="1:102" ht="12" customHeight="1" x14ac:dyDescent="0.2">
      <c r="A50" s="104">
        <v>3</v>
      </c>
      <c r="B50" s="104" t="s">
        <v>17</v>
      </c>
      <c r="C50" s="126">
        <v>0</v>
      </c>
      <c r="D50" s="126">
        <v>0</v>
      </c>
      <c r="E50" s="126">
        <v>0</v>
      </c>
      <c r="F50" s="126">
        <v>0</v>
      </c>
      <c r="G50" s="126">
        <v>0</v>
      </c>
      <c r="H50" s="126">
        <v>0</v>
      </c>
      <c r="I50" s="126">
        <v>0</v>
      </c>
      <c r="J50" s="126">
        <v>0</v>
      </c>
      <c r="K50" s="126">
        <v>0</v>
      </c>
      <c r="L50" s="126">
        <v>0</v>
      </c>
      <c r="M50" s="126">
        <v>0</v>
      </c>
      <c r="N50" s="126">
        <v>0</v>
      </c>
      <c r="O50" s="97"/>
      <c r="P50" s="97"/>
      <c r="Q50" s="104">
        <v>3</v>
      </c>
      <c r="R50" s="97" t="s">
        <v>17</v>
      </c>
      <c r="S50" s="139">
        <v>36.580888291082758</v>
      </c>
      <c r="T50" s="139">
        <v>36.060121452816688</v>
      </c>
      <c r="U50" s="139">
        <v>37.953086094226073</v>
      </c>
      <c r="V50" s="139">
        <v>42.486243803698017</v>
      </c>
      <c r="W50" s="139">
        <v>45.396573959933079</v>
      </c>
      <c r="X50" s="139">
        <v>62.007027446515806</v>
      </c>
      <c r="Y50" s="139">
        <v>66.164824703082914</v>
      </c>
      <c r="Z50" s="139">
        <v>49.156391468708229</v>
      </c>
      <c r="AA50" s="139">
        <v>31.915952116706748</v>
      </c>
      <c r="AB50" s="139">
        <v>25.991556741528758</v>
      </c>
      <c r="AC50" s="139">
        <v>27.404011668282042</v>
      </c>
      <c r="AD50" s="139">
        <v>33.381098301453278</v>
      </c>
      <c r="AF50" s="104">
        <v>3</v>
      </c>
      <c r="AG50" s="97" t="s">
        <v>17</v>
      </c>
      <c r="AH50" s="141">
        <v>-177.4612776370613</v>
      </c>
      <c r="AI50" s="141">
        <v>-114.30535587876057</v>
      </c>
      <c r="AJ50" s="141">
        <v>-30.167515279933955</v>
      </c>
      <c r="AK50" s="141">
        <v>-28.540717964605488</v>
      </c>
      <c r="AL50" s="141">
        <v>-10.076872944609395</v>
      </c>
      <c r="AM50" s="141">
        <v>10.525527977764249</v>
      </c>
      <c r="AN50" s="141">
        <v>-5.9866651883644373E-2</v>
      </c>
      <c r="AO50" s="141">
        <v>-11.823129690114653</v>
      </c>
      <c r="AP50" s="141">
        <v>-33.995195349789519</v>
      </c>
      <c r="AQ50" s="141">
        <v>-197.73762810016581</v>
      </c>
      <c r="AR50" s="141">
        <v>-465.66072407158589</v>
      </c>
      <c r="AS50" s="141">
        <v>-350.90704836942575</v>
      </c>
      <c r="AV50" s="104">
        <v>6</v>
      </c>
      <c r="AW50" s="104" t="s">
        <v>18</v>
      </c>
      <c r="AX50" s="133">
        <v>0</v>
      </c>
      <c r="AY50" s="133">
        <v>0</v>
      </c>
      <c r="AZ50" s="133">
        <v>0</v>
      </c>
      <c r="BA50" s="133">
        <v>0</v>
      </c>
      <c r="BB50" s="133">
        <v>0</v>
      </c>
      <c r="BC50" s="133">
        <v>0</v>
      </c>
      <c r="BD50" s="133">
        <v>0</v>
      </c>
      <c r="BE50" s="133">
        <v>0</v>
      </c>
      <c r="BF50" s="133">
        <v>0</v>
      </c>
      <c r="BG50" s="133">
        <v>0</v>
      </c>
      <c r="BH50" s="133">
        <v>0</v>
      </c>
      <c r="BI50" s="133">
        <v>0</v>
      </c>
      <c r="BJ50" s="104">
        <v>6</v>
      </c>
      <c r="BK50" s="104" t="s">
        <v>18</v>
      </c>
      <c r="BL50" s="133">
        <v>0</v>
      </c>
      <c r="BM50" s="133">
        <v>0</v>
      </c>
      <c r="BN50" s="133">
        <v>0</v>
      </c>
      <c r="BO50" s="133">
        <v>0</v>
      </c>
      <c r="BP50" s="133">
        <v>0</v>
      </c>
      <c r="BQ50" s="133">
        <v>0</v>
      </c>
      <c r="BR50" s="133">
        <v>0</v>
      </c>
      <c r="BS50" s="133">
        <v>0</v>
      </c>
      <c r="BT50" s="133">
        <v>0</v>
      </c>
      <c r="BU50" s="133">
        <v>0</v>
      </c>
      <c r="BV50" s="133">
        <v>0</v>
      </c>
      <c r="BW50" s="133">
        <v>0</v>
      </c>
      <c r="BX50" s="99"/>
      <c r="BY50" s="143" t="s">
        <v>76</v>
      </c>
      <c r="BZ50" s="144">
        <v>344.04209467992547</v>
      </c>
      <c r="CA50" s="130">
        <v>344.04209467992547</v>
      </c>
      <c r="CB50" s="130">
        <v>344.04209467992547</v>
      </c>
      <c r="CC50" s="130">
        <v>344.04209467992547</v>
      </c>
      <c r="CD50" s="130">
        <v>344.04209467992547</v>
      </c>
      <c r="CE50" s="130">
        <v>344.04209467992547</v>
      </c>
      <c r="CF50" s="130">
        <v>344.04209467992547</v>
      </c>
      <c r="CG50" s="130">
        <v>344.04209467992547</v>
      </c>
      <c r="CH50" s="130">
        <v>344.04209467992547</v>
      </c>
      <c r="CI50" s="130">
        <v>344.04209467992547</v>
      </c>
      <c r="CJ50" s="130">
        <v>344.04209467992547</v>
      </c>
      <c r="CK50" s="130">
        <v>344.04209467992547</v>
      </c>
      <c r="CL50" s="104"/>
      <c r="CM50" s="104"/>
      <c r="CN50" s="133"/>
      <c r="CO50" s="133"/>
      <c r="CP50" s="133"/>
      <c r="CQ50" s="133"/>
      <c r="CR50" s="133"/>
      <c r="CS50" s="133"/>
      <c r="CT50" s="133"/>
      <c r="CU50" s="133"/>
      <c r="CV50" s="133"/>
      <c r="CW50" s="133"/>
      <c r="CX50" s="133"/>
    </row>
    <row r="51" spans="1:102" ht="12" customHeight="1" x14ac:dyDescent="0.2">
      <c r="A51" s="108">
        <v>4</v>
      </c>
      <c r="B51" s="108" t="s">
        <v>0</v>
      </c>
      <c r="C51" s="130">
        <v>105.36556371896306</v>
      </c>
      <c r="D51" s="130">
        <v>111.22745383387087</v>
      </c>
      <c r="E51" s="130">
        <v>117.68219109533409</v>
      </c>
      <c r="F51" s="138">
        <v>128.14475563694197</v>
      </c>
      <c r="G51" s="138">
        <v>123.91477189063286</v>
      </c>
      <c r="H51" s="138">
        <v>145.15399628905735</v>
      </c>
      <c r="I51" s="138">
        <v>159.1026754043213</v>
      </c>
      <c r="J51" s="138">
        <v>118.87950957238516</v>
      </c>
      <c r="K51" s="130">
        <v>91.201813346081849</v>
      </c>
      <c r="L51" s="130">
        <v>82.322621364463402</v>
      </c>
      <c r="M51" s="130">
        <v>83.183503920407489</v>
      </c>
      <c r="N51" s="130">
        <v>88.088428710351124</v>
      </c>
      <c r="O51" s="97"/>
      <c r="P51" s="97"/>
      <c r="Q51" s="108">
        <v>4</v>
      </c>
      <c r="R51" s="109" t="s">
        <v>0</v>
      </c>
      <c r="S51" s="140">
        <v>7.749531998084624</v>
      </c>
      <c r="T51" s="140">
        <v>4.0808324785072188</v>
      </c>
      <c r="U51" s="140">
        <v>-0.88261359223274383</v>
      </c>
      <c r="V51" s="140">
        <v>-2.4277260875394404</v>
      </c>
      <c r="W51" s="140">
        <v>-6.5530191846573302</v>
      </c>
      <c r="X51" s="140">
        <v>-8.4456596193895734</v>
      </c>
      <c r="Y51" s="140">
        <v>-4.8848344642919876</v>
      </c>
      <c r="Z51" s="140">
        <v>11.738760512098994</v>
      </c>
      <c r="AA51" s="140">
        <v>22.833955598631828</v>
      </c>
      <c r="AB51" s="140">
        <v>18.000836025013086</v>
      </c>
      <c r="AC51" s="140">
        <v>11.112617100066277</v>
      </c>
      <c r="AD51" s="140">
        <v>10.903759958978563</v>
      </c>
      <c r="AF51" s="108">
        <v>4</v>
      </c>
      <c r="AG51" s="109" t="s">
        <v>0</v>
      </c>
      <c r="AH51" s="142">
        <v>13.617103102318772</v>
      </c>
      <c r="AI51" s="142">
        <v>13.869104376675178</v>
      </c>
      <c r="AJ51" s="142">
        <v>24.829247394487631</v>
      </c>
      <c r="AK51" s="142">
        <v>23.161401130199632</v>
      </c>
      <c r="AL51" s="142">
        <v>31.72231281425454</v>
      </c>
      <c r="AM51" s="142">
        <v>37.852084633243521</v>
      </c>
      <c r="AN51" s="142">
        <v>31.038961276118116</v>
      </c>
      <c r="AO51" s="142">
        <v>37.442066324344481</v>
      </c>
      <c r="AP51" s="142">
        <v>43.662077330682223</v>
      </c>
      <c r="AQ51" s="142">
        <v>32.811228877407657</v>
      </c>
      <c r="AR51" s="142">
        <v>24.638283111859003</v>
      </c>
      <c r="AS51" s="142">
        <v>17.567590040119562</v>
      </c>
      <c r="AV51" s="108">
        <v>7</v>
      </c>
      <c r="AW51" s="108" t="s">
        <v>19</v>
      </c>
      <c r="AX51" s="134">
        <v>4.7815495785992965</v>
      </c>
      <c r="AY51" s="134">
        <v>12.863003291895183</v>
      </c>
      <c r="AZ51" s="134">
        <v>51.43450232496042</v>
      </c>
      <c r="BA51" s="134">
        <v>72.689785012532667</v>
      </c>
      <c r="BB51" s="134">
        <v>106.34137612578643</v>
      </c>
      <c r="BC51" s="134">
        <v>181.70080173379293</v>
      </c>
      <c r="BD51" s="134">
        <v>252.87010762638016</v>
      </c>
      <c r="BE51" s="134">
        <v>112.95577970049122</v>
      </c>
      <c r="BF51" s="134">
        <v>15.247814724133008</v>
      </c>
      <c r="BG51" s="134">
        <v>1.5713979549849029</v>
      </c>
      <c r="BH51" s="134">
        <v>2.6679461837013605</v>
      </c>
      <c r="BI51" s="134">
        <v>3.5175623028204228</v>
      </c>
      <c r="BJ51" s="108">
        <v>7</v>
      </c>
      <c r="BK51" s="108" t="s">
        <v>19</v>
      </c>
      <c r="BL51" s="134">
        <v>7911.4049778844246</v>
      </c>
      <c r="BM51" s="134">
        <v>7906.5072332516247</v>
      </c>
      <c r="BN51" s="134">
        <v>7863.8605837379855</v>
      </c>
      <c r="BO51" s="134">
        <v>7843.7059803209322</v>
      </c>
      <c r="BP51" s="134">
        <v>7819.5605340851607</v>
      </c>
      <c r="BQ51" s="134">
        <v>7734.2390997034299</v>
      </c>
      <c r="BR51" s="134">
        <v>7666.6413241459886</v>
      </c>
      <c r="BS51" s="134">
        <v>7803.4267939537722</v>
      </c>
      <c r="BT51" s="134">
        <v>7904.5351626642323</v>
      </c>
      <c r="BU51" s="134">
        <v>7914.7771223907675</v>
      </c>
      <c r="BV51" s="134">
        <v>7913.5539729631264</v>
      </c>
      <c r="BW51" s="134">
        <v>7916.0905015865783</v>
      </c>
      <c r="BX51" s="99"/>
      <c r="BY51" s="99" t="s">
        <v>77</v>
      </c>
      <c r="BZ51" s="126">
        <v>0</v>
      </c>
      <c r="CA51" s="126">
        <v>0</v>
      </c>
      <c r="CB51" s="126">
        <v>0</v>
      </c>
      <c r="CC51" s="126">
        <v>0</v>
      </c>
      <c r="CD51" s="126">
        <v>0</v>
      </c>
      <c r="CE51" s="126">
        <v>0</v>
      </c>
      <c r="CF51" s="126">
        <v>0</v>
      </c>
      <c r="CG51" s="126">
        <v>0</v>
      </c>
      <c r="CH51" s="126">
        <v>0</v>
      </c>
      <c r="CI51" s="126">
        <v>0</v>
      </c>
      <c r="CJ51" s="126">
        <v>0</v>
      </c>
      <c r="CK51" s="126">
        <v>0</v>
      </c>
      <c r="CL51" s="108"/>
      <c r="CM51" s="108"/>
      <c r="CN51" s="134"/>
      <c r="CO51" s="134"/>
      <c r="CP51" s="134"/>
      <c r="CQ51" s="134"/>
      <c r="CR51" s="134"/>
      <c r="CS51" s="134"/>
      <c r="CT51" s="134"/>
      <c r="CU51" s="134"/>
      <c r="CV51" s="134"/>
      <c r="CW51" s="134"/>
      <c r="CX51" s="134"/>
    </row>
    <row r="52" spans="1:102" ht="12" customHeight="1" x14ac:dyDescent="0.2">
      <c r="A52" s="108">
        <v>5</v>
      </c>
      <c r="B52" s="108" t="s">
        <v>16</v>
      </c>
      <c r="C52" s="130">
        <v>104.71847762643164</v>
      </c>
      <c r="D52" s="130">
        <v>110.86080353146528</v>
      </c>
      <c r="E52" s="130">
        <v>117.67650752266327</v>
      </c>
      <c r="F52" s="138">
        <v>128.14475563694194</v>
      </c>
      <c r="G52" s="138">
        <v>123.91727888715442</v>
      </c>
      <c r="H52" s="138">
        <v>145.15148933344037</v>
      </c>
      <c r="I52" s="138">
        <v>159.06795515532826</v>
      </c>
      <c r="J52" s="138">
        <v>118.82793763192029</v>
      </c>
      <c r="K52" s="130">
        <v>91.291308566800183</v>
      </c>
      <c r="L52" s="130">
        <v>82.460772666531014</v>
      </c>
      <c r="M52" s="130">
        <v>83.23546222289238</v>
      </c>
      <c r="N52" s="130">
        <v>87.506430224672513</v>
      </c>
      <c r="O52" s="97"/>
      <c r="P52" s="145"/>
      <c r="Q52" s="108">
        <v>5</v>
      </c>
      <c r="R52" s="109" t="s">
        <v>16</v>
      </c>
      <c r="S52" s="140">
        <v>8.2865129115560254</v>
      </c>
      <c r="T52" s="140">
        <v>4.4474827809128072</v>
      </c>
      <c r="U52" s="140">
        <v>-0.87693001956192518</v>
      </c>
      <c r="V52" s="140">
        <v>-2.427726087539412</v>
      </c>
      <c r="W52" s="140">
        <v>-6.555526181178891</v>
      </c>
      <c r="X52" s="140">
        <v>-8.4431526637725938</v>
      </c>
      <c r="Y52" s="140">
        <v>-4.8989039015778495</v>
      </c>
      <c r="Z52" s="140">
        <v>11.651478898043919</v>
      </c>
      <c r="AA52" s="140">
        <v>22.508454091548792</v>
      </c>
      <c r="AB52" s="140">
        <v>17.541900396266374</v>
      </c>
      <c r="AC52" s="140">
        <v>10.742529501142515</v>
      </c>
      <c r="AD52" s="140">
        <v>11.250706306061939</v>
      </c>
      <c r="AF52" s="108">
        <v>5</v>
      </c>
      <c r="AG52" s="109" t="s">
        <v>16</v>
      </c>
      <c r="AH52" s="142">
        <v>14.250839448786124</v>
      </c>
      <c r="AI52" s="142">
        <v>14.256249170710033</v>
      </c>
      <c r="AJ52" s="142">
        <v>24.923259146261991</v>
      </c>
      <c r="AK52" s="142">
        <v>23.253792231045111</v>
      </c>
      <c r="AL52" s="142">
        <v>31.803030526489174</v>
      </c>
      <c r="AM52" s="142">
        <v>37.927883652030403</v>
      </c>
      <c r="AN52" s="142">
        <v>31.136911317702364</v>
      </c>
      <c r="AO52" s="142">
        <v>37.544392341921629</v>
      </c>
      <c r="AP52" s="142">
        <v>43.674601080813758</v>
      </c>
      <c r="AQ52" s="142">
        <v>32.779398417014335</v>
      </c>
      <c r="AR52" s="142">
        <v>24.68188236610256</v>
      </c>
      <c r="AS52" s="142">
        <v>18.210681584436017</v>
      </c>
      <c r="AV52" s="108">
        <v>8</v>
      </c>
      <c r="AW52" s="108" t="s">
        <v>23</v>
      </c>
      <c r="AX52" s="134">
        <v>2.1385377304672346</v>
      </c>
      <c r="AY52" s="134">
        <v>9.1139718960966576</v>
      </c>
      <c r="AZ52" s="134">
        <v>46.548681934719369</v>
      </c>
      <c r="BA52" s="134">
        <v>67.95070049312703</v>
      </c>
      <c r="BB52" s="134">
        <v>111.08429953308411</v>
      </c>
      <c r="BC52" s="134">
        <v>192.18855883492168</v>
      </c>
      <c r="BD52" s="134">
        <v>267.21239566550162</v>
      </c>
      <c r="BE52" s="134">
        <v>120.68920509539171</v>
      </c>
      <c r="BF52" s="134">
        <v>16.258810102436243</v>
      </c>
      <c r="BG52" s="134">
        <v>0.84695144914988418</v>
      </c>
      <c r="BH52" s="134">
        <v>1.0493914471632451</v>
      </c>
      <c r="BI52" s="134">
        <v>1.1727992064123498</v>
      </c>
      <c r="BJ52" s="108">
        <v>8</v>
      </c>
      <c r="BK52" s="108" t="s">
        <v>23</v>
      </c>
      <c r="BL52" s="134">
        <v>5465.8776472617474</v>
      </c>
      <c r="BM52" s="134">
        <v>5462.5645050041112</v>
      </c>
      <c r="BN52" s="134">
        <v>5421.4996574867109</v>
      </c>
      <c r="BO52" s="134">
        <v>5400.0585083056294</v>
      </c>
      <c r="BP52" s="134">
        <v>5367.1101013377329</v>
      </c>
      <c r="BQ52" s="134">
        <v>5274.9603678342155</v>
      </c>
      <c r="BR52" s="134">
        <v>5204.4567810314857</v>
      </c>
      <c r="BS52" s="134">
        <v>5347.4426330961196</v>
      </c>
      <c r="BT52" s="134">
        <v>5455.5403938032714</v>
      </c>
      <c r="BU52" s="134">
        <v>5467.3268220816126</v>
      </c>
      <c r="BV52" s="134">
        <v>5467.0130202101136</v>
      </c>
      <c r="BW52" s="134">
        <v>5470.3809918401384</v>
      </c>
      <c r="BX52" s="99"/>
      <c r="BY52" s="143" t="s">
        <v>78</v>
      </c>
      <c r="BZ52" s="144">
        <v>521.15252211870359</v>
      </c>
      <c r="CA52" s="130">
        <v>521.15252211870359</v>
      </c>
      <c r="CB52" s="130">
        <v>521.15252211870359</v>
      </c>
      <c r="CC52" s="130">
        <v>521.15252211870359</v>
      </c>
      <c r="CD52" s="130">
        <v>521.15252211870359</v>
      </c>
      <c r="CE52" s="130">
        <v>521.15252211870359</v>
      </c>
      <c r="CF52" s="130">
        <v>521.15252211870359</v>
      </c>
      <c r="CG52" s="130">
        <v>521.15252211870359</v>
      </c>
      <c r="CH52" s="130">
        <v>521.15252211870359</v>
      </c>
      <c r="CI52" s="130">
        <v>521.15252211870359</v>
      </c>
      <c r="CJ52" s="130">
        <v>521.15252211870359</v>
      </c>
      <c r="CK52" s="130">
        <v>521.15252211870359</v>
      </c>
      <c r="CL52" s="108"/>
      <c r="CM52" s="108"/>
      <c r="CN52" s="134"/>
      <c r="CO52" s="134"/>
      <c r="CP52" s="134"/>
      <c r="CQ52" s="134"/>
      <c r="CR52" s="134"/>
      <c r="CS52" s="134"/>
      <c r="CT52" s="134"/>
      <c r="CU52" s="134"/>
      <c r="CV52" s="134"/>
      <c r="CW52" s="134"/>
      <c r="CX52" s="134"/>
    </row>
    <row r="53" spans="1:102" ht="12" customHeight="1" x14ac:dyDescent="0.2">
      <c r="A53" s="104">
        <v>6</v>
      </c>
      <c r="B53" s="104" t="s">
        <v>18</v>
      </c>
      <c r="C53" s="126">
        <v>0</v>
      </c>
      <c r="D53" s="126">
        <v>0</v>
      </c>
      <c r="E53" s="126">
        <v>0</v>
      </c>
      <c r="F53" s="126">
        <v>0</v>
      </c>
      <c r="G53" s="126">
        <v>0</v>
      </c>
      <c r="H53" s="126">
        <v>0</v>
      </c>
      <c r="I53" s="126">
        <v>0</v>
      </c>
      <c r="J53" s="126">
        <v>0</v>
      </c>
      <c r="K53" s="126">
        <v>0</v>
      </c>
      <c r="L53" s="126">
        <v>0</v>
      </c>
      <c r="M53" s="126">
        <v>0</v>
      </c>
      <c r="N53" s="126">
        <v>0</v>
      </c>
      <c r="O53" s="97"/>
      <c r="P53" s="97"/>
      <c r="Q53" s="104">
        <v>6</v>
      </c>
      <c r="R53" s="97" t="s">
        <v>18</v>
      </c>
      <c r="S53" s="139">
        <v>6.1980958007442517</v>
      </c>
      <c r="T53" s="139">
        <v>7.4839599362425311</v>
      </c>
      <c r="U53" s="139">
        <v>33.722406900089467</v>
      </c>
      <c r="V53" s="139">
        <v>35.839616883724993</v>
      </c>
      <c r="W53" s="139">
        <v>48.91587901512365</v>
      </c>
      <c r="X53" s="139">
        <v>81.674099958670027</v>
      </c>
      <c r="Y53" s="139">
        <v>85.165741255487475</v>
      </c>
      <c r="Z53" s="139">
        <v>34.645117678375776</v>
      </c>
      <c r="AA53" s="139">
        <v>10.666191024964736</v>
      </c>
      <c r="AB53" s="139">
        <v>5.166438558416889</v>
      </c>
      <c r="AC53" s="139">
        <v>4.1540195104425663</v>
      </c>
      <c r="AD53" s="139">
        <v>4.3775817466593487</v>
      </c>
      <c r="AF53" s="104">
        <v>6</v>
      </c>
      <c r="AG53" s="97" t="s">
        <v>18</v>
      </c>
      <c r="AH53" s="141">
        <v>73.969050612118778</v>
      </c>
      <c r="AI53" s="141">
        <v>67.968215764419398</v>
      </c>
      <c r="AJ53" s="141">
        <v>33.004311664008448</v>
      </c>
      <c r="AK53" s="141">
        <v>31.952602791445038</v>
      </c>
      <c r="AL53" s="141">
        <v>25.683876764420944</v>
      </c>
      <c r="AM53" s="141">
        <v>23.66316558514011</v>
      </c>
      <c r="AN53" s="141">
        <v>24.352752421263311</v>
      </c>
      <c r="AO53" s="141">
        <v>39.424009270183227</v>
      </c>
      <c r="AP53" s="141">
        <v>67.42529121246838</v>
      </c>
      <c r="AQ53" s="141">
        <v>80.337809244961292</v>
      </c>
      <c r="AR53" s="141">
        <v>84.091916263939595</v>
      </c>
      <c r="AS53" s="141">
        <v>81.640205992137041</v>
      </c>
      <c r="AV53" s="108">
        <v>9</v>
      </c>
      <c r="AW53" s="108" t="s">
        <v>24</v>
      </c>
      <c r="AX53" s="134">
        <v>2.2477108318722543</v>
      </c>
      <c r="AY53" s="134">
        <v>9.1529476248474566</v>
      </c>
      <c r="AZ53" s="134">
        <v>46.315588049293154</v>
      </c>
      <c r="BA53" s="134">
        <v>67.926062169908136</v>
      </c>
      <c r="BB53" s="134">
        <v>110.9731713279559</v>
      </c>
      <c r="BC53" s="134">
        <v>192.18855883492174</v>
      </c>
      <c r="BD53" s="134">
        <v>267.21239566550145</v>
      </c>
      <c r="BE53" s="134">
        <v>120.68920509539166</v>
      </c>
      <c r="BF53" s="134">
        <v>16.198812594136797</v>
      </c>
      <c r="BG53" s="134">
        <v>0.73230725409069919</v>
      </c>
      <c r="BH53" s="134">
        <v>1.0376067451486506</v>
      </c>
      <c r="BI53" s="134">
        <v>1.2114896950842535</v>
      </c>
      <c r="BJ53" s="108">
        <v>9</v>
      </c>
      <c r="BK53" s="108" t="s">
        <v>24</v>
      </c>
      <c r="BL53" s="134">
        <v>5766.0923362010526</v>
      </c>
      <c r="BM53" s="134">
        <v>5762.5665809697239</v>
      </c>
      <c r="BN53" s="134">
        <v>5721.5455829922857</v>
      </c>
      <c r="BO53" s="134">
        <v>5700.0831466288482</v>
      </c>
      <c r="BP53" s="134">
        <v>5667.2212295428608</v>
      </c>
      <c r="BQ53" s="134">
        <v>5574.9603678342155</v>
      </c>
      <c r="BR53" s="134">
        <v>5504.6328089398194</v>
      </c>
      <c r="BS53" s="134">
        <v>5647.8262126661193</v>
      </c>
      <c r="BT53" s="134">
        <v>5756.1206068080974</v>
      </c>
      <c r="BU53" s="134">
        <v>5767.9884495286906</v>
      </c>
      <c r="BV53" s="134">
        <v>5767.6614892598336</v>
      </c>
      <c r="BW53" s="134">
        <v>5770.7810993076428</v>
      </c>
      <c r="BX53" s="99"/>
      <c r="BY53" s="143" t="s">
        <v>79</v>
      </c>
      <c r="BZ53" s="144">
        <v>280.55207794720252</v>
      </c>
      <c r="CA53" s="130">
        <v>280.55207794720252</v>
      </c>
      <c r="CB53" s="130">
        <v>280.55207794720252</v>
      </c>
      <c r="CC53" s="130">
        <v>280.55207794720252</v>
      </c>
      <c r="CD53" s="130">
        <v>280.55207794720252</v>
      </c>
      <c r="CE53" s="130">
        <v>280.55207794720252</v>
      </c>
      <c r="CF53" s="130">
        <v>280.55207794720252</v>
      </c>
      <c r="CG53" s="130">
        <v>280.55207794720252</v>
      </c>
      <c r="CH53" s="130">
        <v>280.55207794720252</v>
      </c>
      <c r="CI53" s="130">
        <v>280.55207794720252</v>
      </c>
      <c r="CJ53" s="130">
        <v>280.55207794720252</v>
      </c>
      <c r="CK53" s="130">
        <v>280.55207794720252</v>
      </c>
      <c r="CL53" s="108"/>
      <c r="CM53" s="108"/>
      <c r="CN53" s="134"/>
      <c r="CO53" s="134"/>
      <c r="CP53" s="134"/>
      <c r="CQ53" s="134"/>
      <c r="CR53" s="134"/>
      <c r="CS53" s="134"/>
      <c r="CT53" s="134"/>
      <c r="CU53" s="134"/>
      <c r="CV53" s="134"/>
      <c r="CW53" s="134"/>
      <c r="CX53" s="134"/>
    </row>
    <row r="54" spans="1:102" ht="12" customHeight="1" x14ac:dyDescent="0.2">
      <c r="A54" s="108">
        <v>7</v>
      </c>
      <c r="B54" s="108" t="s">
        <v>19</v>
      </c>
      <c r="C54" s="130">
        <v>109.7475442342792</v>
      </c>
      <c r="D54" s="130">
        <v>114.64528886707915</v>
      </c>
      <c r="E54" s="138">
        <v>157.29193838071876</v>
      </c>
      <c r="F54" s="138">
        <v>177.44654179777191</v>
      </c>
      <c r="G54" s="138">
        <v>201.59198803354295</v>
      </c>
      <c r="H54" s="138">
        <v>286.91342241527383</v>
      </c>
      <c r="I54" s="138">
        <v>354.51119797271565</v>
      </c>
      <c r="J54" s="138">
        <v>217.72572816493198</v>
      </c>
      <c r="K54" s="130">
        <v>116.61735945447127</v>
      </c>
      <c r="L54" s="130">
        <v>106.37539972793628</v>
      </c>
      <c r="M54" s="130">
        <v>107.59854915557742</v>
      </c>
      <c r="N54" s="130">
        <v>105.06202053212532</v>
      </c>
      <c r="O54" s="97"/>
      <c r="P54" s="97"/>
      <c r="Q54" s="108">
        <v>7</v>
      </c>
      <c r="R54" s="109" t="s">
        <v>19</v>
      </c>
      <c r="S54" s="140">
        <v>9.3927888232661321</v>
      </c>
      <c r="T54" s="140">
        <v>32.209724830461212</v>
      </c>
      <c r="U54" s="140">
        <v>37.353693746590352</v>
      </c>
      <c r="V54" s="140">
        <v>28.808499938273542</v>
      </c>
      <c r="W54" s="140">
        <v>21.768591878765477</v>
      </c>
      <c r="X54" s="140">
        <v>42.913180064038499</v>
      </c>
      <c r="Y54" s="140">
        <v>19.554070108749976</v>
      </c>
      <c r="Z54" s="140">
        <v>15.371235972406499</v>
      </c>
      <c r="AA54" s="140">
        <v>-3.1200698153607824</v>
      </c>
      <c r="AB54" s="140">
        <v>-45.583354282191316</v>
      </c>
      <c r="AC54" s="140">
        <v>-54.200762148627405</v>
      </c>
      <c r="AD54" s="140">
        <v>-16.90879203241775</v>
      </c>
      <c r="AF54" s="108">
        <v>7</v>
      </c>
      <c r="AG54" s="109" t="s">
        <v>19</v>
      </c>
      <c r="AH54" s="142">
        <v>21.051905492968693</v>
      </c>
      <c r="AI54" s="142">
        <v>32.044573530991435</v>
      </c>
      <c r="AJ54" s="142">
        <v>35.98681057173804</v>
      </c>
      <c r="AK54" s="142">
        <v>31.703645367886558</v>
      </c>
      <c r="AL54" s="142">
        <v>33.39546190595695</v>
      </c>
      <c r="AM54" s="142">
        <v>36.391190916187476</v>
      </c>
      <c r="AN54" s="142">
        <v>25.858228598678146</v>
      </c>
      <c r="AO54" s="142">
        <v>32.576769707624223</v>
      </c>
      <c r="AP54" s="142">
        <v>43.805330403242472</v>
      </c>
      <c r="AQ54" s="142">
        <v>25.413930207182055</v>
      </c>
      <c r="AR54" s="142">
        <v>15.343500006725519</v>
      </c>
      <c r="AS54" s="142">
        <v>14.03042397977713</v>
      </c>
      <c r="AV54" s="104">
        <v>10</v>
      </c>
      <c r="AW54" s="104" t="s">
        <v>25</v>
      </c>
      <c r="AX54" s="133">
        <v>0</v>
      </c>
      <c r="AY54" s="133">
        <v>0</v>
      </c>
      <c r="AZ54" s="133">
        <v>0</v>
      </c>
      <c r="BA54" s="133">
        <v>0</v>
      </c>
      <c r="BB54" s="133">
        <v>0</v>
      </c>
      <c r="BC54" s="133">
        <v>0</v>
      </c>
      <c r="BD54" s="133">
        <v>0</v>
      </c>
      <c r="BE54" s="133">
        <v>0</v>
      </c>
      <c r="BF54" s="133">
        <v>0</v>
      </c>
      <c r="BG54" s="133">
        <v>0</v>
      </c>
      <c r="BH54" s="133">
        <v>0</v>
      </c>
      <c r="BI54" s="133">
        <v>0</v>
      </c>
      <c r="BJ54" s="104">
        <v>10</v>
      </c>
      <c r="BK54" s="104" t="s">
        <v>25</v>
      </c>
      <c r="BL54" s="133">
        <v>0</v>
      </c>
      <c r="BM54" s="133">
        <v>0</v>
      </c>
      <c r="BN54" s="133">
        <v>0</v>
      </c>
      <c r="BO54" s="133">
        <v>0</v>
      </c>
      <c r="BP54" s="133">
        <v>0</v>
      </c>
      <c r="BQ54" s="133">
        <v>0</v>
      </c>
      <c r="BR54" s="133">
        <v>0</v>
      </c>
      <c r="BS54" s="133">
        <v>0</v>
      </c>
      <c r="BT54" s="133">
        <v>0</v>
      </c>
      <c r="BU54" s="133">
        <v>0</v>
      </c>
      <c r="BV54" s="133">
        <v>0</v>
      </c>
      <c r="BW54" s="133">
        <v>0</v>
      </c>
      <c r="BX54" s="99"/>
      <c r="BY54" s="143" t="s">
        <v>80</v>
      </c>
      <c r="BZ54" s="144">
        <v>280.55207794720252</v>
      </c>
      <c r="CA54" s="130">
        <v>280.55207794720252</v>
      </c>
      <c r="CB54" s="130">
        <v>280.55207794720252</v>
      </c>
      <c r="CC54" s="130">
        <v>280.55207794720252</v>
      </c>
      <c r="CD54" s="130">
        <v>280.55207794720252</v>
      </c>
      <c r="CE54" s="130">
        <v>280.55207794720252</v>
      </c>
      <c r="CF54" s="130">
        <v>280.55207794720252</v>
      </c>
      <c r="CG54" s="130">
        <v>280.55207794720252</v>
      </c>
      <c r="CH54" s="130">
        <v>280.55207794720252</v>
      </c>
      <c r="CI54" s="130">
        <v>280.55207794720252</v>
      </c>
      <c r="CJ54" s="130">
        <v>280.55207794720252</v>
      </c>
      <c r="CK54" s="130">
        <v>280.55207794720252</v>
      </c>
      <c r="CL54" s="104"/>
      <c r="CM54" s="104"/>
      <c r="CN54" s="133"/>
      <c r="CO54" s="133"/>
      <c r="CP54" s="133"/>
      <c r="CQ54" s="133"/>
      <c r="CR54" s="133"/>
      <c r="CS54" s="133"/>
      <c r="CT54" s="133"/>
      <c r="CU54" s="133"/>
      <c r="CV54" s="133"/>
      <c r="CW54" s="133"/>
      <c r="CX54" s="133"/>
    </row>
    <row r="55" spans="1:102" ht="12" customHeight="1" x14ac:dyDescent="0.2">
      <c r="A55" s="108">
        <v>8</v>
      </c>
      <c r="B55" s="108" t="s">
        <v>23</v>
      </c>
      <c r="C55" s="130">
        <v>114.67443068545501</v>
      </c>
      <c r="D55" s="130">
        <v>117.98757294309183</v>
      </c>
      <c r="E55" s="138">
        <v>159.05242046049204</v>
      </c>
      <c r="F55" s="138">
        <v>180.49356964157326</v>
      </c>
      <c r="G55" s="138">
        <v>213.44197660946978</v>
      </c>
      <c r="H55" s="138">
        <v>305.59171011298685</v>
      </c>
      <c r="I55" s="138">
        <v>376.09529691571709</v>
      </c>
      <c r="J55" s="138">
        <v>233.10944485108311</v>
      </c>
      <c r="K55" s="130">
        <v>125.01168414393116</v>
      </c>
      <c r="L55" s="130">
        <v>113.22525586559</v>
      </c>
      <c r="M55" s="130">
        <v>113.53905773708891</v>
      </c>
      <c r="N55" s="130">
        <v>110.17108610706393</v>
      </c>
      <c r="O55" s="97"/>
      <c r="P55" s="97"/>
      <c r="Q55" s="108">
        <v>8</v>
      </c>
      <c r="R55" s="109" t="s">
        <v>23</v>
      </c>
      <c r="S55" s="140">
        <v>6.4745685055467588</v>
      </c>
      <c r="T55" s="140">
        <v>32.902462400753961</v>
      </c>
      <c r="U55" s="140">
        <v>43.389839944667813</v>
      </c>
      <c r="V55" s="140">
        <v>36.840504490975007</v>
      </c>
      <c r="W55" s="140">
        <v>24.52761192453454</v>
      </c>
      <c r="X55" s="140">
        <v>49.172312398674649</v>
      </c>
      <c r="Y55" s="140">
        <v>22.17944516593796</v>
      </c>
      <c r="Z55" s="140">
        <v>13.925741479061076</v>
      </c>
      <c r="AA55" s="140">
        <v>-6.3744474043361414</v>
      </c>
      <c r="AB55" s="140">
        <v>-52.372068243527053</v>
      </c>
      <c r="AC55" s="140">
        <v>-61.053667059160915</v>
      </c>
      <c r="AD55" s="140">
        <v>-22.724580073358442</v>
      </c>
      <c r="AF55" s="108">
        <v>8</v>
      </c>
      <c r="AG55" s="109" t="s">
        <v>23</v>
      </c>
      <c r="AH55" s="142">
        <v>21.463924197644303</v>
      </c>
      <c r="AI55" s="142">
        <v>32.432339149909104</v>
      </c>
      <c r="AJ55" s="142">
        <v>37.45474304361187</v>
      </c>
      <c r="AK55" s="142">
        <v>33.404681491580035</v>
      </c>
      <c r="AL55" s="142">
        <v>33.321303881469724</v>
      </c>
      <c r="AM55" s="142">
        <v>36.177677411971118</v>
      </c>
      <c r="AN55" s="142">
        <v>25.591031646026828</v>
      </c>
      <c r="AO55" s="142">
        <v>31.987074217679012</v>
      </c>
      <c r="AP55" s="142">
        <v>43.823992365276311</v>
      </c>
      <c r="AQ55" s="142">
        <v>25.773840459611176</v>
      </c>
      <c r="AR55" s="142">
        <v>16.041350421572098</v>
      </c>
      <c r="AS55" s="142">
        <v>14.020724424721831</v>
      </c>
      <c r="AV55" s="104">
        <v>11</v>
      </c>
      <c r="AW55" s="104" t="s">
        <v>26</v>
      </c>
      <c r="AX55" s="133">
        <v>0</v>
      </c>
      <c r="AY55" s="133">
        <v>0</v>
      </c>
      <c r="AZ55" s="133">
        <v>0</v>
      </c>
      <c r="BA55" s="133">
        <v>0</v>
      </c>
      <c r="BB55" s="133">
        <v>0</v>
      </c>
      <c r="BC55" s="133">
        <v>0</v>
      </c>
      <c r="BD55" s="133">
        <v>0</v>
      </c>
      <c r="BE55" s="133">
        <v>0</v>
      </c>
      <c r="BF55" s="133">
        <v>0</v>
      </c>
      <c r="BG55" s="133">
        <v>0</v>
      </c>
      <c r="BH55" s="133">
        <v>0</v>
      </c>
      <c r="BI55" s="133">
        <v>0</v>
      </c>
      <c r="BJ55" s="104">
        <v>11</v>
      </c>
      <c r="BK55" s="104" t="s">
        <v>26</v>
      </c>
      <c r="BL55" s="133">
        <v>0</v>
      </c>
      <c r="BM55" s="133">
        <v>0</v>
      </c>
      <c r="BN55" s="133">
        <v>0</v>
      </c>
      <c r="BO55" s="133">
        <v>0</v>
      </c>
      <c r="BP55" s="133">
        <v>0</v>
      </c>
      <c r="BQ55" s="133">
        <v>0</v>
      </c>
      <c r="BR55" s="133">
        <v>0</v>
      </c>
      <c r="BS55" s="133">
        <v>0</v>
      </c>
      <c r="BT55" s="133">
        <v>0</v>
      </c>
      <c r="BU55" s="133">
        <v>0</v>
      </c>
      <c r="BV55" s="133">
        <v>0</v>
      </c>
      <c r="BW55" s="133">
        <v>0</v>
      </c>
      <c r="BX55" s="99"/>
      <c r="BY55" s="99" t="s">
        <v>81</v>
      </c>
      <c r="BZ55" s="126">
        <v>0</v>
      </c>
      <c r="CA55" s="126">
        <v>0</v>
      </c>
      <c r="CB55" s="126">
        <v>0</v>
      </c>
      <c r="CC55" s="126">
        <v>0</v>
      </c>
      <c r="CD55" s="126">
        <v>0</v>
      </c>
      <c r="CE55" s="126">
        <v>0</v>
      </c>
      <c r="CF55" s="126">
        <v>0</v>
      </c>
      <c r="CG55" s="126">
        <v>0</v>
      </c>
      <c r="CH55" s="126">
        <v>0</v>
      </c>
      <c r="CI55" s="126">
        <v>0</v>
      </c>
      <c r="CJ55" s="126">
        <v>0</v>
      </c>
      <c r="CK55" s="126">
        <v>0</v>
      </c>
      <c r="CL55" s="104"/>
      <c r="CM55" s="104"/>
      <c r="CN55" s="133"/>
      <c r="CO55" s="133"/>
      <c r="CP55" s="133"/>
      <c r="CQ55" s="133"/>
      <c r="CR55" s="133"/>
      <c r="CS55" s="133"/>
      <c r="CT55" s="133"/>
      <c r="CU55" s="133"/>
      <c r="CV55" s="133"/>
      <c r="CW55" s="133"/>
      <c r="CX55" s="133"/>
    </row>
    <row r="56" spans="1:102" ht="12" customHeight="1" x14ac:dyDescent="0.2">
      <c r="A56" s="108">
        <v>9</v>
      </c>
      <c r="B56" s="108" t="s">
        <v>24</v>
      </c>
      <c r="C56" s="130">
        <v>114.45974174615029</v>
      </c>
      <c r="D56" s="130">
        <v>117.98549697747902</v>
      </c>
      <c r="E56" s="138">
        <v>159.00649495491689</v>
      </c>
      <c r="F56" s="138">
        <v>180.46893131835438</v>
      </c>
      <c r="G56" s="138">
        <v>213.33084840434157</v>
      </c>
      <c r="H56" s="138">
        <v>305.5917101129869</v>
      </c>
      <c r="I56" s="138">
        <v>375.9192690073836</v>
      </c>
      <c r="J56" s="138">
        <v>232.72586528108306</v>
      </c>
      <c r="K56" s="130">
        <v>124.4314711391055</v>
      </c>
      <c r="L56" s="130">
        <v>112.56362841851221</v>
      </c>
      <c r="M56" s="130">
        <v>112.89058868736883</v>
      </c>
      <c r="N56" s="130">
        <v>109.7709786395602</v>
      </c>
      <c r="O56" s="97"/>
      <c r="P56" s="97"/>
      <c r="Q56" s="108">
        <v>9</v>
      </c>
      <c r="R56" s="109" t="s">
        <v>24</v>
      </c>
      <c r="S56" s="140">
        <v>6.5161730292596491</v>
      </c>
      <c r="T56" s="140">
        <v>32.863576080039195</v>
      </c>
      <c r="U56" s="140">
        <v>43.435765450242968</v>
      </c>
      <c r="V56" s="140">
        <v>36.865142814193888</v>
      </c>
      <c r="W56" s="140">
        <v>24.63874012966275</v>
      </c>
      <c r="X56" s="140">
        <v>49.172312398674592</v>
      </c>
      <c r="Y56" s="140">
        <v>22.179445165938105</v>
      </c>
      <c r="Z56" s="140">
        <v>13.925741479061127</v>
      </c>
      <c r="AA56" s="140">
        <v>-6.3819613980196515</v>
      </c>
      <c r="AB56" s="140">
        <v>-52.456621727036747</v>
      </c>
      <c r="AC56" s="140">
        <v>-61.092366820140754</v>
      </c>
      <c r="AD56" s="140">
        <v>-22.778284137895895</v>
      </c>
      <c r="AF56" s="108">
        <v>9</v>
      </c>
      <c r="AG56" s="109" t="s">
        <v>24</v>
      </c>
      <c r="AH56" s="142">
        <v>21.954858292972801</v>
      </c>
      <c r="AI56" s="142">
        <v>32.729950049636791</v>
      </c>
      <c r="AJ56" s="142">
        <v>37.747116810917468</v>
      </c>
      <c r="AK56" s="142">
        <v>33.705893718644397</v>
      </c>
      <c r="AL56" s="142">
        <v>33.648395012492301</v>
      </c>
      <c r="AM56" s="142">
        <v>36.457673449445615</v>
      </c>
      <c r="AN56" s="142">
        <v>25.95214618238758</v>
      </c>
      <c r="AO56" s="142">
        <v>32.396878621072119</v>
      </c>
      <c r="AP56" s="142">
        <v>44.330027305409139</v>
      </c>
      <c r="AQ56" s="142">
        <v>26.531314216368884</v>
      </c>
      <c r="AR56" s="142">
        <v>16.887106136664908</v>
      </c>
      <c r="AS56" s="142">
        <v>14.708806002286545</v>
      </c>
      <c r="AV56" s="104">
        <v>12</v>
      </c>
      <c r="AW56" s="104" t="s">
        <v>27</v>
      </c>
      <c r="AX56" s="133">
        <v>0</v>
      </c>
      <c r="AY56" s="133">
        <v>0</v>
      </c>
      <c r="AZ56" s="133">
        <v>0</v>
      </c>
      <c r="BA56" s="133">
        <v>0</v>
      </c>
      <c r="BB56" s="133">
        <v>0</v>
      </c>
      <c r="BC56" s="133">
        <v>0</v>
      </c>
      <c r="BD56" s="133">
        <v>0</v>
      </c>
      <c r="BE56" s="133">
        <v>0</v>
      </c>
      <c r="BF56" s="133">
        <v>0</v>
      </c>
      <c r="BG56" s="133">
        <v>0</v>
      </c>
      <c r="BH56" s="133">
        <v>0</v>
      </c>
      <c r="BI56" s="133">
        <v>0</v>
      </c>
      <c r="BJ56" s="104">
        <v>12</v>
      </c>
      <c r="BK56" s="104" t="s">
        <v>27</v>
      </c>
      <c r="BL56" s="133">
        <v>0</v>
      </c>
      <c r="BM56" s="133">
        <v>0</v>
      </c>
      <c r="BN56" s="133">
        <v>0</v>
      </c>
      <c r="BO56" s="133">
        <v>0</v>
      </c>
      <c r="BP56" s="133">
        <v>0</v>
      </c>
      <c r="BQ56" s="133">
        <v>0</v>
      </c>
      <c r="BR56" s="133">
        <v>0</v>
      </c>
      <c r="BS56" s="133">
        <v>0</v>
      </c>
      <c r="BT56" s="133">
        <v>0</v>
      </c>
      <c r="BU56" s="133">
        <v>0</v>
      </c>
      <c r="BV56" s="133">
        <v>0</v>
      </c>
      <c r="BW56" s="133">
        <v>0</v>
      </c>
      <c r="BX56" s="99"/>
      <c r="BY56" s="99" t="s">
        <v>82</v>
      </c>
      <c r="BZ56" s="126">
        <v>0</v>
      </c>
      <c r="CA56" s="126">
        <v>0</v>
      </c>
      <c r="CB56" s="126">
        <v>0</v>
      </c>
      <c r="CC56" s="126">
        <v>0</v>
      </c>
      <c r="CD56" s="126">
        <v>0</v>
      </c>
      <c r="CE56" s="126">
        <v>0</v>
      </c>
      <c r="CF56" s="126">
        <v>0</v>
      </c>
      <c r="CG56" s="126">
        <v>0</v>
      </c>
      <c r="CH56" s="126">
        <v>0</v>
      </c>
      <c r="CI56" s="126">
        <v>0</v>
      </c>
      <c r="CJ56" s="126">
        <v>0</v>
      </c>
      <c r="CK56" s="126">
        <v>0</v>
      </c>
      <c r="CL56" s="104"/>
      <c r="CM56" s="104"/>
      <c r="CN56" s="133"/>
      <c r="CO56" s="133"/>
      <c r="CP56" s="133"/>
      <c r="CQ56" s="133"/>
      <c r="CR56" s="133"/>
      <c r="CS56" s="133"/>
      <c r="CT56" s="133"/>
      <c r="CU56" s="133"/>
      <c r="CV56" s="133"/>
      <c r="CW56" s="133"/>
      <c r="CX56" s="133"/>
    </row>
    <row r="57" spans="1:102" ht="12" customHeight="1" x14ac:dyDescent="0.2">
      <c r="A57" s="104">
        <v>10</v>
      </c>
      <c r="B57" s="104" t="s">
        <v>25</v>
      </c>
      <c r="C57" s="126">
        <v>0</v>
      </c>
      <c r="D57" s="126">
        <v>0</v>
      </c>
      <c r="E57" s="126">
        <v>0</v>
      </c>
      <c r="F57" s="126">
        <v>0</v>
      </c>
      <c r="G57" s="126">
        <v>0</v>
      </c>
      <c r="H57" s="126">
        <v>0</v>
      </c>
      <c r="I57" s="126">
        <v>0</v>
      </c>
      <c r="J57" s="126">
        <v>0</v>
      </c>
      <c r="K57" s="126">
        <v>0</v>
      </c>
      <c r="L57" s="126">
        <v>0</v>
      </c>
      <c r="M57" s="126">
        <v>0</v>
      </c>
      <c r="N57" s="126">
        <v>0</v>
      </c>
      <c r="O57" s="97"/>
      <c r="P57" s="97"/>
      <c r="Q57" s="104">
        <v>10</v>
      </c>
      <c r="R57" s="97" t="s">
        <v>25</v>
      </c>
      <c r="S57" s="139">
        <v>170.32590736940978</v>
      </c>
      <c r="T57" s="139">
        <v>219.34422190364975</v>
      </c>
      <c r="U57" s="139">
        <v>272.14026231914659</v>
      </c>
      <c r="V57" s="139">
        <v>321.64164392891087</v>
      </c>
      <c r="W57" s="139">
        <v>278.12165550044853</v>
      </c>
      <c r="X57" s="139">
        <v>317.36338151409564</v>
      </c>
      <c r="Y57" s="139">
        <v>299.34160089548521</v>
      </c>
      <c r="Z57" s="139">
        <v>190.14039752335762</v>
      </c>
      <c r="AA57" s="139">
        <v>124.55363984882416</v>
      </c>
      <c r="AB57" s="139">
        <v>116.09484493473816</v>
      </c>
      <c r="AC57" s="139">
        <v>103.62313809159775</v>
      </c>
      <c r="AD57" s="139">
        <v>137.49719706656674</v>
      </c>
      <c r="AF57" s="104">
        <v>10</v>
      </c>
      <c r="AG57" s="97" t="s">
        <v>25</v>
      </c>
      <c r="AH57" s="141">
        <v>17.014740083419909</v>
      </c>
      <c r="AI57" s="141">
        <v>14.844877287130542</v>
      </c>
      <c r="AJ57" s="141">
        <v>20.823481294257661</v>
      </c>
      <c r="AK57" s="141">
        <v>17.425779605062285</v>
      </c>
      <c r="AL57" s="141">
        <v>25.613072161628747</v>
      </c>
      <c r="AM57" s="141">
        <v>36.758017873039684</v>
      </c>
      <c r="AN57" s="141">
        <v>31.503274461350017</v>
      </c>
      <c r="AO57" s="141">
        <v>42.337762036349133</v>
      </c>
      <c r="AP57" s="141">
        <v>50.479654214005841</v>
      </c>
      <c r="AQ57" s="141">
        <v>38.162361780986885</v>
      </c>
      <c r="AR57" s="141">
        <v>35.021963354194256</v>
      </c>
      <c r="AS57" s="141">
        <v>21.724998310187761</v>
      </c>
      <c r="AV57" s="104">
        <v>13</v>
      </c>
      <c r="AW57" s="104" t="s">
        <v>28</v>
      </c>
      <c r="AX57" s="133">
        <v>0</v>
      </c>
      <c r="AY57" s="133">
        <v>0</v>
      </c>
      <c r="AZ57" s="133">
        <v>0</v>
      </c>
      <c r="BA57" s="133">
        <v>0</v>
      </c>
      <c r="BB57" s="133">
        <v>0</v>
      </c>
      <c r="BC57" s="133">
        <v>0</v>
      </c>
      <c r="BD57" s="133">
        <v>0</v>
      </c>
      <c r="BE57" s="133">
        <v>0</v>
      </c>
      <c r="BF57" s="133">
        <v>0</v>
      </c>
      <c r="BG57" s="133">
        <v>0</v>
      </c>
      <c r="BH57" s="133">
        <v>0</v>
      </c>
      <c r="BI57" s="133">
        <v>0</v>
      </c>
      <c r="BJ57" s="104">
        <v>13</v>
      </c>
      <c r="BK57" s="104" t="s">
        <v>28</v>
      </c>
      <c r="BL57" s="133">
        <v>0</v>
      </c>
      <c r="BM57" s="133">
        <v>0</v>
      </c>
      <c r="BN57" s="133">
        <v>0</v>
      </c>
      <c r="BO57" s="133">
        <v>0</v>
      </c>
      <c r="BP57" s="133">
        <v>0</v>
      </c>
      <c r="BQ57" s="133">
        <v>0</v>
      </c>
      <c r="BR57" s="133">
        <v>0</v>
      </c>
      <c r="BS57" s="133">
        <v>0</v>
      </c>
      <c r="BT57" s="133">
        <v>0</v>
      </c>
      <c r="BU57" s="133">
        <v>0</v>
      </c>
      <c r="BV57" s="133">
        <v>0</v>
      </c>
      <c r="BW57" s="133">
        <v>0</v>
      </c>
      <c r="BX57" s="99"/>
      <c r="BY57" s="99" t="s">
        <v>83</v>
      </c>
      <c r="BZ57" s="126">
        <v>0</v>
      </c>
      <c r="CA57" s="126">
        <v>0</v>
      </c>
      <c r="CB57" s="126">
        <v>0</v>
      </c>
      <c r="CC57" s="126">
        <v>0</v>
      </c>
      <c r="CD57" s="126">
        <v>0</v>
      </c>
      <c r="CE57" s="126">
        <v>0</v>
      </c>
      <c r="CF57" s="126">
        <v>0</v>
      </c>
      <c r="CG57" s="126">
        <v>0</v>
      </c>
      <c r="CH57" s="126">
        <v>0</v>
      </c>
      <c r="CI57" s="126">
        <v>0</v>
      </c>
      <c r="CJ57" s="126">
        <v>0</v>
      </c>
      <c r="CK57" s="126">
        <v>0</v>
      </c>
      <c r="CL57" s="104"/>
      <c r="CM57" s="104"/>
      <c r="CN57" s="133"/>
      <c r="CO57" s="133"/>
      <c r="CP57" s="133"/>
      <c r="CQ57" s="133"/>
      <c r="CR57" s="133"/>
      <c r="CS57" s="133"/>
      <c r="CT57" s="133"/>
      <c r="CU57" s="133"/>
      <c r="CV57" s="133"/>
      <c r="CW57" s="133"/>
      <c r="CX57" s="133"/>
    </row>
    <row r="58" spans="1:102" ht="12" customHeight="1" x14ac:dyDescent="0.2">
      <c r="A58" s="104">
        <v>11</v>
      </c>
      <c r="B58" s="104" t="s">
        <v>26</v>
      </c>
      <c r="C58" s="126">
        <v>0</v>
      </c>
      <c r="D58" s="126">
        <v>0</v>
      </c>
      <c r="E58" s="126">
        <v>0</v>
      </c>
      <c r="F58" s="126">
        <v>0</v>
      </c>
      <c r="G58" s="126">
        <v>0</v>
      </c>
      <c r="H58" s="126">
        <v>0</v>
      </c>
      <c r="I58" s="126">
        <v>0</v>
      </c>
      <c r="J58" s="126">
        <v>0</v>
      </c>
      <c r="K58" s="126">
        <v>0</v>
      </c>
      <c r="L58" s="126">
        <v>0</v>
      </c>
      <c r="M58" s="126">
        <v>0</v>
      </c>
      <c r="N58" s="126">
        <v>0</v>
      </c>
      <c r="O58" s="97"/>
      <c r="P58" s="97"/>
      <c r="Q58" s="104">
        <v>11</v>
      </c>
      <c r="R58" s="97" t="s">
        <v>26</v>
      </c>
      <c r="S58" s="139">
        <v>15.228139560490185</v>
      </c>
      <c r="T58" s="139">
        <v>24.272616897125044</v>
      </c>
      <c r="U58" s="139">
        <v>50.529560939824165</v>
      </c>
      <c r="V58" s="139">
        <v>57.169430364211664</v>
      </c>
      <c r="W58" s="139">
        <v>69.369859396686181</v>
      </c>
      <c r="X58" s="139">
        <v>91.236498588263345</v>
      </c>
      <c r="Y58" s="139">
        <v>93.999772395584259</v>
      </c>
      <c r="Z58" s="139">
        <v>68.011580047954268</v>
      </c>
      <c r="AA58" s="139">
        <v>33.011174260976084</v>
      </c>
      <c r="AB58" s="139">
        <v>11.968100985166796</v>
      </c>
      <c r="AC58" s="139">
        <v>7.2855775078529845</v>
      </c>
      <c r="AD58" s="139">
        <v>7.1355220272087969</v>
      </c>
      <c r="AF58" s="104">
        <v>11</v>
      </c>
      <c r="AG58" s="97" t="s">
        <v>26</v>
      </c>
      <c r="AH58" s="141">
        <v>15.550533925786702</v>
      </c>
      <c r="AI58" s="141">
        <v>8.4209338311455824</v>
      </c>
      <c r="AJ58" s="141">
        <v>7.961837922496029</v>
      </c>
      <c r="AK58" s="141">
        <v>11.040524716082178</v>
      </c>
      <c r="AL58" s="141">
        <v>10.099454880472969</v>
      </c>
      <c r="AM58" s="141">
        <v>16.244884240104795</v>
      </c>
      <c r="AN58" s="141">
        <v>22.24592832400878</v>
      </c>
      <c r="AO58" s="141">
        <v>19.258847237647426</v>
      </c>
      <c r="AP58" s="141">
        <v>26.481708681980464</v>
      </c>
      <c r="AQ58" s="141">
        <v>49.051901869678439</v>
      </c>
      <c r="AR58" s="141">
        <v>54.876268431983178</v>
      </c>
      <c r="AS58" s="141">
        <v>29.49032755827433</v>
      </c>
      <c r="AV58" s="104">
        <v>1</v>
      </c>
      <c r="AW58" s="104" t="s">
        <v>21</v>
      </c>
      <c r="AX58" s="134">
        <v>9.5609999999999999</v>
      </c>
      <c r="AY58" s="134">
        <v>7.7710000000000008</v>
      </c>
      <c r="AZ58" s="134">
        <v>10.510000000000002</v>
      </c>
      <c r="BA58" s="134">
        <v>11.46</v>
      </c>
      <c r="BB58" s="134">
        <v>13.69</v>
      </c>
      <c r="BC58" s="134">
        <v>17.5</v>
      </c>
      <c r="BD58" s="134">
        <v>18.707000000000001</v>
      </c>
      <c r="BE58" s="134">
        <v>22.132000000000005</v>
      </c>
      <c r="BF58" s="134">
        <v>30.107000000000006</v>
      </c>
      <c r="BG58" s="134">
        <v>28.796499999999995</v>
      </c>
      <c r="BH58" s="134">
        <v>25.425999999999998</v>
      </c>
      <c r="BI58" s="134">
        <v>14.506000000000004</v>
      </c>
      <c r="BJ58" s="104">
        <v>1</v>
      </c>
      <c r="BK58" s="104" t="s">
        <v>21</v>
      </c>
      <c r="BL58" s="134">
        <v>1.0980000000000008</v>
      </c>
      <c r="BM58" s="134">
        <v>0.78699999999999903</v>
      </c>
      <c r="BN58" s="134">
        <v>1.0509999999999984</v>
      </c>
      <c r="BO58" s="134">
        <v>1.145999999999999</v>
      </c>
      <c r="BP58" s="134">
        <v>1.3690000000000015</v>
      </c>
      <c r="BQ58" s="134">
        <v>1.75</v>
      </c>
      <c r="BR58" s="134">
        <v>1.8740000000000023</v>
      </c>
      <c r="BS58" s="134">
        <v>3.0909999999999975</v>
      </c>
      <c r="BT58" s="134">
        <v>4.3669999999999973</v>
      </c>
      <c r="BU58" s="134">
        <v>4.0165000000000077</v>
      </c>
      <c r="BV58" s="134">
        <v>3.5260000000000034</v>
      </c>
      <c r="BW58" s="134">
        <v>1.9059999999999988</v>
      </c>
      <c r="BX58" s="99"/>
      <c r="BY58" s="99" t="s">
        <v>84</v>
      </c>
      <c r="BZ58" s="126">
        <v>0</v>
      </c>
      <c r="CA58" s="126">
        <v>0</v>
      </c>
      <c r="CB58" s="126">
        <v>0</v>
      </c>
      <c r="CC58" s="126">
        <v>0</v>
      </c>
      <c r="CD58" s="126">
        <v>0</v>
      </c>
      <c r="CE58" s="126">
        <v>0</v>
      </c>
      <c r="CF58" s="126">
        <v>0</v>
      </c>
      <c r="CG58" s="126">
        <v>0</v>
      </c>
      <c r="CH58" s="126">
        <v>0</v>
      </c>
      <c r="CI58" s="126">
        <v>0</v>
      </c>
      <c r="CJ58" s="126">
        <v>0</v>
      </c>
      <c r="CK58" s="126">
        <v>0</v>
      </c>
      <c r="CL58" s="104"/>
      <c r="CM58" s="104"/>
      <c r="CN58" s="134"/>
      <c r="CO58" s="134"/>
      <c r="CP58" s="134"/>
      <c r="CQ58" s="134"/>
      <c r="CR58" s="134"/>
      <c r="CS58" s="134"/>
      <c r="CT58" s="134"/>
      <c r="CU58" s="134"/>
      <c r="CV58" s="134"/>
      <c r="CW58" s="134"/>
      <c r="CX58" s="134"/>
    </row>
    <row r="59" spans="1:102" ht="12" customHeight="1" x14ac:dyDescent="0.2">
      <c r="A59" s="104">
        <v>12</v>
      </c>
      <c r="B59" s="104" t="s">
        <v>27</v>
      </c>
      <c r="C59" s="126">
        <v>0</v>
      </c>
      <c r="D59" s="126">
        <v>0</v>
      </c>
      <c r="E59" s="126">
        <v>0</v>
      </c>
      <c r="F59" s="126">
        <v>0</v>
      </c>
      <c r="G59" s="126">
        <v>0</v>
      </c>
      <c r="H59" s="126">
        <v>0</v>
      </c>
      <c r="I59" s="126">
        <v>0</v>
      </c>
      <c r="J59" s="126">
        <v>0</v>
      </c>
      <c r="K59" s="126">
        <v>0</v>
      </c>
      <c r="L59" s="126">
        <v>0</v>
      </c>
      <c r="M59" s="126">
        <v>0</v>
      </c>
      <c r="N59" s="126">
        <v>0</v>
      </c>
      <c r="O59" s="97"/>
      <c r="P59" s="97"/>
      <c r="Q59" s="104">
        <v>12</v>
      </c>
      <c r="R59" s="97" t="s">
        <v>27</v>
      </c>
      <c r="S59" s="139">
        <v>187.40040854562216</v>
      </c>
      <c r="T59" s="139">
        <v>245.6652693471745</v>
      </c>
      <c r="U59" s="139">
        <v>325.21376535343211</v>
      </c>
      <c r="V59" s="139">
        <v>381.75690728138648</v>
      </c>
      <c r="W59" s="139">
        <v>350.44881283323411</v>
      </c>
      <c r="X59" s="139">
        <v>412.12256437993659</v>
      </c>
      <c r="Y59" s="139">
        <v>396.69399338899802</v>
      </c>
      <c r="Z59" s="139">
        <v>260.74767215970684</v>
      </c>
      <c r="AA59" s="139">
        <v>152.04511726235219</v>
      </c>
      <c r="AB59" s="139">
        <v>115.52298098721688</v>
      </c>
      <c r="AC59" s="139">
        <v>100.81853414932355</v>
      </c>
      <c r="AD59" s="139">
        <v>142.80113478891576</v>
      </c>
      <c r="AF59" s="104">
        <v>12</v>
      </c>
      <c r="AG59" s="97" t="s">
        <v>27</v>
      </c>
      <c r="AH59" s="141">
        <v>16.805126307794716</v>
      </c>
      <c r="AI59" s="141">
        <v>14.090989413350897</v>
      </c>
      <c r="AJ59" s="141">
        <v>18.719210886020843</v>
      </c>
      <c r="AK59" s="141">
        <v>16.414499414938977</v>
      </c>
      <c r="AL59" s="141">
        <v>22.677958400165377</v>
      </c>
      <c r="AM59" s="141">
        <v>32.447634150699635</v>
      </c>
      <c r="AN59" s="141">
        <v>29.28571718901809</v>
      </c>
      <c r="AO59" s="141">
        <v>37.182484294793973</v>
      </c>
      <c r="AP59" s="141">
        <v>49.218909899117925</v>
      </c>
      <c r="AQ59" s="141">
        <v>43.784750672240222</v>
      </c>
      <c r="AR59" s="141">
        <v>40.517768561557055</v>
      </c>
      <c r="AS59" s="141">
        <v>23.677715118131527</v>
      </c>
      <c r="AV59" s="104">
        <v>2</v>
      </c>
      <c r="AW59" s="104" t="s">
        <v>22</v>
      </c>
      <c r="AX59" s="134">
        <v>9.3497543294040106</v>
      </c>
      <c r="AY59" s="134">
        <v>8.7096528659775778</v>
      </c>
      <c r="AZ59" s="134">
        <v>10.636225968380542</v>
      </c>
      <c r="BA59" s="134">
        <v>12.338407558064466</v>
      </c>
      <c r="BB59" s="134">
        <v>15.380904851034181</v>
      </c>
      <c r="BC59" s="134">
        <v>19.657145631617592</v>
      </c>
      <c r="BD59" s="134">
        <v>19.885471684330447</v>
      </c>
      <c r="BE59" s="134">
        <v>16.143351496188902</v>
      </c>
      <c r="BF59" s="134">
        <v>12.787784184275345</v>
      </c>
      <c r="BG59" s="134">
        <v>13.137176806164728</v>
      </c>
      <c r="BH59" s="134">
        <v>12.11176299494976</v>
      </c>
      <c r="BI59" s="134">
        <v>10.271551530454929</v>
      </c>
      <c r="BJ59" s="104">
        <v>2</v>
      </c>
      <c r="BK59" s="104" t="s">
        <v>22</v>
      </c>
      <c r="BL59" s="134">
        <v>1.3165301564477296</v>
      </c>
      <c r="BM59" s="134">
        <v>1.2148058052436674</v>
      </c>
      <c r="BN59" s="134">
        <v>1.5014526105065578</v>
      </c>
      <c r="BO59" s="134">
        <v>1.748671867390815</v>
      </c>
      <c r="BP59" s="134">
        <v>2.1869556450861438</v>
      </c>
      <c r="BQ59" s="134">
        <v>2.8057959831482542</v>
      </c>
      <c r="BR59" s="134">
        <v>2.8127519688050491</v>
      </c>
      <c r="BS59" s="134">
        <v>2.2866247600495662</v>
      </c>
      <c r="BT59" s="134">
        <v>2.004269032993049</v>
      </c>
      <c r="BU59" s="134">
        <v>2.3954297533841817</v>
      </c>
      <c r="BV59" s="134">
        <v>2.1889800043947414</v>
      </c>
      <c r="BW59" s="134">
        <v>1.6377626731151071</v>
      </c>
      <c r="BX59" s="99"/>
      <c r="BY59" s="99"/>
      <c r="BZ59" s="99"/>
      <c r="CA59" s="99"/>
      <c r="CB59" s="99"/>
      <c r="CC59" s="99"/>
      <c r="CD59" s="99"/>
      <c r="CE59" s="99"/>
      <c r="CF59" s="99"/>
      <c r="CG59" s="99"/>
      <c r="CH59" s="99"/>
      <c r="CI59" s="99"/>
      <c r="CJ59" s="99"/>
      <c r="CK59" s="99"/>
      <c r="CL59" s="104"/>
      <c r="CM59" s="104"/>
      <c r="CN59" s="134"/>
      <c r="CO59" s="134"/>
      <c r="CP59" s="134"/>
      <c r="CQ59" s="134"/>
      <c r="CR59" s="134"/>
      <c r="CS59" s="134"/>
      <c r="CT59" s="134"/>
      <c r="CU59" s="134"/>
      <c r="CV59" s="134"/>
      <c r="CW59" s="134"/>
      <c r="CX59" s="134"/>
    </row>
    <row r="60" spans="1:102" ht="12" customHeight="1" x14ac:dyDescent="0.2">
      <c r="A60" s="104">
        <v>13</v>
      </c>
      <c r="B60" s="104" t="s">
        <v>28</v>
      </c>
      <c r="C60" s="126">
        <v>0</v>
      </c>
      <c r="D60" s="126">
        <v>0</v>
      </c>
      <c r="E60" s="126">
        <v>0</v>
      </c>
      <c r="F60" s="126">
        <v>0</v>
      </c>
      <c r="G60" s="126">
        <v>0</v>
      </c>
      <c r="H60" s="126">
        <v>0</v>
      </c>
      <c r="I60" s="126">
        <v>0</v>
      </c>
      <c r="J60" s="126">
        <v>0</v>
      </c>
      <c r="K60" s="126">
        <v>0</v>
      </c>
      <c r="L60" s="126">
        <v>0</v>
      </c>
      <c r="M60" s="126">
        <v>0</v>
      </c>
      <c r="N60" s="126">
        <v>0</v>
      </c>
      <c r="O60" s="97"/>
      <c r="P60" s="97"/>
      <c r="Q60" s="104">
        <v>13</v>
      </c>
      <c r="R60" s="97" t="s">
        <v>28</v>
      </c>
      <c r="S60" s="139">
        <v>275.76459726464611</v>
      </c>
      <c r="T60" s="139">
        <v>360.90192299999819</v>
      </c>
      <c r="U60" s="139">
        <v>527.65220497504561</v>
      </c>
      <c r="V60" s="139">
        <v>626.62359744268156</v>
      </c>
      <c r="W60" s="139">
        <v>605.51714267336956</v>
      </c>
      <c r="X60" s="139">
        <v>725.984945202272</v>
      </c>
      <c r="Y60" s="139">
        <v>663.32110393935943</v>
      </c>
      <c r="Z60" s="139">
        <v>426.58830961029156</v>
      </c>
      <c r="AA60" s="139">
        <v>258.77427834703798</v>
      </c>
      <c r="AB60" s="139">
        <v>206.38004943134334</v>
      </c>
      <c r="AC60" s="139">
        <v>171.17387097192196</v>
      </c>
      <c r="AD60" s="139">
        <v>205.57970335561146</v>
      </c>
      <c r="AF60" s="104">
        <v>13</v>
      </c>
      <c r="AG60" s="97" t="s">
        <v>28</v>
      </c>
      <c r="AH60" s="141">
        <v>15.786594237526074</v>
      </c>
      <c r="AI60" s="141">
        <v>14.594613457717909</v>
      </c>
      <c r="AJ60" s="141">
        <v>15.676986799418602</v>
      </c>
      <c r="AK60" s="141">
        <v>14.065225951176908</v>
      </c>
      <c r="AL60" s="141">
        <v>17.19404822059175</v>
      </c>
      <c r="AM60" s="141">
        <v>22.714904909087984</v>
      </c>
      <c r="AN60" s="141">
        <v>21.273682450682408</v>
      </c>
      <c r="AO60" s="141">
        <v>29.262275119715721</v>
      </c>
      <c r="AP60" s="141">
        <v>40.890048723514482</v>
      </c>
      <c r="AQ60" s="141">
        <v>39.108265025217257</v>
      </c>
      <c r="AR60" s="141">
        <v>37.907629508038241</v>
      </c>
      <c r="AS60" s="141">
        <v>23.715893356497485</v>
      </c>
      <c r="AV60" s="104">
        <v>3</v>
      </c>
      <c r="AW60" s="104" t="s">
        <v>17</v>
      </c>
      <c r="AX60" s="134">
        <v>1.3402220375581386</v>
      </c>
      <c r="AY60" s="134">
        <v>4.032171162790732E-2</v>
      </c>
      <c r="AZ60" s="134">
        <v>0</v>
      </c>
      <c r="BA60" s="134">
        <v>0</v>
      </c>
      <c r="BB60" s="134">
        <v>0</v>
      </c>
      <c r="BC60" s="134">
        <v>0</v>
      </c>
      <c r="BD60" s="134">
        <v>0</v>
      </c>
      <c r="BE60" s="134">
        <v>10.794959645465118</v>
      </c>
      <c r="BF60" s="134">
        <v>16.735005051162787</v>
      </c>
      <c r="BG60" s="134">
        <v>17.223836419302327</v>
      </c>
      <c r="BH60" s="134">
        <v>14.373669464534881</v>
      </c>
      <c r="BI60" s="134">
        <v>5.2908299981395324</v>
      </c>
      <c r="BJ60" s="104">
        <v>3</v>
      </c>
      <c r="BK60" s="104" t="s">
        <v>17</v>
      </c>
      <c r="BL60" s="134">
        <v>0.21161400593023338</v>
      </c>
      <c r="BM60" s="134">
        <v>6.3665860465112953E-3</v>
      </c>
      <c r="BN60" s="134">
        <v>0</v>
      </c>
      <c r="BO60" s="134">
        <v>0</v>
      </c>
      <c r="BP60" s="134">
        <v>0</v>
      </c>
      <c r="BQ60" s="134">
        <v>0</v>
      </c>
      <c r="BR60" s="134">
        <v>0</v>
      </c>
      <c r="BS60" s="134">
        <v>1.7044673124418601</v>
      </c>
      <c r="BT60" s="134">
        <v>2.6423692186046566</v>
      </c>
      <c r="BU60" s="134">
        <v>2.719553118837208</v>
      </c>
      <c r="BV60" s="134">
        <v>2.2695267575581433</v>
      </c>
      <c r="BW60" s="134">
        <v>0.83539421023256111</v>
      </c>
      <c r="BX60" s="99"/>
      <c r="BY60" s="135" t="s">
        <v>119</v>
      </c>
      <c r="BZ60" s="99"/>
      <c r="CA60" s="99"/>
      <c r="CB60" s="99"/>
      <c r="CC60" s="99"/>
      <c r="CD60" s="99"/>
      <c r="CE60" s="99"/>
      <c r="CF60" s="99"/>
      <c r="CG60" s="99"/>
      <c r="CH60" s="99"/>
      <c r="CI60" s="99"/>
      <c r="CJ60" s="99"/>
      <c r="CK60" s="99"/>
      <c r="CL60" s="104"/>
      <c r="CM60" s="104"/>
      <c r="CN60" s="134"/>
      <c r="CO60" s="134"/>
      <c r="CP60" s="134"/>
      <c r="CQ60" s="134"/>
      <c r="CR60" s="134"/>
      <c r="CS60" s="134"/>
      <c r="CT60" s="134"/>
      <c r="CU60" s="134"/>
      <c r="CV60" s="134"/>
      <c r="CW60" s="134"/>
      <c r="CX60" s="134"/>
    </row>
    <row r="61" spans="1:102" ht="12" customHeight="1" x14ac:dyDescent="0.2">
      <c r="B61" s="98"/>
      <c r="C61" s="97"/>
      <c r="D61" s="97"/>
      <c r="E61" s="97"/>
      <c r="F61" s="97"/>
      <c r="G61" s="97"/>
      <c r="H61" s="97"/>
      <c r="I61" s="97"/>
      <c r="J61" s="97"/>
      <c r="K61" s="97"/>
      <c r="L61" s="97"/>
      <c r="M61" s="97"/>
      <c r="N61" s="97"/>
      <c r="O61" s="97"/>
      <c r="P61" s="97"/>
      <c r="Q61" s="104"/>
      <c r="R61" s="97"/>
      <c r="S61" s="146"/>
      <c r="T61" s="146"/>
      <c r="U61" s="146"/>
      <c r="V61" s="146"/>
      <c r="W61" s="146"/>
      <c r="X61" s="146"/>
      <c r="Y61" s="146"/>
      <c r="Z61" s="146"/>
      <c r="AA61" s="146"/>
      <c r="AB61" s="146"/>
      <c r="AC61" s="146"/>
      <c r="AD61" s="146"/>
      <c r="AV61" s="108">
        <v>4</v>
      </c>
      <c r="AW61" s="108" t="s">
        <v>0</v>
      </c>
      <c r="AX61" s="133">
        <v>0</v>
      </c>
      <c r="AY61" s="133">
        <v>0</v>
      </c>
      <c r="AZ61" s="133">
        <v>0</v>
      </c>
      <c r="BA61" s="133">
        <v>0</v>
      </c>
      <c r="BB61" s="133">
        <v>0</v>
      </c>
      <c r="BC61" s="133">
        <v>0</v>
      </c>
      <c r="BD61" s="133">
        <v>0</v>
      </c>
      <c r="BE61" s="133">
        <v>0</v>
      </c>
      <c r="BF61" s="133">
        <v>0</v>
      </c>
      <c r="BG61" s="133">
        <v>0</v>
      </c>
      <c r="BH61" s="133">
        <v>0</v>
      </c>
      <c r="BI61" s="133">
        <v>0</v>
      </c>
      <c r="BJ61" s="108">
        <v>4</v>
      </c>
      <c r="BK61" s="108" t="s">
        <v>0</v>
      </c>
      <c r="BL61" s="133">
        <v>0</v>
      </c>
      <c r="BM61" s="133">
        <v>0</v>
      </c>
      <c r="BN61" s="133">
        <v>0</v>
      </c>
      <c r="BO61" s="133">
        <v>0</v>
      </c>
      <c r="BP61" s="133">
        <v>0</v>
      </c>
      <c r="BQ61" s="133">
        <v>0</v>
      </c>
      <c r="BR61" s="133">
        <v>0</v>
      </c>
      <c r="BS61" s="133">
        <v>0</v>
      </c>
      <c r="BT61" s="133">
        <v>0</v>
      </c>
      <c r="BU61" s="133">
        <v>0</v>
      </c>
      <c r="BV61" s="133">
        <v>0</v>
      </c>
      <c r="BW61" s="133">
        <v>0</v>
      </c>
      <c r="BX61" s="99"/>
      <c r="BY61" s="99" t="s">
        <v>72</v>
      </c>
      <c r="BZ61" s="147">
        <v>0</v>
      </c>
      <c r="CA61" s="147">
        <v>0</v>
      </c>
      <c r="CB61" s="147">
        <v>0</v>
      </c>
      <c r="CC61" s="147">
        <v>0</v>
      </c>
      <c r="CD61" s="147">
        <v>0</v>
      </c>
      <c r="CE61" s="147">
        <v>0</v>
      </c>
      <c r="CF61" s="147">
        <v>0</v>
      </c>
      <c r="CG61" s="147">
        <v>0</v>
      </c>
      <c r="CH61" s="147">
        <v>0</v>
      </c>
      <c r="CI61" s="147">
        <v>0</v>
      </c>
      <c r="CJ61" s="147">
        <v>0</v>
      </c>
      <c r="CK61" s="147">
        <v>0</v>
      </c>
      <c r="CL61" s="108"/>
      <c r="CM61" s="108"/>
      <c r="CN61" s="133"/>
      <c r="CO61" s="133"/>
      <c r="CP61" s="133"/>
      <c r="CQ61" s="133"/>
      <c r="CR61" s="133"/>
      <c r="CS61" s="133"/>
      <c r="CT61" s="133"/>
      <c r="CU61" s="133"/>
      <c r="CV61" s="133"/>
      <c r="CW61" s="133"/>
      <c r="CX61" s="133"/>
    </row>
    <row r="62" spans="1:102" ht="12" customHeight="1" x14ac:dyDescent="0.2">
      <c r="B62" s="118" t="s">
        <v>33</v>
      </c>
      <c r="C62" s="102" t="s">
        <v>1</v>
      </c>
      <c r="D62" s="102" t="s">
        <v>2</v>
      </c>
      <c r="E62" s="102" t="s">
        <v>3</v>
      </c>
      <c r="F62" s="102" t="s">
        <v>4</v>
      </c>
      <c r="G62" s="102" t="s">
        <v>5</v>
      </c>
      <c r="H62" s="102" t="s">
        <v>6</v>
      </c>
      <c r="I62" s="102" t="s">
        <v>7</v>
      </c>
      <c r="J62" s="102" t="s">
        <v>8</v>
      </c>
      <c r="K62" s="102" t="s">
        <v>9</v>
      </c>
      <c r="L62" s="102" t="s">
        <v>10</v>
      </c>
      <c r="M62" s="102" t="s">
        <v>11</v>
      </c>
      <c r="N62" s="102" t="s">
        <v>12</v>
      </c>
      <c r="O62" s="97"/>
      <c r="P62" s="97"/>
      <c r="R62" s="148" t="s">
        <v>64</v>
      </c>
      <c r="S62" s="102" t="s">
        <v>1</v>
      </c>
      <c r="T62" s="102" t="s">
        <v>2</v>
      </c>
      <c r="U62" s="102" t="s">
        <v>3</v>
      </c>
      <c r="V62" s="102" t="s">
        <v>4</v>
      </c>
      <c r="W62" s="102" t="s">
        <v>5</v>
      </c>
      <c r="X62" s="102" t="s">
        <v>6</v>
      </c>
      <c r="Y62" s="102" t="s">
        <v>7</v>
      </c>
      <c r="Z62" s="102" t="s">
        <v>8</v>
      </c>
      <c r="AA62" s="102" t="s">
        <v>9</v>
      </c>
      <c r="AB62" s="102" t="s">
        <v>10</v>
      </c>
      <c r="AC62" s="102" t="s">
        <v>11</v>
      </c>
      <c r="AD62" s="102" t="s">
        <v>12</v>
      </c>
      <c r="AG62" s="149" t="s">
        <v>109</v>
      </c>
      <c r="AH62" s="149" t="s">
        <v>105</v>
      </c>
      <c r="AI62" s="149" t="s">
        <v>110</v>
      </c>
      <c r="AJ62" s="99"/>
      <c r="AK62" s="99"/>
      <c r="AL62" s="99"/>
      <c r="AM62" s="99"/>
      <c r="AN62" s="99"/>
      <c r="AO62" s="99"/>
      <c r="AP62" s="99"/>
      <c r="AQ62" s="99"/>
      <c r="AR62" s="99"/>
      <c r="AS62" s="99"/>
      <c r="AT62" s="99"/>
      <c r="AV62" s="108">
        <v>5</v>
      </c>
      <c r="AW62" s="108" t="s">
        <v>16</v>
      </c>
      <c r="AX62" s="133">
        <v>0</v>
      </c>
      <c r="AY62" s="133">
        <v>0</v>
      </c>
      <c r="AZ62" s="133">
        <v>0</v>
      </c>
      <c r="BA62" s="133">
        <v>0</v>
      </c>
      <c r="BB62" s="133">
        <v>0</v>
      </c>
      <c r="BC62" s="133">
        <v>0</v>
      </c>
      <c r="BD62" s="133">
        <v>0</v>
      </c>
      <c r="BE62" s="133">
        <v>0</v>
      </c>
      <c r="BF62" s="133">
        <v>0</v>
      </c>
      <c r="BG62" s="133">
        <v>0</v>
      </c>
      <c r="BH62" s="133">
        <v>0</v>
      </c>
      <c r="BI62" s="133">
        <v>0</v>
      </c>
      <c r="BJ62" s="108">
        <v>5</v>
      </c>
      <c r="BK62" s="108" t="s">
        <v>16</v>
      </c>
      <c r="BL62" s="133">
        <v>0</v>
      </c>
      <c r="BM62" s="133">
        <v>0</v>
      </c>
      <c r="BN62" s="133">
        <v>0</v>
      </c>
      <c r="BO62" s="133">
        <v>0</v>
      </c>
      <c r="BP62" s="133">
        <v>0</v>
      </c>
      <c r="BQ62" s="133">
        <v>0</v>
      </c>
      <c r="BR62" s="133">
        <v>0</v>
      </c>
      <c r="BS62" s="133">
        <v>0</v>
      </c>
      <c r="BT62" s="133">
        <v>0</v>
      </c>
      <c r="BU62" s="133">
        <v>0</v>
      </c>
      <c r="BV62" s="133">
        <v>0</v>
      </c>
      <c r="BW62" s="133">
        <v>0</v>
      </c>
      <c r="BX62" s="99"/>
      <c r="BY62" s="99" t="s">
        <v>73</v>
      </c>
      <c r="BZ62" s="147">
        <v>0</v>
      </c>
      <c r="CA62" s="147">
        <v>0</v>
      </c>
      <c r="CB62" s="147">
        <v>0</v>
      </c>
      <c r="CC62" s="147">
        <v>0</v>
      </c>
      <c r="CD62" s="147">
        <v>0</v>
      </c>
      <c r="CE62" s="147">
        <v>0</v>
      </c>
      <c r="CF62" s="147">
        <v>0</v>
      </c>
      <c r="CG62" s="147">
        <v>0</v>
      </c>
      <c r="CH62" s="147">
        <v>0</v>
      </c>
      <c r="CI62" s="147">
        <v>0</v>
      </c>
      <c r="CJ62" s="147">
        <v>0</v>
      </c>
      <c r="CK62" s="147">
        <v>0</v>
      </c>
      <c r="CL62" s="108"/>
      <c r="CM62" s="108"/>
      <c r="CN62" s="133"/>
      <c r="CO62" s="133"/>
      <c r="CP62" s="133"/>
      <c r="CQ62" s="133"/>
      <c r="CR62" s="133"/>
      <c r="CS62" s="133"/>
      <c r="CT62" s="133"/>
      <c r="CU62" s="133"/>
      <c r="CV62" s="133"/>
      <c r="CW62" s="133"/>
      <c r="CX62" s="133"/>
    </row>
    <row r="63" spans="1:102" ht="12" customHeight="1" x14ac:dyDescent="0.2">
      <c r="A63" s="104">
        <v>1</v>
      </c>
      <c r="B63" s="104" t="s">
        <v>21</v>
      </c>
      <c r="C63" s="126">
        <v>0</v>
      </c>
      <c r="D63" s="126">
        <v>0</v>
      </c>
      <c r="E63" s="126">
        <v>0</v>
      </c>
      <c r="F63" s="126">
        <v>0</v>
      </c>
      <c r="G63" s="126">
        <v>0</v>
      </c>
      <c r="H63" s="126">
        <v>0</v>
      </c>
      <c r="I63" s="126">
        <v>0</v>
      </c>
      <c r="J63" s="126">
        <v>0</v>
      </c>
      <c r="K63" s="126">
        <v>0</v>
      </c>
      <c r="L63" s="126">
        <v>0</v>
      </c>
      <c r="M63" s="126">
        <v>0</v>
      </c>
      <c r="N63" s="126">
        <v>0</v>
      </c>
      <c r="O63" s="97"/>
      <c r="P63" s="97"/>
      <c r="Q63" s="104">
        <v>1</v>
      </c>
      <c r="R63" s="97" t="s">
        <v>21</v>
      </c>
      <c r="S63" s="139">
        <f t="array" ref="S63:AD75">MMULT(C18:O30,S78:AD90)</f>
        <v>43.852295408621302</v>
      </c>
      <c r="T63" s="139">
        <v>50.680179315279609</v>
      </c>
      <c r="U63" s="139">
        <v>57.328781737684551</v>
      </c>
      <c r="V63" s="139">
        <v>58.897114264309415</v>
      </c>
      <c r="W63" s="139">
        <v>55.692996633435243</v>
      </c>
      <c r="X63" s="139">
        <v>65.90761051895069</v>
      </c>
      <c r="Y63" s="139">
        <v>60.340719394558143</v>
      </c>
      <c r="Z63" s="139">
        <v>60.848900369883339</v>
      </c>
      <c r="AA63" s="139">
        <v>64.374627802013038</v>
      </c>
      <c r="AB63" s="139">
        <v>51.887808479838839</v>
      </c>
      <c r="AC63" s="139">
        <v>43.742853350018393</v>
      </c>
      <c r="AD63" s="139">
        <v>34.569292325235708</v>
      </c>
      <c r="AG63" s="141">
        <f t="shared" ref="AG63:AG75" si="2">AVERAGE(AH48:AS48)</f>
        <v>32.833244002894254</v>
      </c>
      <c r="AH63" s="150">
        <v>3.2247331906867314E-2</v>
      </c>
      <c r="AI63" s="105">
        <f t="array" ref="AI63:AI75">AG63:AG75*AH63:AH75</f>
        <v>1.0587845169404917</v>
      </c>
      <c r="AJ63" s="99"/>
      <c r="AK63" s="99"/>
      <c r="AL63" s="99"/>
      <c r="AM63" s="99"/>
      <c r="AN63" s="99"/>
      <c r="AO63" s="99"/>
      <c r="AP63" s="99"/>
      <c r="AQ63" s="99"/>
      <c r="AR63" s="99"/>
      <c r="AS63" s="99"/>
      <c r="AT63" s="99"/>
      <c r="AV63" s="104">
        <v>6</v>
      </c>
      <c r="AW63" s="104" t="s">
        <v>18</v>
      </c>
      <c r="AX63" s="134">
        <v>0.98152127309162296</v>
      </c>
      <c r="AY63" s="134">
        <v>1.228085552955644</v>
      </c>
      <c r="AZ63" s="134">
        <v>2.8919026968332311</v>
      </c>
      <c r="BA63" s="134">
        <v>2.9539491870181465</v>
      </c>
      <c r="BB63" s="134">
        <v>3.9126022652845371</v>
      </c>
      <c r="BC63" s="134">
        <v>8.7516974809465928</v>
      </c>
      <c r="BD63" s="134">
        <v>11.443512211311383</v>
      </c>
      <c r="BE63" s="134">
        <v>5.2228037596758696</v>
      </c>
      <c r="BF63" s="134">
        <v>1.9933264859856656</v>
      </c>
      <c r="BG63" s="134">
        <v>1.4312465758819748</v>
      </c>
      <c r="BH63" s="134">
        <v>1.4958237539726689</v>
      </c>
      <c r="BI63" s="134">
        <v>1.2857612492449491</v>
      </c>
      <c r="BJ63" s="104">
        <v>6</v>
      </c>
      <c r="BK63" s="104" t="s">
        <v>18</v>
      </c>
      <c r="BL63" s="134">
        <v>0.17229027408076969</v>
      </c>
      <c r="BM63" s="134">
        <v>0.21402046938833474</v>
      </c>
      <c r="BN63" s="134">
        <v>0.52714673132794898</v>
      </c>
      <c r="BO63" s="134">
        <v>0.53058866966108553</v>
      </c>
      <c r="BP63" s="134">
        <v>0.70205890293527862</v>
      </c>
      <c r="BQ63" s="134">
        <v>1.5828820338380858</v>
      </c>
      <c r="BR63" s="134">
        <v>2.0240089561085544</v>
      </c>
      <c r="BS63" s="134">
        <v>0.91352669583888169</v>
      </c>
      <c r="BT63" s="134">
        <v>0.34642042793005068</v>
      </c>
      <c r="BU63" s="134">
        <v>0.24199546083077839</v>
      </c>
      <c r="BV63" s="134">
        <v>0.25184070030842065</v>
      </c>
      <c r="BW63" s="134">
        <v>0.21567843967849609</v>
      </c>
      <c r="BX63" s="99"/>
      <c r="BY63" s="99" t="s">
        <v>74</v>
      </c>
      <c r="BZ63" s="147">
        <v>0</v>
      </c>
      <c r="CA63" s="147">
        <v>0</v>
      </c>
      <c r="CB63" s="147">
        <v>0</v>
      </c>
      <c r="CC63" s="147">
        <v>0</v>
      </c>
      <c r="CD63" s="147">
        <v>0</v>
      </c>
      <c r="CE63" s="147">
        <v>0</v>
      </c>
      <c r="CF63" s="147">
        <v>0</v>
      </c>
      <c r="CG63" s="147">
        <v>0</v>
      </c>
      <c r="CH63" s="147">
        <v>0</v>
      </c>
      <c r="CI63" s="147">
        <v>0</v>
      </c>
      <c r="CJ63" s="147">
        <v>0</v>
      </c>
      <c r="CK63" s="147">
        <v>0</v>
      </c>
      <c r="CL63" s="104"/>
      <c r="CM63" s="104"/>
      <c r="CN63" s="134"/>
      <c r="CO63" s="134"/>
      <c r="CP63" s="134"/>
      <c r="CQ63" s="134"/>
      <c r="CR63" s="134"/>
      <c r="CS63" s="134"/>
      <c r="CT63" s="134"/>
      <c r="CU63" s="134"/>
      <c r="CV63" s="134"/>
      <c r="CW63" s="134"/>
      <c r="CX63" s="134"/>
    </row>
    <row r="64" spans="1:102" ht="12" customHeight="1" x14ac:dyDescent="0.2">
      <c r="A64" s="104">
        <v>2</v>
      </c>
      <c r="B64" s="104" t="s">
        <v>22</v>
      </c>
      <c r="C64" s="126">
        <v>0</v>
      </c>
      <c r="D64" s="126">
        <v>0</v>
      </c>
      <c r="E64" s="126">
        <v>0</v>
      </c>
      <c r="F64" s="126">
        <v>0</v>
      </c>
      <c r="G64" s="126">
        <v>0</v>
      </c>
      <c r="H64" s="126">
        <v>0</v>
      </c>
      <c r="I64" s="126">
        <v>0</v>
      </c>
      <c r="J64" s="126">
        <v>0</v>
      </c>
      <c r="K64" s="126">
        <v>0</v>
      </c>
      <c r="L64" s="126">
        <v>0</v>
      </c>
      <c r="M64" s="126">
        <v>0</v>
      </c>
      <c r="N64" s="126">
        <v>0</v>
      </c>
      <c r="O64" s="97"/>
      <c r="P64" s="97"/>
      <c r="Q64" s="104">
        <v>2</v>
      </c>
      <c r="R64" s="97" t="s">
        <v>22</v>
      </c>
      <c r="S64" s="139">
        <v>17.136009648320186</v>
      </c>
      <c r="T64" s="139">
        <v>28.858125024853376</v>
      </c>
      <c r="U64" s="139">
        <v>20.152310500344335</v>
      </c>
      <c r="V64" s="139">
        <v>22.567857320529725</v>
      </c>
      <c r="W64" s="139">
        <v>14.965828831178264</v>
      </c>
      <c r="X64" s="139">
        <v>6.9181381991925939</v>
      </c>
      <c r="Y64" s="139">
        <v>20.98544197413981</v>
      </c>
      <c r="Z64" s="139">
        <v>26.550868073722388</v>
      </c>
      <c r="AA64" s="139">
        <v>9.5033576031155462</v>
      </c>
      <c r="AB64" s="139">
        <v>10.084551538676894</v>
      </c>
      <c r="AC64" s="139">
        <v>10.293348853912551</v>
      </c>
      <c r="AD64" s="139">
        <v>18.299672661540889</v>
      </c>
      <c r="AG64" s="141">
        <f t="shared" si="2"/>
        <v>56.885678926602388</v>
      </c>
      <c r="AH64" s="150">
        <v>1.6069691766100062E-2</v>
      </c>
      <c r="AI64" s="105">
        <v>0.91413532625583427</v>
      </c>
      <c r="AJ64" s="99"/>
      <c r="AK64" s="99"/>
      <c r="AL64" s="99"/>
      <c r="AM64" s="99"/>
      <c r="AN64" s="99"/>
      <c r="AO64" s="99"/>
      <c r="AP64" s="99"/>
      <c r="AQ64" s="99"/>
      <c r="AR64" s="99"/>
      <c r="AS64" s="99"/>
      <c r="AT64" s="99"/>
      <c r="AV64" s="108">
        <v>7</v>
      </c>
      <c r="AW64" s="108" t="s">
        <v>19</v>
      </c>
      <c r="AX64" s="133">
        <v>0</v>
      </c>
      <c r="AY64" s="133">
        <v>0</v>
      </c>
      <c r="AZ64" s="133">
        <v>0</v>
      </c>
      <c r="BA64" s="133">
        <v>0</v>
      </c>
      <c r="BB64" s="133">
        <v>0</v>
      </c>
      <c r="BC64" s="133">
        <v>0</v>
      </c>
      <c r="BD64" s="133">
        <v>0</v>
      </c>
      <c r="BE64" s="133">
        <v>0</v>
      </c>
      <c r="BF64" s="133">
        <v>0</v>
      </c>
      <c r="BG64" s="133">
        <v>0</v>
      </c>
      <c r="BH64" s="133">
        <v>0</v>
      </c>
      <c r="BI64" s="133">
        <v>0</v>
      </c>
      <c r="BJ64" s="108">
        <v>7</v>
      </c>
      <c r="BK64" s="108" t="s">
        <v>19</v>
      </c>
      <c r="BL64" s="133">
        <v>0</v>
      </c>
      <c r="BM64" s="133">
        <v>0</v>
      </c>
      <c r="BN64" s="133">
        <v>0</v>
      </c>
      <c r="BO64" s="133">
        <v>0</v>
      </c>
      <c r="BP64" s="133">
        <v>0</v>
      </c>
      <c r="BQ64" s="133">
        <v>0</v>
      </c>
      <c r="BR64" s="133">
        <v>0</v>
      </c>
      <c r="BS64" s="133">
        <v>0</v>
      </c>
      <c r="BT64" s="133">
        <v>0</v>
      </c>
      <c r="BU64" s="133">
        <v>0</v>
      </c>
      <c r="BV64" s="133">
        <v>0</v>
      </c>
      <c r="BW64" s="133">
        <v>0</v>
      </c>
      <c r="BX64" s="99"/>
      <c r="BY64" s="143" t="s">
        <v>75</v>
      </c>
      <c r="BZ64" s="152">
        <v>7500</v>
      </c>
      <c r="CA64" s="153">
        <v>7500</v>
      </c>
      <c r="CB64" s="153">
        <v>7500</v>
      </c>
      <c r="CC64" s="153">
        <v>7500</v>
      </c>
      <c r="CD64" s="153">
        <v>7500</v>
      </c>
      <c r="CE64" s="153">
        <v>7500</v>
      </c>
      <c r="CF64" s="153">
        <v>7500</v>
      </c>
      <c r="CG64" s="153">
        <v>7500</v>
      </c>
      <c r="CH64" s="153">
        <v>7500</v>
      </c>
      <c r="CI64" s="153">
        <v>7500</v>
      </c>
      <c r="CJ64" s="153">
        <v>7500</v>
      </c>
      <c r="CK64" s="153">
        <v>7500</v>
      </c>
      <c r="CL64" s="108"/>
      <c r="CM64" s="108"/>
      <c r="CN64" s="133"/>
      <c r="CO64" s="133"/>
      <c r="CP64" s="133"/>
      <c r="CQ64" s="133"/>
      <c r="CR64" s="133"/>
      <c r="CS64" s="133"/>
      <c r="CT64" s="133"/>
      <c r="CU64" s="133"/>
      <c r="CV64" s="133"/>
      <c r="CW64" s="133"/>
      <c r="CX64" s="133"/>
    </row>
    <row r="65" spans="1:103" ht="12" customHeight="1" x14ac:dyDescent="0.2">
      <c r="A65" s="104">
        <v>3</v>
      </c>
      <c r="B65" s="104" t="s">
        <v>17</v>
      </c>
      <c r="C65" s="126">
        <v>0</v>
      </c>
      <c r="D65" s="126">
        <v>0</v>
      </c>
      <c r="E65" s="126">
        <v>0</v>
      </c>
      <c r="F65" s="126">
        <v>0</v>
      </c>
      <c r="G65" s="126">
        <v>0</v>
      </c>
      <c r="H65" s="126">
        <v>0</v>
      </c>
      <c r="I65" s="126">
        <v>0</v>
      </c>
      <c r="J65" s="126">
        <v>0</v>
      </c>
      <c r="K65" s="126">
        <v>0</v>
      </c>
      <c r="L65" s="126">
        <v>0</v>
      </c>
      <c r="M65" s="126">
        <v>0</v>
      </c>
      <c r="N65" s="126">
        <v>0</v>
      </c>
      <c r="O65" s="97"/>
      <c r="P65" s="97"/>
      <c r="Q65" s="104">
        <v>3</v>
      </c>
      <c r="R65" s="97" t="s">
        <v>17</v>
      </c>
      <c r="S65" s="139">
        <v>36.580888291082758</v>
      </c>
      <c r="T65" s="139">
        <v>36.060121452816688</v>
      </c>
      <c r="U65" s="139">
        <v>37.953086094226073</v>
      </c>
      <c r="V65" s="139">
        <v>42.486243803698017</v>
      </c>
      <c r="W65" s="139">
        <v>45.396573959933079</v>
      </c>
      <c r="X65" s="139">
        <v>62.007027446515806</v>
      </c>
      <c r="Y65" s="139">
        <v>66.164824703082914</v>
      </c>
      <c r="Z65" s="139">
        <v>49.156391468708229</v>
      </c>
      <c r="AA65" s="139">
        <v>31.915952116706748</v>
      </c>
      <c r="AB65" s="139">
        <v>25.991556741528758</v>
      </c>
      <c r="AC65" s="139">
        <v>27.404011668282042</v>
      </c>
      <c r="AD65" s="139">
        <v>33.381098301453278</v>
      </c>
      <c r="AG65" s="141">
        <f t="shared" si="2"/>
        <v>-117.51748366334766</v>
      </c>
      <c r="AH65" s="150">
        <v>1.1780618411273069E-2</v>
      </c>
      <c r="AI65" s="105">
        <v>-1.3844286316909156</v>
      </c>
      <c r="AJ65" s="99"/>
      <c r="AK65" s="99"/>
      <c r="AL65" s="99"/>
      <c r="AM65" s="99"/>
      <c r="AN65" s="99"/>
      <c r="AO65" s="99"/>
      <c r="AP65" s="99"/>
      <c r="AQ65" s="99"/>
      <c r="AR65" s="99"/>
      <c r="AS65" s="99"/>
      <c r="AT65" s="99"/>
      <c r="AV65" s="108">
        <v>8</v>
      </c>
      <c r="AW65" s="108" t="s">
        <v>23</v>
      </c>
      <c r="AX65" s="133">
        <v>0</v>
      </c>
      <c r="AY65" s="133">
        <v>0</v>
      </c>
      <c r="AZ65" s="133">
        <v>0</v>
      </c>
      <c r="BA65" s="133">
        <v>0</v>
      </c>
      <c r="BB65" s="133">
        <v>0</v>
      </c>
      <c r="BC65" s="133">
        <v>0</v>
      </c>
      <c r="BD65" s="133">
        <v>0</v>
      </c>
      <c r="BE65" s="133">
        <v>0</v>
      </c>
      <c r="BF65" s="133">
        <v>0</v>
      </c>
      <c r="BG65" s="133">
        <v>0</v>
      </c>
      <c r="BH65" s="133">
        <v>0</v>
      </c>
      <c r="BI65" s="133">
        <v>0</v>
      </c>
      <c r="BJ65" s="108">
        <v>8</v>
      </c>
      <c r="BK65" s="108" t="s">
        <v>23</v>
      </c>
      <c r="BL65" s="133">
        <v>0</v>
      </c>
      <c r="BM65" s="133">
        <v>0</v>
      </c>
      <c r="BN65" s="133">
        <v>0</v>
      </c>
      <c r="BO65" s="133">
        <v>0</v>
      </c>
      <c r="BP65" s="133">
        <v>0</v>
      </c>
      <c r="BQ65" s="133">
        <v>0</v>
      </c>
      <c r="BR65" s="133">
        <v>0</v>
      </c>
      <c r="BS65" s="133">
        <v>0</v>
      </c>
      <c r="BT65" s="133">
        <v>0</v>
      </c>
      <c r="BU65" s="133">
        <v>0</v>
      </c>
      <c r="BV65" s="133">
        <v>0</v>
      </c>
      <c r="BW65" s="133">
        <v>0</v>
      </c>
      <c r="BX65" s="99"/>
      <c r="BY65" s="143" t="s">
        <v>76</v>
      </c>
      <c r="BZ65" s="152">
        <v>7500</v>
      </c>
      <c r="CA65" s="153">
        <v>7500</v>
      </c>
      <c r="CB65" s="153">
        <v>7500</v>
      </c>
      <c r="CC65" s="153">
        <v>7500</v>
      </c>
      <c r="CD65" s="153">
        <v>7500</v>
      </c>
      <c r="CE65" s="153">
        <v>7500</v>
      </c>
      <c r="CF65" s="153">
        <v>7500</v>
      </c>
      <c r="CG65" s="153">
        <v>7500</v>
      </c>
      <c r="CH65" s="153">
        <v>7500</v>
      </c>
      <c r="CI65" s="153">
        <v>7500</v>
      </c>
      <c r="CJ65" s="153">
        <v>7500</v>
      </c>
      <c r="CK65" s="153">
        <v>7500</v>
      </c>
      <c r="CL65" s="108"/>
      <c r="CM65" s="108"/>
      <c r="CN65" s="133"/>
      <c r="CO65" s="133"/>
      <c r="CP65" s="133"/>
      <c r="CQ65" s="133"/>
      <c r="CR65" s="133"/>
      <c r="CS65" s="133"/>
      <c r="CT65" s="133"/>
      <c r="CU65" s="133"/>
      <c r="CV65" s="133"/>
      <c r="CW65" s="133"/>
      <c r="CX65" s="133"/>
    </row>
    <row r="66" spans="1:103" ht="12" customHeight="1" x14ac:dyDescent="0.2">
      <c r="A66" s="108">
        <v>4</v>
      </c>
      <c r="B66" s="108" t="s">
        <v>0</v>
      </c>
      <c r="C66" s="130">
        <v>105.36556371896306</v>
      </c>
      <c r="D66" s="130">
        <v>111.22745383387087</v>
      </c>
      <c r="E66" s="130">
        <v>117.68219109533409</v>
      </c>
      <c r="F66" s="138">
        <v>126.86829252044161</v>
      </c>
      <c r="G66" s="138">
        <v>121.88400586695919</v>
      </c>
      <c r="H66" s="138">
        <v>141.23783920978175</v>
      </c>
      <c r="I66" s="138">
        <v>155.3166660732501</v>
      </c>
      <c r="J66" s="138">
        <v>116.35457307733327</v>
      </c>
      <c r="K66" s="130">
        <v>91.201813346081849</v>
      </c>
      <c r="L66" s="130">
        <v>82.322621364463402</v>
      </c>
      <c r="M66" s="130">
        <v>83.183503920407489</v>
      </c>
      <c r="N66" s="130">
        <v>88.088428710351124</v>
      </c>
      <c r="O66" s="97"/>
      <c r="P66" s="97"/>
      <c r="Q66" s="108">
        <v>4</v>
      </c>
      <c r="R66" s="109" t="s">
        <v>0</v>
      </c>
      <c r="S66" s="140">
        <v>114.5248651286433</v>
      </c>
      <c r="T66" s="140">
        <v>115.30828631237809</v>
      </c>
      <c r="U66" s="140">
        <v>116.79957750310135</v>
      </c>
      <c r="V66" s="140">
        <v>125.71702954940253</v>
      </c>
      <c r="W66" s="140">
        <v>117.36175270597553</v>
      </c>
      <c r="X66" s="140">
        <v>136.70833666966777</v>
      </c>
      <c r="Y66" s="140">
        <v>154.79772743684532</v>
      </c>
      <c r="Z66" s="140">
        <v>132.45969294045807</v>
      </c>
      <c r="AA66" s="140">
        <v>117.23663344855551</v>
      </c>
      <c r="AB66" s="140">
        <v>104.69260353323929</v>
      </c>
      <c r="AC66" s="140">
        <v>98.601706550314944</v>
      </c>
      <c r="AD66" s="140">
        <v>102.12704350646219</v>
      </c>
      <c r="AG66" s="142">
        <f t="shared" si="2"/>
        <v>27.684288367642523</v>
      </c>
      <c r="AH66" s="154">
        <v>6.2976522861645803E-2</v>
      </c>
      <c r="AI66" s="151">
        <v>1.7434602192932342</v>
      </c>
      <c r="AJ66" s="99"/>
      <c r="AK66" s="99"/>
      <c r="AL66" s="99"/>
      <c r="AM66" s="99"/>
      <c r="AN66" s="99"/>
      <c r="AO66" s="99"/>
      <c r="AP66" s="99"/>
      <c r="AQ66" s="99"/>
      <c r="AR66" s="99"/>
      <c r="AS66" s="99"/>
      <c r="AT66" s="99"/>
      <c r="AV66" s="108">
        <v>9</v>
      </c>
      <c r="AW66" s="108" t="s">
        <v>24</v>
      </c>
      <c r="AX66" s="133">
        <v>0</v>
      </c>
      <c r="AY66" s="133">
        <v>0</v>
      </c>
      <c r="AZ66" s="133">
        <v>0</v>
      </c>
      <c r="BA66" s="133">
        <v>0</v>
      </c>
      <c r="BB66" s="133">
        <v>0</v>
      </c>
      <c r="BC66" s="133">
        <v>0</v>
      </c>
      <c r="BD66" s="133">
        <v>0</v>
      </c>
      <c r="BE66" s="133">
        <v>0</v>
      </c>
      <c r="BF66" s="133">
        <v>0</v>
      </c>
      <c r="BG66" s="133">
        <v>0</v>
      </c>
      <c r="BH66" s="133">
        <v>0</v>
      </c>
      <c r="BI66" s="133">
        <v>0</v>
      </c>
      <c r="BJ66" s="108">
        <v>9</v>
      </c>
      <c r="BK66" s="108" t="s">
        <v>24</v>
      </c>
      <c r="BL66" s="133">
        <v>0</v>
      </c>
      <c r="BM66" s="133">
        <v>0</v>
      </c>
      <c r="BN66" s="133">
        <v>0</v>
      </c>
      <c r="BO66" s="133">
        <v>0</v>
      </c>
      <c r="BP66" s="133">
        <v>0</v>
      </c>
      <c r="BQ66" s="133">
        <v>0</v>
      </c>
      <c r="BR66" s="133">
        <v>0</v>
      </c>
      <c r="BS66" s="133">
        <v>0</v>
      </c>
      <c r="BT66" s="133">
        <v>0</v>
      </c>
      <c r="BU66" s="133">
        <v>0</v>
      </c>
      <c r="BV66" s="133">
        <v>0</v>
      </c>
      <c r="BW66" s="133">
        <v>0</v>
      </c>
      <c r="BX66" s="99"/>
      <c r="BY66" s="99" t="s">
        <v>77</v>
      </c>
      <c r="BZ66" s="147">
        <v>0</v>
      </c>
      <c r="CA66" s="147">
        <v>0</v>
      </c>
      <c r="CB66" s="147">
        <v>0</v>
      </c>
      <c r="CC66" s="147">
        <v>0</v>
      </c>
      <c r="CD66" s="147">
        <v>0</v>
      </c>
      <c r="CE66" s="147">
        <v>0</v>
      </c>
      <c r="CF66" s="147">
        <v>0</v>
      </c>
      <c r="CG66" s="147">
        <v>0</v>
      </c>
      <c r="CH66" s="147">
        <v>0</v>
      </c>
      <c r="CI66" s="147">
        <v>0</v>
      </c>
      <c r="CJ66" s="147">
        <v>0</v>
      </c>
      <c r="CK66" s="147">
        <v>0</v>
      </c>
      <c r="CL66" s="108"/>
      <c r="CM66" s="108"/>
      <c r="CN66" s="133"/>
      <c r="CO66" s="133"/>
      <c r="CP66" s="133"/>
      <c r="CQ66" s="133"/>
      <c r="CR66" s="133"/>
      <c r="CS66" s="133"/>
      <c r="CT66" s="133"/>
      <c r="CU66" s="133"/>
      <c r="CV66" s="133"/>
      <c r="CW66" s="133"/>
      <c r="CX66" s="133"/>
    </row>
    <row r="67" spans="1:103" ht="12" customHeight="1" x14ac:dyDescent="0.2">
      <c r="A67" s="108">
        <v>5</v>
      </c>
      <c r="B67" s="108" t="s">
        <v>16</v>
      </c>
      <c r="C67" s="130">
        <v>104.71847762643164</v>
      </c>
      <c r="D67" s="130">
        <v>110.86080353146528</v>
      </c>
      <c r="E67" s="130">
        <v>117.67650752266327</v>
      </c>
      <c r="F67" s="138">
        <v>128.14475563694194</v>
      </c>
      <c r="G67" s="138">
        <v>123.91727888715442</v>
      </c>
      <c r="H67" s="138">
        <v>144.49939786718599</v>
      </c>
      <c r="I67" s="138">
        <v>159.06795515532826</v>
      </c>
      <c r="J67" s="138">
        <v>118.82793763192029</v>
      </c>
      <c r="K67" s="130">
        <v>91.291308566800183</v>
      </c>
      <c r="L67" s="130">
        <v>82.460772666531014</v>
      </c>
      <c r="M67" s="130">
        <v>83.23546222289238</v>
      </c>
      <c r="N67" s="130">
        <v>87.506430224672513</v>
      </c>
      <c r="O67" s="97"/>
      <c r="P67" s="97"/>
      <c r="Q67" s="108">
        <v>5</v>
      </c>
      <c r="R67" s="109" t="s">
        <v>16</v>
      </c>
      <c r="S67" s="140">
        <v>114.5248651286433</v>
      </c>
      <c r="T67" s="140">
        <v>115.30828631237809</v>
      </c>
      <c r="U67" s="140">
        <v>116.79957750310135</v>
      </c>
      <c r="V67" s="140">
        <v>125.71702954940253</v>
      </c>
      <c r="W67" s="140">
        <v>117.36175270597553</v>
      </c>
      <c r="X67" s="140">
        <v>136.70833666966777</v>
      </c>
      <c r="Y67" s="140">
        <v>154.79772743684532</v>
      </c>
      <c r="Z67" s="140">
        <v>132.45969294045807</v>
      </c>
      <c r="AA67" s="140">
        <v>117.23663344855551</v>
      </c>
      <c r="AB67" s="140">
        <v>104.69260353323929</v>
      </c>
      <c r="AC67" s="140">
        <v>98.601706550314944</v>
      </c>
      <c r="AD67" s="140">
        <v>102.12704350646219</v>
      </c>
      <c r="AG67" s="142">
        <f t="shared" si="2"/>
        <v>27.870243440276123</v>
      </c>
      <c r="AH67" s="154">
        <v>6.3052337295267366E-2</v>
      </c>
      <c r="AI67" s="151">
        <v>1.7572839898975028</v>
      </c>
      <c r="AJ67" s="99"/>
      <c r="AK67" s="99"/>
      <c r="AL67" s="99"/>
      <c r="AM67" s="99"/>
      <c r="AN67" s="99"/>
      <c r="AO67" s="99"/>
      <c r="AP67" s="99"/>
      <c r="AQ67" s="99"/>
      <c r="AR67" s="99"/>
      <c r="AS67" s="99"/>
      <c r="AT67" s="99"/>
      <c r="AV67" s="104">
        <v>10</v>
      </c>
      <c r="AW67" s="104" t="s">
        <v>25</v>
      </c>
      <c r="AX67" s="134">
        <v>1.1659308474411523</v>
      </c>
      <c r="AY67" s="134">
        <v>0.77461956046801017</v>
      </c>
      <c r="AZ67" s="134">
        <v>1.4706768372844978</v>
      </c>
      <c r="BA67" s="134">
        <v>1.8433833251423106</v>
      </c>
      <c r="BB67" s="134">
        <v>2.5895603142422488</v>
      </c>
      <c r="BC67" s="134">
        <v>3.7450688209416967</v>
      </c>
      <c r="BD67" s="134">
        <v>3.1577025791532662</v>
      </c>
      <c r="BE67" s="134">
        <v>3.6920586729431939</v>
      </c>
      <c r="BF67" s="134">
        <v>9.0570772948589067</v>
      </c>
      <c r="BG67" s="134">
        <v>12.431594481768512</v>
      </c>
      <c r="BH67" s="134">
        <v>10.611152722975026</v>
      </c>
      <c r="BI67" s="134">
        <v>4.4523406525472113</v>
      </c>
      <c r="BJ67" s="104">
        <v>10</v>
      </c>
      <c r="BK67" s="104" t="s">
        <v>25</v>
      </c>
      <c r="BL67" s="134">
        <v>0.16844060942852312</v>
      </c>
      <c r="BM67" s="134">
        <v>9.9911377420141223E-2</v>
      </c>
      <c r="BN67" s="134">
        <v>0.18868631838481531</v>
      </c>
      <c r="BO67" s="134">
        <v>0.25126476073563397</v>
      </c>
      <c r="BP67" s="134">
        <v>0.35242746214546017</v>
      </c>
      <c r="BQ67" s="134">
        <v>0.52226435780210245</v>
      </c>
      <c r="BR67" s="134">
        <v>0.45193661396219298</v>
      </c>
      <c r="BS67" s="134">
        <v>0.55413762254634058</v>
      </c>
      <c r="BT67" s="134">
        <v>1.409495780390813</v>
      </c>
      <c r="BU67" s="134">
        <v>1.9478835026231458</v>
      </c>
      <c r="BV67" s="134">
        <v>1.6631653494467997</v>
      </c>
      <c r="BW67" s="134">
        <v>0.69433060264186519</v>
      </c>
      <c r="BX67" s="99"/>
      <c r="BY67" s="143" t="s">
        <v>78</v>
      </c>
      <c r="BZ67" s="152">
        <v>7500</v>
      </c>
      <c r="CA67" s="153">
        <v>7500</v>
      </c>
      <c r="CB67" s="153">
        <v>7500</v>
      </c>
      <c r="CC67" s="153">
        <v>7500</v>
      </c>
      <c r="CD67" s="153">
        <v>7500</v>
      </c>
      <c r="CE67" s="153">
        <v>7500</v>
      </c>
      <c r="CF67" s="153">
        <v>7500</v>
      </c>
      <c r="CG67" s="153">
        <v>7500</v>
      </c>
      <c r="CH67" s="153">
        <v>7500</v>
      </c>
      <c r="CI67" s="153">
        <v>7500</v>
      </c>
      <c r="CJ67" s="153">
        <v>7500</v>
      </c>
      <c r="CK67" s="153">
        <v>7500</v>
      </c>
      <c r="CL67" s="104"/>
      <c r="CM67" s="104"/>
      <c r="CN67" s="134"/>
      <c r="CO67" s="134"/>
      <c r="CP67" s="134"/>
      <c r="CQ67" s="134"/>
      <c r="CR67" s="134"/>
      <c r="CS67" s="134"/>
      <c r="CT67" s="134"/>
      <c r="CU67" s="134"/>
      <c r="CV67" s="134"/>
      <c r="CW67" s="134"/>
      <c r="CX67" s="134"/>
    </row>
    <row r="68" spans="1:103" ht="12" customHeight="1" x14ac:dyDescent="0.2">
      <c r="A68" s="104">
        <v>6</v>
      </c>
      <c r="B68" s="104" t="s">
        <v>18</v>
      </c>
      <c r="C68" s="126">
        <v>0</v>
      </c>
      <c r="D68" s="126">
        <v>0</v>
      </c>
      <c r="E68" s="126">
        <v>0</v>
      </c>
      <c r="F68" s="126">
        <v>0</v>
      </c>
      <c r="G68" s="126">
        <v>0</v>
      </c>
      <c r="H68" s="126">
        <v>0</v>
      </c>
      <c r="I68" s="126">
        <v>0</v>
      </c>
      <c r="J68" s="126">
        <v>0</v>
      </c>
      <c r="K68" s="126">
        <v>0</v>
      </c>
      <c r="L68" s="126">
        <v>0</v>
      </c>
      <c r="M68" s="126">
        <v>0</v>
      </c>
      <c r="N68" s="126">
        <v>0</v>
      </c>
      <c r="O68" s="97"/>
      <c r="P68" s="97"/>
      <c r="Q68" s="104">
        <v>6</v>
      </c>
      <c r="R68" s="97" t="s">
        <v>18</v>
      </c>
      <c r="S68" s="139">
        <v>6.1980958007442517</v>
      </c>
      <c r="T68" s="139">
        <v>7.4839599362425311</v>
      </c>
      <c r="U68" s="139">
        <v>33.722406900089467</v>
      </c>
      <c r="V68" s="139">
        <v>35.839616883724993</v>
      </c>
      <c r="W68" s="139">
        <v>48.91587901512365</v>
      </c>
      <c r="X68" s="139">
        <v>81.674099958670027</v>
      </c>
      <c r="Y68" s="139">
        <v>85.165741255487475</v>
      </c>
      <c r="Z68" s="139">
        <v>34.645117678375776</v>
      </c>
      <c r="AA68" s="139">
        <v>10.666191024964736</v>
      </c>
      <c r="AB68" s="139">
        <v>5.166438558416889</v>
      </c>
      <c r="AC68" s="139">
        <v>4.1540195104425663</v>
      </c>
      <c r="AD68" s="139">
        <v>4.3775817466593487</v>
      </c>
      <c r="AG68" s="141">
        <f t="shared" si="2"/>
        <v>52.792767298875454</v>
      </c>
      <c r="AH68" s="150">
        <v>1.9821165125944014E-2</v>
      </c>
      <c r="AI68" s="105">
        <v>1.0464141580865478</v>
      </c>
      <c r="AJ68" s="99"/>
      <c r="AK68" s="99"/>
      <c r="AL68" s="99"/>
      <c r="AM68" s="99"/>
      <c r="AN68" s="99"/>
      <c r="AO68" s="99"/>
      <c r="AP68" s="99"/>
      <c r="AQ68" s="99"/>
      <c r="AR68" s="99"/>
      <c r="AS68" s="99"/>
      <c r="AT68" s="99"/>
      <c r="AV68" s="104">
        <v>11</v>
      </c>
      <c r="AW68" s="104" t="s">
        <v>26</v>
      </c>
      <c r="AX68" s="134">
        <v>1.6821134854976598</v>
      </c>
      <c r="AY68" s="134">
        <v>1.704003205846111</v>
      </c>
      <c r="AZ68" s="134">
        <v>3.38955127422585</v>
      </c>
      <c r="BA68" s="134">
        <v>4.738458076239553</v>
      </c>
      <c r="BB68" s="134">
        <v>4.977144757562753</v>
      </c>
      <c r="BC68" s="134">
        <v>10.575473875153419</v>
      </c>
      <c r="BD68" s="134">
        <v>15.575553680700967</v>
      </c>
      <c r="BE68" s="134">
        <v>9.4258366794686648</v>
      </c>
      <c r="BF68" s="134">
        <v>4.1770476282389737</v>
      </c>
      <c r="BG68" s="134">
        <v>1.3582084774794456</v>
      </c>
      <c r="BH68" s="134">
        <v>1.0155498739341411</v>
      </c>
      <c r="BI68" s="134">
        <v>0.80677789889067597</v>
      </c>
      <c r="BJ68" s="104">
        <v>11</v>
      </c>
      <c r="BK68" s="104" t="s">
        <v>26</v>
      </c>
      <c r="BL68" s="134">
        <v>0.22349951215245856</v>
      </c>
      <c r="BM68" s="134">
        <v>0.23802939049099914</v>
      </c>
      <c r="BN68" s="134">
        <v>0.46182576982888346</v>
      </c>
      <c r="BO68" s="134">
        <v>0.61957121201990795</v>
      </c>
      <c r="BP68" s="134">
        <v>0.65237757630990512</v>
      </c>
      <c r="BQ68" s="134">
        <v>1.3010651020970112</v>
      </c>
      <c r="BR68" s="134">
        <v>1.8524703430568294</v>
      </c>
      <c r="BS68" s="134">
        <v>1.1595451525063947</v>
      </c>
      <c r="BT68" s="134">
        <v>0.53368774987186463</v>
      </c>
      <c r="BU68" s="134">
        <v>0.18629702751687893</v>
      </c>
      <c r="BV68" s="134">
        <v>0.143533234876011</v>
      </c>
      <c r="BW68" s="134">
        <v>0.11427353600679058</v>
      </c>
      <c r="BX68" s="99"/>
      <c r="BY68" s="143" t="s">
        <v>79</v>
      </c>
      <c r="BZ68" s="152">
        <v>5300</v>
      </c>
      <c r="CA68" s="153">
        <v>5300</v>
      </c>
      <c r="CB68" s="153">
        <v>5300</v>
      </c>
      <c r="CC68" s="153">
        <v>5300</v>
      </c>
      <c r="CD68" s="153">
        <v>5300</v>
      </c>
      <c r="CE68" s="153">
        <v>5300</v>
      </c>
      <c r="CF68" s="153">
        <v>5300</v>
      </c>
      <c r="CG68" s="153">
        <v>5300</v>
      </c>
      <c r="CH68" s="153">
        <v>5300</v>
      </c>
      <c r="CI68" s="153">
        <v>5300</v>
      </c>
      <c r="CJ68" s="153">
        <v>5300</v>
      </c>
      <c r="CK68" s="153">
        <v>5300</v>
      </c>
      <c r="CL68" s="104"/>
      <c r="CM68" s="104"/>
      <c r="CN68" s="134"/>
      <c r="CO68" s="134"/>
      <c r="CP68" s="134"/>
      <c r="CQ68" s="134"/>
      <c r="CR68" s="134"/>
      <c r="CS68" s="134"/>
      <c r="CT68" s="134"/>
      <c r="CU68" s="134"/>
      <c r="CV68" s="134"/>
      <c r="CW68" s="134"/>
      <c r="CX68" s="134"/>
    </row>
    <row r="69" spans="1:103" ht="12" customHeight="1" x14ac:dyDescent="0.2">
      <c r="A69" s="108">
        <v>7</v>
      </c>
      <c r="B69" s="108" t="s">
        <v>19</v>
      </c>
      <c r="C69" s="130">
        <v>109.7475442342792</v>
      </c>
      <c r="D69" s="130">
        <v>114.64528886707915</v>
      </c>
      <c r="E69" s="138">
        <v>153.29123530115254</v>
      </c>
      <c r="F69" s="138">
        <v>173.12195401390446</v>
      </c>
      <c r="G69" s="138">
        <v>197.48357138047049</v>
      </c>
      <c r="H69" s="138">
        <v>270.89362302222264</v>
      </c>
      <c r="I69" s="138">
        <v>335.10754887642139</v>
      </c>
      <c r="J69" s="138">
        <v>212.42082722967388</v>
      </c>
      <c r="K69" s="130">
        <v>116.61735945447127</v>
      </c>
      <c r="L69" s="130">
        <v>106.37539972793628</v>
      </c>
      <c r="M69" s="130">
        <v>107.59854915557742</v>
      </c>
      <c r="N69" s="130">
        <v>105.06202053212532</v>
      </c>
      <c r="O69" s="97"/>
      <c r="P69" s="97"/>
      <c r="Q69" s="108">
        <v>7</v>
      </c>
      <c r="R69" s="109" t="s">
        <v>19</v>
      </c>
      <c r="S69" s="140">
        <v>124.23590570181436</v>
      </c>
      <c r="T69" s="140">
        <v>147.56105240839167</v>
      </c>
      <c r="U69" s="140">
        <v>194.64563212730911</v>
      </c>
      <c r="V69" s="140">
        <v>206.25504173604546</v>
      </c>
      <c r="W69" s="140">
        <v>223.36057991230842</v>
      </c>
      <c r="X69" s="140">
        <v>329.82660247931233</v>
      </c>
      <c r="Y69" s="140">
        <v>378.97451644099988</v>
      </c>
      <c r="Z69" s="140">
        <v>241.85264211370816</v>
      </c>
      <c r="AA69" s="140">
        <v>126.78597916153777</v>
      </c>
      <c r="AB69" s="140">
        <v>78.931631788986181</v>
      </c>
      <c r="AC69" s="140">
        <v>70.239689519640578</v>
      </c>
      <c r="AD69" s="140">
        <v>99.662188803692274</v>
      </c>
      <c r="AG69" s="142">
        <f t="shared" si="2"/>
        <v>28.966814224079886</v>
      </c>
      <c r="AH69" s="154">
        <v>9.7748747815879486E-2</v>
      </c>
      <c r="AI69" s="151">
        <v>2.8314698186190155</v>
      </c>
      <c r="AJ69" s="99"/>
      <c r="AK69" s="99"/>
      <c r="AL69" s="99"/>
      <c r="AM69" s="99"/>
      <c r="AN69" s="99"/>
      <c r="AO69" s="99"/>
      <c r="AP69" s="99"/>
      <c r="AQ69" s="99"/>
      <c r="AR69" s="99"/>
      <c r="AS69" s="99"/>
      <c r="AT69" s="99"/>
      <c r="AV69" s="104">
        <v>12</v>
      </c>
      <c r="AW69" s="104" t="s">
        <v>27</v>
      </c>
      <c r="AX69" s="134">
        <v>6.1295947190476208E-2</v>
      </c>
      <c r="AY69" s="134">
        <v>0</v>
      </c>
      <c r="AZ69" s="134">
        <v>0</v>
      </c>
      <c r="BA69" s="134">
        <v>0</v>
      </c>
      <c r="BB69" s="134">
        <v>0</v>
      </c>
      <c r="BC69" s="134">
        <v>0</v>
      </c>
      <c r="BD69" s="134">
        <v>0</v>
      </c>
      <c r="BE69" s="134">
        <v>0.20115744865499691</v>
      </c>
      <c r="BF69" s="134">
        <v>6.8450896649371087</v>
      </c>
      <c r="BG69" s="134">
        <v>13.085175929188908</v>
      </c>
      <c r="BH69" s="134">
        <v>10.839230697965696</v>
      </c>
      <c r="BI69" s="134">
        <v>3.3526716826759873</v>
      </c>
      <c r="BJ69" s="104">
        <v>12</v>
      </c>
      <c r="BK69" s="104" t="s">
        <v>27</v>
      </c>
      <c r="BL69" s="134">
        <v>1.8028219761904773E-2</v>
      </c>
      <c r="BM69" s="134">
        <v>0</v>
      </c>
      <c r="BN69" s="134">
        <v>0</v>
      </c>
      <c r="BO69" s="134">
        <v>0</v>
      </c>
      <c r="BP69" s="134">
        <v>0</v>
      </c>
      <c r="BQ69" s="134">
        <v>0</v>
      </c>
      <c r="BR69" s="134">
        <v>0</v>
      </c>
      <c r="BS69" s="134">
        <v>5.9163955486763786E-2</v>
      </c>
      <c r="BT69" s="134">
        <v>2.0132616661579741</v>
      </c>
      <c r="BU69" s="134">
        <v>3.8485811556437977</v>
      </c>
      <c r="BV69" s="134">
        <v>3.1880090288134415</v>
      </c>
      <c r="BW69" s="134">
        <v>0.98607990666940859</v>
      </c>
      <c r="BX69" s="99"/>
      <c r="BY69" s="143" t="s">
        <v>80</v>
      </c>
      <c r="BZ69" s="152">
        <v>5600</v>
      </c>
      <c r="CA69" s="153">
        <v>5600</v>
      </c>
      <c r="CB69" s="153">
        <v>5600</v>
      </c>
      <c r="CC69" s="153">
        <v>5600</v>
      </c>
      <c r="CD69" s="153">
        <v>5600</v>
      </c>
      <c r="CE69" s="153">
        <v>5600</v>
      </c>
      <c r="CF69" s="153">
        <v>5600</v>
      </c>
      <c r="CG69" s="153">
        <v>5600</v>
      </c>
      <c r="CH69" s="153">
        <v>5600</v>
      </c>
      <c r="CI69" s="153">
        <v>5600</v>
      </c>
      <c r="CJ69" s="153">
        <v>5600</v>
      </c>
      <c r="CK69" s="153">
        <v>5600</v>
      </c>
      <c r="CL69" s="104"/>
      <c r="CM69" s="104"/>
      <c r="CN69" s="134"/>
      <c r="CO69" s="134"/>
      <c r="CP69" s="134"/>
      <c r="CQ69" s="134"/>
      <c r="CR69" s="134"/>
      <c r="CS69" s="134"/>
      <c r="CT69" s="134"/>
      <c r="CU69" s="134"/>
      <c r="CV69" s="134"/>
      <c r="CW69" s="134"/>
      <c r="CX69" s="134"/>
    </row>
    <row r="70" spans="1:103" ht="12" customHeight="1" x14ac:dyDescent="0.2">
      <c r="A70" s="108">
        <v>8</v>
      </c>
      <c r="B70" s="108" t="s">
        <v>23</v>
      </c>
      <c r="C70" s="130">
        <v>114.67443068545501</v>
      </c>
      <c r="D70" s="130">
        <v>117.98757294309183</v>
      </c>
      <c r="E70" s="138">
        <v>145.98242551576098</v>
      </c>
      <c r="F70" s="138">
        <v>160.94559377466067</v>
      </c>
      <c r="G70" s="138">
        <v>173.7806311630487</v>
      </c>
      <c r="H70" s="138">
        <v>234.3532051139218</v>
      </c>
      <c r="I70" s="138">
        <v>236.14276642735408</v>
      </c>
      <c r="J70" s="138">
        <v>198.13384295556287</v>
      </c>
      <c r="K70" s="130">
        <v>125.01168414393116</v>
      </c>
      <c r="L70" s="130">
        <v>113.22525586559</v>
      </c>
      <c r="M70" s="130">
        <v>113.53905773708891</v>
      </c>
      <c r="N70" s="130">
        <v>110.17108610706393</v>
      </c>
      <c r="O70" s="97"/>
      <c r="P70" s="97"/>
      <c r="Q70" s="108">
        <v>8</v>
      </c>
      <c r="R70" s="109" t="s">
        <v>23</v>
      </c>
      <c r="S70" s="140">
        <v>127.2526296501275</v>
      </c>
      <c r="T70" s="140">
        <v>151.60260796739863</v>
      </c>
      <c r="U70" s="140">
        <v>202.44226040515986</v>
      </c>
      <c r="V70" s="140">
        <v>217.33407413254827</v>
      </c>
      <c r="W70" s="140">
        <v>237.96958853400432</v>
      </c>
      <c r="X70" s="140">
        <v>354.76402251166149</v>
      </c>
      <c r="Y70" s="140">
        <v>404.18983743874298</v>
      </c>
      <c r="Z70" s="140">
        <v>257.64802610201542</v>
      </c>
      <c r="AA70" s="140">
        <v>134.7145707251384</v>
      </c>
      <c r="AB70" s="140">
        <v>82.693807916993563</v>
      </c>
      <c r="AC70" s="140">
        <v>72.844836558616066</v>
      </c>
      <c r="AD70" s="140">
        <v>101.38385312861379</v>
      </c>
      <c r="AG70" s="142">
        <f t="shared" si="2"/>
        <v>29.291056892589449</v>
      </c>
      <c r="AH70" s="154">
        <v>0.10315100011170243</v>
      </c>
      <c r="AI70" s="151">
        <v>3.0214018127993767</v>
      </c>
      <c r="AJ70" s="99"/>
      <c r="AK70" s="99"/>
      <c r="AL70" s="99"/>
      <c r="AM70" s="99"/>
      <c r="AN70" s="99"/>
      <c r="AO70" s="99"/>
      <c r="AP70" s="99"/>
      <c r="AQ70" s="99"/>
      <c r="AR70" s="99"/>
      <c r="AS70" s="99"/>
      <c r="AT70" s="99"/>
      <c r="AV70" s="104">
        <v>13</v>
      </c>
      <c r="AW70" s="104" t="s">
        <v>28</v>
      </c>
      <c r="AX70" s="134">
        <v>0</v>
      </c>
      <c r="AY70" s="134">
        <v>0</v>
      </c>
      <c r="AZ70" s="134">
        <v>0</v>
      </c>
      <c r="BA70" s="134">
        <v>0</v>
      </c>
      <c r="BB70" s="134">
        <v>0</v>
      </c>
      <c r="BC70" s="134">
        <v>0</v>
      </c>
      <c r="BD70" s="134">
        <v>0</v>
      </c>
      <c r="BE70" s="134">
        <v>0.58051896792145286</v>
      </c>
      <c r="BF70" s="134">
        <v>1.0775511711001968</v>
      </c>
      <c r="BG70" s="134">
        <v>1.609412804509418</v>
      </c>
      <c r="BH70" s="134">
        <v>1.4476529014317983</v>
      </c>
      <c r="BI70" s="134">
        <v>0.55168083377239796</v>
      </c>
      <c r="BJ70" s="104">
        <v>13</v>
      </c>
      <c r="BK70" s="104" t="s">
        <v>28</v>
      </c>
      <c r="BL70" s="134">
        <v>0</v>
      </c>
      <c r="BM70" s="134">
        <v>0</v>
      </c>
      <c r="BN70" s="134">
        <v>0</v>
      </c>
      <c r="BO70" s="134">
        <v>0</v>
      </c>
      <c r="BP70" s="134">
        <v>0</v>
      </c>
      <c r="BQ70" s="134">
        <v>0</v>
      </c>
      <c r="BR70" s="134">
        <v>0</v>
      </c>
      <c r="BS70" s="134">
        <v>9.1660889671806522E-2</v>
      </c>
      <c r="BT70" s="134">
        <v>0.17013965859476854</v>
      </c>
      <c r="BU70" s="134">
        <v>0.25411781123832777</v>
      </c>
      <c r="BV70" s="134">
        <v>0.22857677391028552</v>
      </c>
      <c r="BW70" s="134">
        <v>8.7107500069327104E-2</v>
      </c>
      <c r="BX70" s="99"/>
      <c r="BY70" s="99" t="s">
        <v>81</v>
      </c>
      <c r="BZ70" s="147">
        <v>0</v>
      </c>
      <c r="CA70" s="147">
        <v>0</v>
      </c>
      <c r="CB70" s="147">
        <v>0</v>
      </c>
      <c r="CC70" s="147">
        <v>0</v>
      </c>
      <c r="CD70" s="147">
        <v>0</v>
      </c>
      <c r="CE70" s="147">
        <v>0</v>
      </c>
      <c r="CF70" s="147">
        <v>0</v>
      </c>
      <c r="CG70" s="147">
        <v>0</v>
      </c>
      <c r="CH70" s="147">
        <v>0</v>
      </c>
      <c r="CI70" s="147">
        <v>0</v>
      </c>
      <c r="CJ70" s="147">
        <v>0</v>
      </c>
      <c r="CK70" s="147">
        <v>0</v>
      </c>
      <c r="CL70" s="104"/>
      <c r="CM70" s="104"/>
      <c r="CN70" s="134"/>
      <c r="CO70" s="134"/>
      <c r="CP70" s="134"/>
      <c r="CQ70" s="134"/>
      <c r="CR70" s="134"/>
      <c r="CS70" s="134"/>
      <c r="CT70" s="134"/>
      <c r="CU70" s="134"/>
      <c r="CV70" s="134"/>
      <c r="CW70" s="134"/>
      <c r="CX70" s="134"/>
    </row>
    <row r="71" spans="1:103" ht="12" customHeight="1" x14ac:dyDescent="0.2">
      <c r="A71" s="108">
        <v>9</v>
      </c>
      <c r="B71" s="108" t="s">
        <v>24</v>
      </c>
      <c r="C71" s="130">
        <v>114.45974174615029</v>
      </c>
      <c r="D71" s="130">
        <v>117.98549697747902</v>
      </c>
      <c r="E71" s="138">
        <v>145.93650001018582</v>
      </c>
      <c r="F71" s="138">
        <v>160.92095545144178</v>
      </c>
      <c r="G71" s="138">
        <v>173.66950295792049</v>
      </c>
      <c r="H71" s="138">
        <v>234.3532051139218</v>
      </c>
      <c r="I71" s="138">
        <v>236.07506338568737</v>
      </c>
      <c r="J71" s="138">
        <v>197.84861712146025</v>
      </c>
      <c r="K71" s="130">
        <v>124.4314711391055</v>
      </c>
      <c r="L71" s="130">
        <v>112.56362841851221</v>
      </c>
      <c r="M71" s="130">
        <v>112.89058868736883</v>
      </c>
      <c r="N71" s="130">
        <v>109.7709786395602</v>
      </c>
      <c r="O71" s="97"/>
      <c r="P71" s="97"/>
      <c r="Q71" s="108">
        <v>9</v>
      </c>
      <c r="R71" s="109" t="s">
        <v>24</v>
      </c>
      <c r="S71" s="140">
        <v>127.2526296501275</v>
      </c>
      <c r="T71" s="140">
        <v>151.60260796739863</v>
      </c>
      <c r="U71" s="140">
        <v>202.44226040515986</v>
      </c>
      <c r="V71" s="140">
        <v>217.33407413254827</v>
      </c>
      <c r="W71" s="140">
        <v>237.96958853400432</v>
      </c>
      <c r="X71" s="140">
        <v>354.76402251166149</v>
      </c>
      <c r="Y71" s="140">
        <v>404.18983743874298</v>
      </c>
      <c r="Z71" s="140">
        <v>257.64802610201542</v>
      </c>
      <c r="AA71" s="140">
        <v>134.7145707251384</v>
      </c>
      <c r="AB71" s="140">
        <v>82.693807916993563</v>
      </c>
      <c r="AC71" s="140">
        <v>72.844836558616066</v>
      </c>
      <c r="AD71" s="140">
        <v>101.38385312861379</v>
      </c>
      <c r="AG71" s="142">
        <f t="shared" si="2"/>
        <v>29.754180483191551</v>
      </c>
      <c r="AH71" s="154">
        <v>0.1036055297592726</v>
      </c>
      <c r="AI71" s="151">
        <v>3.0826976315140704</v>
      </c>
      <c r="AJ71" s="99"/>
      <c r="AK71" s="99"/>
      <c r="AL71" s="99"/>
      <c r="AM71" s="99"/>
      <c r="AN71" s="99"/>
      <c r="AO71" s="99"/>
      <c r="AP71" s="99"/>
      <c r="AQ71" s="99"/>
      <c r="AR71" s="99"/>
      <c r="AS71" s="99"/>
      <c r="AT71" s="99"/>
      <c r="AX71" s="99"/>
      <c r="AY71" s="99"/>
      <c r="AZ71" s="99"/>
      <c r="BA71" s="99"/>
      <c r="BB71" s="99"/>
      <c r="BC71" s="99"/>
      <c r="BD71" s="99"/>
      <c r="BE71" s="99"/>
      <c r="BF71" s="99"/>
      <c r="BG71" s="99"/>
      <c r="BH71" s="99"/>
      <c r="BI71" s="99"/>
      <c r="BL71" s="99"/>
      <c r="BM71" s="99"/>
      <c r="BN71" s="99"/>
      <c r="BO71" s="99"/>
      <c r="BP71" s="99"/>
      <c r="BQ71" s="99"/>
      <c r="BR71" s="99"/>
      <c r="BS71" s="99"/>
      <c r="BT71" s="99"/>
      <c r="BU71" s="99"/>
      <c r="BV71" s="99"/>
      <c r="BW71" s="99"/>
      <c r="BX71" s="99"/>
      <c r="BY71" s="99" t="s">
        <v>82</v>
      </c>
      <c r="BZ71" s="147">
        <v>0</v>
      </c>
      <c r="CA71" s="147">
        <v>0</v>
      </c>
      <c r="CB71" s="147">
        <v>0</v>
      </c>
      <c r="CC71" s="147">
        <v>0</v>
      </c>
      <c r="CD71" s="147">
        <v>0</v>
      </c>
      <c r="CE71" s="147">
        <v>0</v>
      </c>
      <c r="CF71" s="147">
        <v>0</v>
      </c>
      <c r="CG71" s="147">
        <v>0</v>
      </c>
      <c r="CH71" s="147">
        <v>0</v>
      </c>
      <c r="CI71" s="147">
        <v>0</v>
      </c>
      <c r="CJ71" s="147">
        <v>0</v>
      </c>
      <c r="CK71" s="147">
        <v>0</v>
      </c>
      <c r="CN71" s="99"/>
      <c r="CO71" s="99"/>
      <c r="CP71" s="99"/>
      <c r="CQ71" s="99"/>
      <c r="CR71" s="99"/>
      <c r="CS71" s="99"/>
      <c r="CT71" s="99"/>
      <c r="CU71" s="99"/>
      <c r="CV71" s="99"/>
      <c r="CW71" s="99"/>
      <c r="CX71" s="99"/>
    </row>
    <row r="72" spans="1:103" ht="12" customHeight="1" x14ac:dyDescent="0.2">
      <c r="A72" s="104">
        <v>10</v>
      </c>
      <c r="B72" s="104" t="s">
        <v>25</v>
      </c>
      <c r="C72" s="126">
        <v>0</v>
      </c>
      <c r="D72" s="126">
        <v>0</v>
      </c>
      <c r="E72" s="126">
        <v>0</v>
      </c>
      <c r="F72" s="126">
        <v>0</v>
      </c>
      <c r="G72" s="126">
        <v>0</v>
      </c>
      <c r="H72" s="126">
        <v>0</v>
      </c>
      <c r="I72" s="126">
        <v>0</v>
      </c>
      <c r="J72" s="126">
        <v>0</v>
      </c>
      <c r="K72" s="126">
        <v>0</v>
      </c>
      <c r="L72" s="126">
        <v>0</v>
      </c>
      <c r="M72" s="126">
        <v>0</v>
      </c>
      <c r="N72" s="126">
        <v>0</v>
      </c>
      <c r="O72" s="97"/>
      <c r="P72" s="97"/>
      <c r="Q72" s="104">
        <v>10</v>
      </c>
      <c r="R72" s="97" t="s">
        <v>25</v>
      </c>
      <c r="S72" s="139">
        <v>176.60262224412733</v>
      </c>
      <c r="T72" s="139">
        <v>220.09775681353017</v>
      </c>
      <c r="U72" s="139">
        <v>272.14026231914659</v>
      </c>
      <c r="V72" s="139">
        <v>321.64164392891087</v>
      </c>
      <c r="W72" s="139">
        <v>278.12165550044853</v>
      </c>
      <c r="X72" s="139">
        <v>317.36338151409564</v>
      </c>
      <c r="Y72" s="139">
        <v>305.4327241609065</v>
      </c>
      <c r="Z72" s="139">
        <v>201.13681686522887</v>
      </c>
      <c r="AA72" s="139">
        <v>141.21870083287672</v>
      </c>
      <c r="AB72" s="139">
        <v>138.68164616025626</v>
      </c>
      <c r="AC72" s="139">
        <v>124.66975278298574</v>
      </c>
      <c r="AD72" s="139">
        <v>151.88835569351622</v>
      </c>
      <c r="AG72" s="141">
        <f t="shared" si="2"/>
        <v>29.309165205134395</v>
      </c>
      <c r="AH72" s="150">
        <v>0.11596097217201615</v>
      </c>
      <c r="AI72" s="105">
        <v>3.3987192907376134</v>
      </c>
      <c r="AJ72" s="99"/>
      <c r="AK72" s="99"/>
      <c r="AL72" s="99"/>
      <c r="AM72" s="99"/>
      <c r="AN72" s="99"/>
      <c r="AO72" s="99"/>
      <c r="AP72" s="99"/>
      <c r="AQ72" s="99"/>
      <c r="AR72" s="99"/>
      <c r="AS72" s="99"/>
      <c r="AT72" s="99"/>
      <c r="AX72" s="99"/>
      <c r="AY72" s="99"/>
      <c r="AZ72" s="99"/>
      <c r="BA72" s="99"/>
      <c r="BB72" s="99"/>
      <c r="BC72" s="99"/>
      <c r="BD72" s="99"/>
      <c r="BE72" s="99"/>
      <c r="BF72" s="99"/>
      <c r="BG72" s="99"/>
      <c r="BH72" s="99"/>
      <c r="BI72" s="99"/>
      <c r="BL72" s="99"/>
      <c r="BM72" s="99"/>
      <c r="BN72" s="99"/>
      <c r="BO72" s="99"/>
      <c r="BP72" s="99"/>
      <c r="BQ72" s="99"/>
      <c r="BR72" s="99"/>
      <c r="BS72" s="99"/>
      <c r="BT72" s="99"/>
      <c r="BU72" s="99"/>
      <c r="BV72" s="99"/>
      <c r="BW72" s="99"/>
      <c r="BX72" s="99"/>
      <c r="BY72" s="99" t="s">
        <v>83</v>
      </c>
      <c r="BZ72" s="147">
        <v>0</v>
      </c>
      <c r="CA72" s="147">
        <v>0</v>
      </c>
      <c r="CB72" s="147">
        <v>0</v>
      </c>
      <c r="CC72" s="147">
        <v>0</v>
      </c>
      <c r="CD72" s="147">
        <v>0</v>
      </c>
      <c r="CE72" s="147">
        <v>0</v>
      </c>
      <c r="CF72" s="147">
        <v>0</v>
      </c>
      <c r="CG72" s="147">
        <v>0</v>
      </c>
      <c r="CH72" s="147">
        <v>0</v>
      </c>
      <c r="CI72" s="147">
        <v>0</v>
      </c>
      <c r="CJ72" s="147">
        <v>0</v>
      </c>
      <c r="CK72" s="147">
        <v>0</v>
      </c>
      <c r="CN72" s="99"/>
      <c r="CO72" s="99"/>
      <c r="CP72" s="99"/>
      <c r="CQ72" s="99"/>
      <c r="CR72" s="99"/>
      <c r="CS72" s="99"/>
      <c r="CT72" s="99"/>
      <c r="CU72" s="99"/>
      <c r="CV72" s="99"/>
      <c r="CW72" s="99"/>
      <c r="CX72" s="99"/>
    </row>
    <row r="73" spans="1:103" ht="12" customHeight="1" x14ac:dyDescent="0.2">
      <c r="A73" s="104">
        <v>11</v>
      </c>
      <c r="B73" s="104" t="s">
        <v>26</v>
      </c>
      <c r="C73" s="126">
        <v>0</v>
      </c>
      <c r="D73" s="126">
        <v>0</v>
      </c>
      <c r="E73" s="126">
        <v>0</v>
      </c>
      <c r="F73" s="126">
        <v>0</v>
      </c>
      <c r="G73" s="126">
        <v>0</v>
      </c>
      <c r="H73" s="126">
        <v>0</v>
      </c>
      <c r="I73" s="126">
        <v>0</v>
      </c>
      <c r="J73" s="126">
        <v>0</v>
      </c>
      <c r="K73" s="126">
        <v>0</v>
      </c>
      <c r="L73" s="126">
        <v>0</v>
      </c>
      <c r="M73" s="126">
        <v>0</v>
      </c>
      <c r="N73" s="126">
        <v>0</v>
      </c>
      <c r="O73" s="97"/>
      <c r="P73" s="97"/>
      <c r="Q73" s="104">
        <v>11</v>
      </c>
      <c r="R73" s="97" t="s">
        <v>26</v>
      </c>
      <c r="S73" s="139">
        <v>15.228139560490185</v>
      </c>
      <c r="T73" s="139">
        <v>24.272616897125044</v>
      </c>
      <c r="U73" s="139">
        <v>50.529560939824165</v>
      </c>
      <c r="V73" s="139">
        <v>57.169430364211664</v>
      </c>
      <c r="W73" s="139">
        <v>69.369859396686181</v>
      </c>
      <c r="X73" s="139">
        <v>91.236498588263345</v>
      </c>
      <c r="Y73" s="139">
        <v>93.999772395584259</v>
      </c>
      <c r="Z73" s="139">
        <v>68.011580047954268</v>
      </c>
      <c r="AA73" s="139">
        <v>33.011174260976084</v>
      </c>
      <c r="AB73" s="139">
        <v>11.968100985166796</v>
      </c>
      <c r="AC73" s="139">
        <v>7.2855775078529845</v>
      </c>
      <c r="AD73" s="139">
        <v>7.1355220272087969</v>
      </c>
      <c r="AG73" s="141">
        <f t="shared" si="2"/>
        <v>22.560262634971739</v>
      </c>
      <c r="AH73" s="150">
        <v>2.1397021969482462E-2</v>
      </c>
      <c r="AI73" s="105">
        <v>0.48272243523778458</v>
      </c>
      <c r="AJ73" s="99"/>
      <c r="AK73" s="99"/>
      <c r="AL73" s="99"/>
      <c r="AM73" s="99"/>
      <c r="AN73" s="99"/>
      <c r="AO73" s="99"/>
      <c r="AP73" s="99"/>
      <c r="AQ73" s="99"/>
      <c r="AR73" s="99"/>
      <c r="AS73" s="99"/>
      <c r="AT73" s="99"/>
      <c r="AX73" s="99"/>
      <c r="AY73" s="99"/>
      <c r="AZ73" s="99"/>
      <c r="BA73" s="99"/>
      <c r="BB73" s="99"/>
      <c r="BC73" s="99"/>
      <c r="BD73" s="99"/>
      <c r="BE73" s="99"/>
      <c r="BF73" s="99"/>
      <c r="BG73" s="99"/>
      <c r="BH73" s="99"/>
      <c r="BI73" s="99"/>
      <c r="BL73" s="99"/>
      <c r="BM73" s="99"/>
      <c r="BN73" s="99"/>
      <c r="BO73" s="99"/>
      <c r="BP73" s="99"/>
      <c r="BQ73" s="99"/>
      <c r="BR73" s="99"/>
      <c r="BS73" s="99"/>
      <c r="BT73" s="99"/>
      <c r="BU73" s="99"/>
      <c r="BV73" s="99"/>
      <c r="BW73" s="99"/>
      <c r="BX73" s="99"/>
      <c r="BY73" s="99" t="s">
        <v>84</v>
      </c>
      <c r="BZ73" s="147">
        <v>0</v>
      </c>
      <c r="CA73" s="147">
        <v>0</v>
      </c>
      <c r="CB73" s="147">
        <v>0</v>
      </c>
      <c r="CC73" s="147">
        <v>0</v>
      </c>
      <c r="CD73" s="147">
        <v>0</v>
      </c>
      <c r="CE73" s="147">
        <v>0</v>
      </c>
      <c r="CF73" s="147">
        <v>0</v>
      </c>
      <c r="CG73" s="147">
        <v>0</v>
      </c>
      <c r="CH73" s="147">
        <v>0</v>
      </c>
      <c r="CI73" s="147">
        <v>0</v>
      </c>
      <c r="CJ73" s="147">
        <v>0</v>
      </c>
      <c r="CK73" s="147">
        <v>0</v>
      </c>
      <c r="CN73" s="99"/>
      <c r="CO73" s="99"/>
      <c r="CP73" s="99"/>
      <c r="CQ73" s="99"/>
      <c r="CR73" s="99"/>
      <c r="CS73" s="99"/>
      <c r="CT73" s="99"/>
      <c r="CU73" s="99"/>
      <c r="CV73" s="99"/>
      <c r="CW73" s="99"/>
      <c r="CX73" s="99"/>
    </row>
    <row r="74" spans="1:103" ht="12" customHeight="1" x14ac:dyDescent="0.2">
      <c r="A74" s="104">
        <v>12</v>
      </c>
      <c r="B74" s="104" t="s">
        <v>27</v>
      </c>
      <c r="C74" s="126">
        <v>0</v>
      </c>
      <c r="D74" s="126">
        <v>0</v>
      </c>
      <c r="E74" s="126">
        <v>0</v>
      </c>
      <c r="F74" s="126">
        <v>0</v>
      </c>
      <c r="G74" s="126">
        <v>0</v>
      </c>
      <c r="H74" s="126">
        <v>0</v>
      </c>
      <c r="I74" s="126">
        <v>0</v>
      </c>
      <c r="J74" s="126">
        <v>0</v>
      </c>
      <c r="K74" s="126">
        <v>0</v>
      </c>
      <c r="L74" s="126">
        <v>0</v>
      </c>
      <c r="M74" s="126">
        <v>0</v>
      </c>
      <c r="N74" s="126">
        <v>0</v>
      </c>
      <c r="O74" s="97"/>
      <c r="P74" s="97"/>
      <c r="Q74" s="104">
        <v>12</v>
      </c>
      <c r="R74" s="97" t="s">
        <v>27</v>
      </c>
      <c r="S74" s="139">
        <v>193.67712342033971</v>
      </c>
      <c r="T74" s="139">
        <v>246.41880425705492</v>
      </c>
      <c r="U74" s="139">
        <v>325.21376535343211</v>
      </c>
      <c r="V74" s="139">
        <v>381.75690728138648</v>
      </c>
      <c r="W74" s="139">
        <v>350.44881283323411</v>
      </c>
      <c r="X74" s="139">
        <v>412.12256437993659</v>
      </c>
      <c r="Y74" s="139">
        <v>402.78511665441931</v>
      </c>
      <c r="Z74" s="139">
        <v>271.74409150157805</v>
      </c>
      <c r="AA74" s="139">
        <v>168.71017824640475</v>
      </c>
      <c r="AB74" s="139">
        <v>138.10978221273498</v>
      </c>
      <c r="AC74" s="139">
        <v>121.86514884071154</v>
      </c>
      <c r="AD74" s="139">
        <v>157.19229341586524</v>
      </c>
      <c r="AG74" s="141">
        <f t="shared" si="2"/>
        <v>28.735230358985763</v>
      </c>
      <c r="AH74" s="150">
        <v>0.13852931709273109</v>
      </c>
      <c r="AI74" s="105">
        <v>3.9806718381326118</v>
      </c>
      <c r="AJ74" s="99"/>
      <c r="AK74" s="99"/>
      <c r="AL74" s="99"/>
      <c r="AM74" s="99"/>
      <c r="AN74" s="99"/>
      <c r="AO74" s="99"/>
      <c r="AP74" s="99"/>
      <c r="AQ74" s="99"/>
      <c r="AR74" s="99"/>
      <c r="AS74" s="99"/>
      <c r="AT74" s="99"/>
      <c r="AX74" s="99"/>
      <c r="AY74" s="99"/>
      <c r="AZ74" s="99"/>
      <c r="BA74" s="99"/>
      <c r="BB74" s="99"/>
      <c r="BC74" s="99"/>
      <c r="BD74" s="99"/>
      <c r="BE74" s="99"/>
      <c r="BF74" s="99"/>
      <c r="BG74" s="99"/>
      <c r="BH74" s="99"/>
      <c r="BI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N74" s="99"/>
      <c r="CO74" s="99"/>
      <c r="CP74" s="99"/>
      <c r="CQ74" s="99"/>
      <c r="CR74" s="99"/>
      <c r="CS74" s="99"/>
      <c r="CT74" s="99"/>
      <c r="CU74" s="99"/>
      <c r="CV74" s="99"/>
      <c r="CW74" s="99"/>
      <c r="CX74" s="99"/>
    </row>
    <row r="75" spans="1:103" ht="12" customHeight="1" x14ac:dyDescent="0.2">
      <c r="A75" s="104">
        <v>13</v>
      </c>
      <c r="B75" s="104" t="s">
        <v>28</v>
      </c>
      <c r="C75" s="126">
        <v>0</v>
      </c>
      <c r="D75" s="126">
        <v>0</v>
      </c>
      <c r="E75" s="126">
        <v>0</v>
      </c>
      <c r="F75" s="126">
        <v>0</v>
      </c>
      <c r="G75" s="126">
        <v>0</v>
      </c>
      <c r="H75" s="126">
        <v>0</v>
      </c>
      <c r="I75" s="126">
        <v>0</v>
      </c>
      <c r="J75" s="126">
        <v>0</v>
      </c>
      <c r="K75" s="126">
        <v>0</v>
      </c>
      <c r="L75" s="126">
        <v>0</v>
      </c>
      <c r="M75" s="126">
        <v>0</v>
      </c>
      <c r="N75" s="126">
        <v>0</v>
      </c>
      <c r="O75" s="97"/>
      <c r="P75" s="97"/>
      <c r="Q75" s="104">
        <v>13</v>
      </c>
      <c r="R75" s="97" t="s">
        <v>28</v>
      </c>
      <c r="S75" s="139">
        <v>282.0413121393637</v>
      </c>
      <c r="T75" s="139">
        <v>361.65545790987858</v>
      </c>
      <c r="U75" s="139">
        <v>527.65220497504561</v>
      </c>
      <c r="V75" s="139">
        <v>626.62359744268156</v>
      </c>
      <c r="W75" s="139">
        <v>605.51714267336956</v>
      </c>
      <c r="X75" s="139">
        <v>725.984945202272</v>
      </c>
      <c r="Y75" s="139">
        <v>669.41222720478072</v>
      </c>
      <c r="Z75" s="139">
        <v>437.58472895216278</v>
      </c>
      <c r="AA75" s="139">
        <v>275.43933933109054</v>
      </c>
      <c r="AB75" s="139">
        <v>228.96685065686142</v>
      </c>
      <c r="AC75" s="139">
        <v>192.22048566330994</v>
      </c>
      <c r="AD75" s="139">
        <v>219.97086198256093</v>
      </c>
      <c r="AG75" s="141">
        <f t="shared" si="2"/>
        <v>24.349180646598736</v>
      </c>
      <c r="AH75" s="150">
        <v>0.2136597437118182</v>
      </c>
      <c r="AI75" s="105">
        <v>5.2024396965450501</v>
      </c>
      <c r="AJ75" s="99"/>
      <c r="AK75" s="99"/>
      <c r="AL75" s="99"/>
      <c r="AM75" s="99"/>
      <c r="AN75" s="99"/>
      <c r="AO75" s="99"/>
      <c r="AP75" s="99"/>
      <c r="AQ75" s="99"/>
      <c r="AR75" s="99"/>
      <c r="AS75" s="99"/>
      <c r="AT75" s="99"/>
      <c r="AX75" s="99"/>
      <c r="AY75" s="99"/>
      <c r="AZ75" s="99"/>
      <c r="BA75" s="99"/>
      <c r="BB75" s="99"/>
      <c r="BC75" s="99"/>
      <c r="BD75" s="99"/>
      <c r="BE75" s="99"/>
      <c r="BF75" s="99"/>
      <c r="BG75" s="99"/>
      <c r="BH75" s="99"/>
      <c r="BI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N75" s="99"/>
      <c r="CO75" s="99"/>
      <c r="CP75" s="99"/>
      <c r="CQ75" s="99"/>
      <c r="CR75" s="99"/>
      <c r="CS75" s="99"/>
      <c r="CT75" s="99"/>
      <c r="CU75" s="99"/>
      <c r="CV75" s="99"/>
      <c r="CW75" s="99"/>
      <c r="CX75" s="99"/>
    </row>
    <row r="76" spans="1:103" ht="12" customHeight="1" x14ac:dyDescent="0.2">
      <c r="C76" s="97"/>
      <c r="D76" s="97"/>
      <c r="E76" s="97"/>
      <c r="F76" s="97"/>
      <c r="G76" s="97"/>
      <c r="H76" s="97"/>
      <c r="I76" s="97"/>
      <c r="J76" s="97"/>
      <c r="K76" s="97"/>
      <c r="L76" s="97"/>
      <c r="M76" s="97"/>
      <c r="N76" s="97"/>
      <c r="O76" s="97"/>
      <c r="P76" s="97"/>
      <c r="AG76" s="155">
        <f>SUM(AG63:AG75)</f>
        <v>273.5146288184946</v>
      </c>
      <c r="AH76" s="155" t="s">
        <v>107</v>
      </c>
      <c r="AI76" s="155">
        <f>SUM(AI63:AI75)</f>
        <v>27.135772102368218</v>
      </c>
      <c r="AJ76" s="99"/>
      <c r="AK76" s="99"/>
      <c r="AL76" s="99"/>
      <c r="AM76" s="99"/>
      <c r="AN76" s="99"/>
      <c r="AO76" s="99"/>
      <c r="AP76" s="99"/>
      <c r="AQ76" s="99"/>
      <c r="AR76" s="99"/>
      <c r="AS76" s="99"/>
      <c r="AT76" s="99"/>
      <c r="AX76" s="99"/>
      <c r="AY76" s="99"/>
      <c r="AZ76" s="99"/>
      <c r="BA76" s="99"/>
      <c r="BB76" s="99"/>
      <c r="BC76" s="99"/>
      <c r="BD76" s="99"/>
      <c r="BE76" s="99"/>
      <c r="BF76" s="99"/>
      <c r="BG76" s="99"/>
      <c r="BH76" s="99"/>
      <c r="BI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N76" s="99"/>
      <c r="CO76" s="99"/>
      <c r="CP76" s="99"/>
      <c r="CQ76" s="99"/>
      <c r="CR76" s="99"/>
      <c r="CS76" s="99"/>
      <c r="CT76" s="99"/>
      <c r="CU76" s="99"/>
      <c r="CV76" s="99"/>
      <c r="CW76" s="99"/>
      <c r="CX76" s="99"/>
    </row>
    <row r="77" spans="1:103" ht="12" customHeight="1" x14ac:dyDescent="0.2">
      <c r="B77" s="118" t="s">
        <v>34</v>
      </c>
      <c r="C77" s="102" t="s">
        <v>1</v>
      </c>
      <c r="D77" s="102" t="s">
        <v>2</v>
      </c>
      <c r="E77" s="102" t="s">
        <v>3</v>
      </c>
      <c r="F77" s="102" t="s">
        <v>4</v>
      </c>
      <c r="G77" s="102" t="s">
        <v>5</v>
      </c>
      <c r="H77" s="102" t="s">
        <v>6</v>
      </c>
      <c r="I77" s="102" t="s">
        <v>7</v>
      </c>
      <c r="J77" s="102" t="s">
        <v>8</v>
      </c>
      <c r="K77" s="102" t="s">
        <v>9</v>
      </c>
      <c r="L77" s="102" t="s">
        <v>10</v>
      </c>
      <c r="M77" s="102" t="s">
        <v>11</v>
      </c>
      <c r="N77" s="102" t="s">
        <v>12</v>
      </c>
      <c r="O77" s="97"/>
      <c r="P77" s="97"/>
      <c r="R77" s="148" t="s">
        <v>144</v>
      </c>
      <c r="S77" s="102" t="s">
        <v>1</v>
      </c>
      <c r="T77" s="102" t="s">
        <v>2</v>
      </c>
      <c r="U77" s="102" t="s">
        <v>3</v>
      </c>
      <c r="V77" s="102" t="s">
        <v>4</v>
      </c>
      <c r="W77" s="102" t="s">
        <v>5</v>
      </c>
      <c r="X77" s="102" t="s">
        <v>6</v>
      </c>
      <c r="Y77" s="102" t="s">
        <v>7</v>
      </c>
      <c r="Z77" s="102" t="s">
        <v>8</v>
      </c>
      <c r="AA77" s="102" t="s">
        <v>9</v>
      </c>
      <c r="AB77" s="102" t="s">
        <v>10</v>
      </c>
      <c r="AC77" s="102" t="s">
        <v>11</v>
      </c>
      <c r="AD77" s="102" t="s">
        <v>12</v>
      </c>
      <c r="AG77" s="155">
        <f>AG76/COUNT(AG63:AG75)</f>
        <v>21.039586832191894</v>
      </c>
      <c r="AH77" s="155" t="s">
        <v>108</v>
      </c>
      <c r="AI77" s="155">
        <f>AI76/COUNT(AI63:AI75)</f>
        <v>2.0873670847975552</v>
      </c>
      <c r="AJ77" s="99"/>
      <c r="AK77" s="99"/>
      <c r="AL77" s="99"/>
      <c r="AM77" s="99"/>
      <c r="AN77" s="99"/>
      <c r="AO77" s="99"/>
      <c r="AP77" s="99"/>
      <c r="AQ77" s="99"/>
      <c r="AR77" s="99"/>
      <c r="AS77" s="99"/>
      <c r="AT77" s="99"/>
      <c r="AV77" s="156"/>
      <c r="AW77" s="99"/>
      <c r="AX77" s="99"/>
      <c r="AY77" s="99"/>
      <c r="AZ77" s="99"/>
      <c r="BA77" s="99"/>
      <c r="BB77" s="99"/>
      <c r="BC77" s="99"/>
      <c r="BD77" s="99"/>
      <c r="BE77" s="99"/>
      <c r="BF77" s="99"/>
      <c r="BG77" s="99"/>
      <c r="BH77" s="99"/>
      <c r="BI77" s="99"/>
      <c r="BJ77" s="156"/>
      <c r="BK77" s="99"/>
      <c r="BL77" s="99"/>
      <c r="BM77" s="99"/>
      <c r="BN77" s="99"/>
      <c r="BO77" s="99"/>
      <c r="BP77" s="99"/>
      <c r="BQ77" s="99"/>
      <c r="BR77" s="99"/>
      <c r="BS77" s="157" t="s">
        <v>29</v>
      </c>
      <c r="BT77" s="157"/>
      <c r="BU77" s="99"/>
      <c r="BV77" s="99" t="s">
        <v>153</v>
      </c>
      <c r="BX77" s="99" t="s">
        <v>152</v>
      </c>
      <c r="BY77" s="99"/>
      <c r="BZ77" s="158"/>
      <c r="CA77" s="158"/>
      <c r="CB77" s="158"/>
      <c r="CC77" s="158"/>
      <c r="CD77" s="158"/>
      <c r="CE77" s="158"/>
      <c r="CF77" s="158"/>
      <c r="CG77" s="158"/>
      <c r="CH77" s="158"/>
      <c r="CI77" s="158"/>
      <c r="CJ77" s="158"/>
      <c r="CK77" s="158"/>
      <c r="CM77" s="99"/>
      <c r="CN77" s="99"/>
      <c r="CO77" s="99"/>
      <c r="CP77" s="99"/>
      <c r="CQ77" s="99"/>
      <c r="CR77" s="99"/>
      <c r="CS77" s="99"/>
      <c r="CT77" s="99"/>
      <c r="CU77" s="99"/>
      <c r="CV77" s="99"/>
      <c r="CW77" s="99"/>
      <c r="CX77" s="99"/>
    </row>
    <row r="78" spans="1:103" ht="12" customHeight="1" x14ac:dyDescent="0.2">
      <c r="A78" s="104">
        <v>1</v>
      </c>
      <c r="B78" s="104" t="s">
        <v>21</v>
      </c>
      <c r="C78" s="126">
        <v>0</v>
      </c>
      <c r="D78" s="126">
        <v>0</v>
      </c>
      <c r="E78" s="126">
        <v>0</v>
      </c>
      <c r="F78" s="126">
        <v>0</v>
      </c>
      <c r="G78" s="126">
        <v>0</v>
      </c>
      <c r="H78" s="126">
        <v>0</v>
      </c>
      <c r="I78" s="126">
        <v>0</v>
      </c>
      <c r="J78" s="126">
        <v>0</v>
      </c>
      <c r="K78" s="126">
        <v>0</v>
      </c>
      <c r="L78" s="126">
        <v>0</v>
      </c>
      <c r="M78" s="126">
        <v>0</v>
      </c>
      <c r="N78" s="126">
        <v>0</v>
      </c>
      <c r="O78" s="97"/>
      <c r="P78" s="97"/>
      <c r="Q78" s="104">
        <v>1</v>
      </c>
      <c r="R78" s="97" t="s">
        <v>21</v>
      </c>
      <c r="S78" s="139">
        <f t="array" ref="S78:AD90">(S93:AD105-S108:AD120)</f>
        <v>43.852295408621302</v>
      </c>
      <c r="T78" s="139">
        <v>50.680179315279609</v>
      </c>
      <c r="U78" s="139">
        <v>57.328781737684551</v>
      </c>
      <c r="V78" s="139">
        <v>58.897114264309415</v>
      </c>
      <c r="W78" s="139">
        <v>55.692996633435243</v>
      </c>
      <c r="X78" s="139">
        <v>65.90761051895069</v>
      </c>
      <c r="Y78" s="139">
        <v>60.340719394558143</v>
      </c>
      <c r="Z78" s="139">
        <v>60.848900369883339</v>
      </c>
      <c r="AA78" s="139">
        <v>64.374627802013038</v>
      </c>
      <c r="AB78" s="139">
        <v>51.887808479838839</v>
      </c>
      <c r="AC78" s="139">
        <v>43.742853350018393</v>
      </c>
      <c r="AD78" s="139">
        <v>34.569292325235708</v>
      </c>
      <c r="AF78" s="99"/>
      <c r="AG78" s="99"/>
      <c r="AH78" s="99"/>
      <c r="AI78" s="99"/>
      <c r="AJ78" s="99"/>
      <c r="AK78" s="99"/>
      <c r="AL78" s="99"/>
      <c r="AM78" s="99"/>
      <c r="AN78" s="99"/>
      <c r="AO78" s="99"/>
      <c r="AP78" s="99"/>
      <c r="AQ78" s="99"/>
      <c r="AR78" s="99"/>
      <c r="AS78" s="99"/>
      <c r="AT78" s="99"/>
      <c r="AV78" s="104"/>
      <c r="AW78" s="99"/>
      <c r="AX78" s="99"/>
      <c r="AY78" s="99"/>
      <c r="AZ78" s="99"/>
      <c r="BA78" s="99"/>
      <c r="BB78" s="99"/>
      <c r="BC78" s="99"/>
      <c r="BD78" s="99"/>
      <c r="BE78" s="99"/>
      <c r="BF78" s="99"/>
      <c r="BG78" s="99"/>
      <c r="BH78" s="99"/>
      <c r="BI78" s="99"/>
      <c r="BJ78" s="104"/>
      <c r="BK78" s="99"/>
      <c r="BL78" s="99"/>
      <c r="BM78" s="99"/>
      <c r="BN78" s="99"/>
      <c r="BO78" s="99"/>
      <c r="BP78" s="99"/>
      <c r="BQ78" s="99"/>
      <c r="BR78" s="99"/>
      <c r="BS78" s="99" t="s">
        <v>72</v>
      </c>
      <c r="BT78" s="104">
        <v>0</v>
      </c>
      <c r="BU78" s="99"/>
      <c r="BV78" s="97">
        <f t="shared" ref="BV78:BV90" si="3">BT78-BT93</f>
        <v>0</v>
      </c>
      <c r="BX78" s="99">
        <v>48.694918378261441</v>
      </c>
      <c r="BY78" s="99" t="s">
        <v>72</v>
      </c>
      <c r="BZ78" s="159">
        <f t="shared" ref="BZ78:CK90" si="4">S63-$BV78</f>
        <v>43.852295408621302</v>
      </c>
      <c r="CA78" s="159">
        <f t="shared" si="4"/>
        <v>50.680179315279609</v>
      </c>
      <c r="CB78" s="159">
        <f t="shared" si="4"/>
        <v>57.328781737684551</v>
      </c>
      <c r="CC78" s="159">
        <f t="shared" si="4"/>
        <v>58.897114264309415</v>
      </c>
      <c r="CD78" s="159">
        <f t="shared" si="4"/>
        <v>55.692996633435243</v>
      </c>
      <c r="CE78" s="159">
        <f t="shared" si="4"/>
        <v>65.90761051895069</v>
      </c>
      <c r="CF78" s="159">
        <f t="shared" si="4"/>
        <v>60.340719394558143</v>
      </c>
      <c r="CG78" s="159">
        <f t="shared" si="4"/>
        <v>60.848900369883339</v>
      </c>
      <c r="CH78" s="159">
        <f t="shared" si="4"/>
        <v>64.374627802013038</v>
      </c>
      <c r="CI78" s="159">
        <f t="shared" si="4"/>
        <v>51.887808479838839</v>
      </c>
      <c r="CJ78" s="159">
        <f t="shared" si="4"/>
        <v>43.742853350018393</v>
      </c>
      <c r="CK78" s="159">
        <f t="shared" si="4"/>
        <v>34.569292325235708</v>
      </c>
      <c r="CM78" s="99"/>
      <c r="CN78" s="159">
        <v>48.694918378261441</v>
      </c>
      <c r="CO78" s="159">
        <v>58.249833828181394</v>
      </c>
      <c r="CP78" s="159">
        <v>67.838781737684556</v>
      </c>
      <c r="CQ78" s="159">
        <v>70.357114264309416</v>
      </c>
      <c r="CR78" s="159">
        <v>69.382996633435241</v>
      </c>
      <c r="CS78" s="159">
        <v>83.389926140901579</v>
      </c>
      <c r="CT78" s="159">
        <v>78.610552612358816</v>
      </c>
      <c r="CU78" s="159">
        <v>54.113914209092513</v>
      </c>
      <c r="CV78" s="159">
        <v>32.000135129873485</v>
      </c>
      <c r="CW78" s="159">
        <v>11.716828610665459</v>
      </c>
      <c r="CX78" s="159">
        <v>11.700899136968633</v>
      </c>
      <c r="CY78" s="159">
        <v>26.480241673026836</v>
      </c>
    </row>
    <row r="79" spans="1:103" ht="12" customHeight="1" x14ac:dyDescent="0.2">
      <c r="A79" s="104">
        <v>2</v>
      </c>
      <c r="B79" s="104" t="s">
        <v>22</v>
      </c>
      <c r="C79" s="126">
        <v>0</v>
      </c>
      <c r="D79" s="126">
        <v>0</v>
      </c>
      <c r="E79" s="126">
        <v>0</v>
      </c>
      <c r="F79" s="126">
        <v>0</v>
      </c>
      <c r="G79" s="126">
        <v>0</v>
      </c>
      <c r="H79" s="126">
        <v>0</v>
      </c>
      <c r="I79" s="126">
        <v>0</v>
      </c>
      <c r="J79" s="126">
        <v>0</v>
      </c>
      <c r="K79" s="126">
        <v>0</v>
      </c>
      <c r="L79" s="126">
        <v>0</v>
      </c>
      <c r="M79" s="126">
        <v>0</v>
      </c>
      <c r="N79" s="126">
        <v>0</v>
      </c>
      <c r="O79" s="97"/>
      <c r="P79" s="97"/>
      <c r="Q79" s="104">
        <v>2</v>
      </c>
      <c r="R79" s="97" t="s">
        <v>22</v>
      </c>
      <c r="S79" s="139">
        <v>17.136009648320186</v>
      </c>
      <c r="T79" s="139">
        <v>28.858125024853376</v>
      </c>
      <c r="U79" s="139">
        <v>20.152310500344335</v>
      </c>
      <c r="V79" s="139">
        <v>22.567857320529725</v>
      </c>
      <c r="W79" s="139">
        <v>14.965828831178264</v>
      </c>
      <c r="X79" s="139">
        <v>6.9181381991925939</v>
      </c>
      <c r="Y79" s="139">
        <v>20.98544197413981</v>
      </c>
      <c r="Z79" s="139">
        <v>26.550868073722388</v>
      </c>
      <c r="AA79" s="139">
        <v>9.5033576031155462</v>
      </c>
      <c r="AB79" s="139">
        <v>10.084551538676894</v>
      </c>
      <c r="AC79" s="139">
        <v>10.293348853912551</v>
      </c>
      <c r="AD79" s="139">
        <v>18.299672661540889</v>
      </c>
      <c r="AF79" s="99"/>
      <c r="AG79" s="99"/>
      <c r="AH79" s="99"/>
      <c r="AI79" s="99"/>
      <c r="AJ79" s="99"/>
      <c r="AK79" s="99"/>
      <c r="AL79" s="99"/>
      <c r="AM79" s="99"/>
      <c r="AN79" s="99"/>
      <c r="AO79" s="99"/>
      <c r="AP79" s="99"/>
      <c r="AQ79" s="99"/>
      <c r="AR79" s="99"/>
      <c r="AS79" s="99"/>
      <c r="AT79" s="99"/>
      <c r="AV79" s="104"/>
      <c r="AW79" s="99"/>
      <c r="AX79" s="99"/>
      <c r="AY79" s="99"/>
      <c r="AZ79" s="99"/>
      <c r="BA79" s="99"/>
      <c r="BB79" s="99"/>
      <c r="BC79" s="99"/>
      <c r="BD79" s="99"/>
      <c r="BE79" s="99"/>
      <c r="BF79" s="99"/>
      <c r="BG79" s="99"/>
      <c r="BH79" s="99"/>
      <c r="BI79" s="99"/>
      <c r="BJ79" s="104"/>
      <c r="BK79" s="99"/>
      <c r="BL79" s="99"/>
      <c r="BM79" s="99"/>
      <c r="BN79" s="99"/>
      <c r="BO79" s="99"/>
      <c r="BP79" s="99"/>
      <c r="BQ79" s="99"/>
      <c r="BR79" s="99"/>
      <c r="BS79" s="99" t="s">
        <v>73</v>
      </c>
      <c r="BT79" s="104">
        <v>0</v>
      </c>
      <c r="BU79" s="99"/>
      <c r="BV79" s="97">
        <f t="shared" si="3"/>
        <v>0</v>
      </c>
      <c r="BX79" s="99">
        <v>16.208668361318598</v>
      </c>
      <c r="BY79" s="99" t="s">
        <v>73</v>
      </c>
      <c r="BZ79" s="159">
        <f t="shared" si="4"/>
        <v>17.136009648320186</v>
      </c>
      <c r="CA79" s="159">
        <f t="shared" si="4"/>
        <v>28.858125024853376</v>
      </c>
      <c r="CB79" s="159">
        <f t="shared" si="4"/>
        <v>20.152310500344335</v>
      </c>
      <c r="CC79" s="159">
        <f t="shared" si="4"/>
        <v>22.567857320529725</v>
      </c>
      <c r="CD79" s="159">
        <f t="shared" si="4"/>
        <v>14.965828831178264</v>
      </c>
      <c r="CE79" s="159">
        <f t="shared" si="4"/>
        <v>6.9181381991925939</v>
      </c>
      <c r="CF79" s="159">
        <f t="shared" si="4"/>
        <v>20.98544197413981</v>
      </c>
      <c r="CG79" s="159">
        <f t="shared" si="4"/>
        <v>26.550868073722388</v>
      </c>
      <c r="CH79" s="159">
        <f t="shared" si="4"/>
        <v>9.5033576031155462</v>
      </c>
      <c r="CI79" s="159">
        <f t="shared" si="4"/>
        <v>10.084551538676894</v>
      </c>
      <c r="CJ79" s="159">
        <f t="shared" si="4"/>
        <v>10.293348853912551</v>
      </c>
      <c r="CK79" s="159">
        <f t="shared" si="4"/>
        <v>18.299672661540889</v>
      </c>
      <c r="CM79" s="99"/>
      <c r="CN79" s="159">
        <v>16.208668361318598</v>
      </c>
      <c r="CO79" s="159">
        <v>27.857309039108063</v>
      </c>
      <c r="CP79" s="159">
        <v>18.614088764360012</v>
      </c>
      <c r="CQ79" s="159">
        <v>20.671799569966083</v>
      </c>
      <c r="CR79" s="159">
        <v>12.534248740453449</v>
      </c>
      <c r="CS79" s="159">
        <v>3.6150072215695204</v>
      </c>
      <c r="CT79" s="159">
        <v>17.833957801609564</v>
      </c>
      <c r="CU79" s="159">
        <v>24.268247167048965</v>
      </c>
      <c r="CV79" s="159">
        <v>8.1493572591436596</v>
      </c>
      <c r="CW79" s="159">
        <v>9.3248627345430606</v>
      </c>
      <c r="CX79" s="159">
        <v>9.658064999714945</v>
      </c>
      <c r="CY79" s="159">
        <v>17.632211186073544</v>
      </c>
    </row>
    <row r="80" spans="1:103" ht="12" customHeight="1" x14ac:dyDescent="0.2">
      <c r="A80" s="104">
        <v>3</v>
      </c>
      <c r="B80" s="104" t="s">
        <v>17</v>
      </c>
      <c r="C80" s="126">
        <v>0</v>
      </c>
      <c r="D80" s="126">
        <v>0</v>
      </c>
      <c r="E80" s="126">
        <v>0</v>
      </c>
      <c r="F80" s="126">
        <v>0</v>
      </c>
      <c r="G80" s="126">
        <v>0</v>
      </c>
      <c r="H80" s="126">
        <v>0</v>
      </c>
      <c r="I80" s="126">
        <v>0</v>
      </c>
      <c r="J80" s="126">
        <v>0</v>
      </c>
      <c r="K80" s="126">
        <v>0</v>
      </c>
      <c r="L80" s="126">
        <v>0</v>
      </c>
      <c r="M80" s="126">
        <v>0</v>
      </c>
      <c r="N80" s="126">
        <v>0</v>
      </c>
      <c r="O80" s="97"/>
      <c r="P80" s="97"/>
      <c r="Q80" s="104">
        <v>3</v>
      </c>
      <c r="R80" s="97" t="s">
        <v>17</v>
      </c>
      <c r="S80" s="139">
        <v>36.580888291082758</v>
      </c>
      <c r="T80" s="139">
        <v>36.060121452816688</v>
      </c>
      <c r="U80" s="139">
        <v>37.953086094226073</v>
      </c>
      <c r="V80" s="139">
        <v>42.486243803698017</v>
      </c>
      <c r="W80" s="139">
        <v>45.396573959933079</v>
      </c>
      <c r="X80" s="139">
        <v>62.007027446515806</v>
      </c>
      <c r="Y80" s="139">
        <v>66.164824703082914</v>
      </c>
      <c r="Z80" s="139">
        <v>49.156391468708229</v>
      </c>
      <c r="AA80" s="139">
        <v>31.915952116706748</v>
      </c>
      <c r="AB80" s="139">
        <v>25.991556741528758</v>
      </c>
      <c r="AC80" s="139">
        <v>27.404011668282042</v>
      </c>
      <c r="AD80" s="139">
        <v>33.381098301453278</v>
      </c>
      <c r="AF80" s="99"/>
      <c r="AG80" s="99"/>
      <c r="AH80" s="99"/>
      <c r="AI80" s="99"/>
      <c r="AJ80" s="99"/>
      <c r="AK80" s="99"/>
      <c r="AL80" s="99"/>
      <c r="AM80" s="99"/>
      <c r="AN80" s="99"/>
      <c r="AO80" s="99"/>
      <c r="AP80" s="99"/>
      <c r="AQ80" s="99"/>
      <c r="AR80" s="99"/>
      <c r="AS80" s="99"/>
      <c r="AT80" s="99"/>
      <c r="AV80" s="104"/>
      <c r="AW80" s="99"/>
      <c r="AX80" s="99"/>
      <c r="AY80" s="99"/>
      <c r="AZ80" s="99"/>
      <c r="BA80" s="99"/>
      <c r="BB80" s="99"/>
      <c r="BC80" s="99"/>
      <c r="BD80" s="99"/>
      <c r="BE80" s="99"/>
      <c r="BF80" s="99"/>
      <c r="BG80" s="99"/>
      <c r="BH80" s="99"/>
      <c r="BI80" s="99"/>
      <c r="BJ80" s="104"/>
      <c r="BK80" s="99"/>
      <c r="BL80" s="99"/>
      <c r="BM80" s="99"/>
      <c r="BN80" s="99"/>
      <c r="BO80" s="99"/>
      <c r="BP80" s="99"/>
      <c r="BQ80" s="99"/>
      <c r="BR80" s="99"/>
      <c r="BS80" s="99" t="s">
        <v>74</v>
      </c>
      <c r="BT80" s="104">
        <v>0</v>
      </c>
      <c r="BU80" s="99"/>
      <c r="BV80" s="97">
        <f t="shared" si="3"/>
        <v>0</v>
      </c>
      <c r="BX80" s="99">
        <v>35.632183018646856</v>
      </c>
      <c r="BY80" s="99" t="s">
        <v>74</v>
      </c>
      <c r="BZ80" s="159">
        <f t="shared" si="4"/>
        <v>36.580888291082758</v>
      </c>
      <c r="CA80" s="159">
        <f t="shared" si="4"/>
        <v>36.060121452816688</v>
      </c>
      <c r="CB80" s="159">
        <f t="shared" si="4"/>
        <v>37.953086094226073</v>
      </c>
      <c r="CC80" s="159">
        <f t="shared" si="4"/>
        <v>42.486243803698017</v>
      </c>
      <c r="CD80" s="159">
        <f t="shared" si="4"/>
        <v>45.396573959933079</v>
      </c>
      <c r="CE80" s="159">
        <f t="shared" si="4"/>
        <v>62.007027446515806</v>
      </c>
      <c r="CF80" s="159">
        <f t="shared" si="4"/>
        <v>66.164824703082914</v>
      </c>
      <c r="CG80" s="159">
        <f t="shared" si="4"/>
        <v>49.156391468708229</v>
      </c>
      <c r="CH80" s="159">
        <f t="shared" si="4"/>
        <v>31.915952116706748</v>
      </c>
      <c r="CI80" s="159">
        <f t="shared" si="4"/>
        <v>25.991556741528758</v>
      </c>
      <c r="CJ80" s="159">
        <f t="shared" si="4"/>
        <v>27.404011668282042</v>
      </c>
      <c r="CK80" s="159">
        <f t="shared" si="4"/>
        <v>33.381098301453278</v>
      </c>
      <c r="CM80" s="99"/>
      <c r="CN80" s="159">
        <v>35.632183018646856</v>
      </c>
      <c r="CO80" s="159">
        <v>35.788408952816681</v>
      </c>
      <c r="CP80" s="159">
        <v>37.953086094226073</v>
      </c>
      <c r="CQ80" s="159">
        <v>42.486243803698017</v>
      </c>
      <c r="CR80" s="159">
        <v>45.396573959933079</v>
      </c>
      <c r="CS80" s="159">
        <v>62.007027446515806</v>
      </c>
      <c r="CT80" s="159">
        <v>65.806574703082916</v>
      </c>
      <c r="CU80" s="159">
        <v>48.396207868708231</v>
      </c>
      <c r="CV80" s="159">
        <v>31.025567611578545</v>
      </c>
      <c r="CW80" s="159">
        <v>24.620758226144151</v>
      </c>
      <c r="CX80" s="159">
        <v>25.63202768879486</v>
      </c>
      <c r="CY80" s="159">
        <v>32.061400029658401</v>
      </c>
    </row>
    <row r="81" spans="1:103" ht="12" customHeight="1" x14ac:dyDescent="0.2">
      <c r="A81" s="108">
        <v>4</v>
      </c>
      <c r="B81" s="108" t="s">
        <v>0</v>
      </c>
      <c r="C81" s="130">
        <v>0</v>
      </c>
      <c r="D81" s="130">
        <v>0</v>
      </c>
      <c r="E81" s="130">
        <v>0</v>
      </c>
      <c r="F81" s="138">
        <v>1.2764631165003395</v>
      </c>
      <c r="G81" s="138">
        <v>2.0307660236736842</v>
      </c>
      <c r="H81" s="138">
        <v>3.9161570792755995</v>
      </c>
      <c r="I81" s="138">
        <v>3.78600933107121</v>
      </c>
      <c r="J81" s="138">
        <v>2.5249364950518904</v>
      </c>
      <c r="K81" s="130">
        <v>0</v>
      </c>
      <c r="L81" s="130">
        <v>0</v>
      </c>
      <c r="M81" s="130">
        <v>0</v>
      </c>
      <c r="N81" s="130">
        <v>0</v>
      </c>
      <c r="O81" s="97"/>
      <c r="P81" s="97"/>
      <c r="Q81" s="108">
        <v>4</v>
      </c>
      <c r="R81" s="109" t="s">
        <v>0</v>
      </c>
      <c r="S81" s="140">
        <v>16.955671780619056</v>
      </c>
      <c r="T81" s="140">
        <v>-0.29013948057158245</v>
      </c>
      <c r="U81" s="140">
        <v>1.3653991708463877</v>
      </c>
      <c r="V81" s="140">
        <v>1.765814160865375</v>
      </c>
      <c r="W81" s="140">
        <v>1.3063532814289545</v>
      </c>
      <c r="X81" s="140">
        <v>1.8755605050086785</v>
      </c>
      <c r="Y81" s="140">
        <v>7.3067413650644539</v>
      </c>
      <c r="Z81" s="140">
        <v>-4.0964669718558753</v>
      </c>
      <c r="AA81" s="140">
        <v>11.442695926720177</v>
      </c>
      <c r="AB81" s="140">
        <v>16.728686773194809</v>
      </c>
      <c r="AC81" s="140">
        <v>17.161492678101965</v>
      </c>
      <c r="AD81" s="140">
        <v>15.876980218232305</v>
      </c>
      <c r="AV81" s="108"/>
      <c r="AW81" s="99"/>
      <c r="AX81" s="99"/>
      <c r="AY81" s="99"/>
      <c r="AZ81" s="99"/>
      <c r="BA81" s="99"/>
      <c r="BB81" s="99"/>
      <c r="BC81" s="99"/>
      <c r="BD81" s="99"/>
      <c r="BE81" s="99"/>
      <c r="BF81" s="99"/>
      <c r="BG81" s="99"/>
      <c r="BH81" s="99"/>
      <c r="BI81" s="99"/>
      <c r="BJ81" s="108"/>
      <c r="BK81" s="99"/>
      <c r="BL81" s="99"/>
      <c r="BM81" s="99"/>
      <c r="BN81" s="99"/>
      <c r="BO81" s="99"/>
      <c r="BP81" s="99"/>
      <c r="BQ81" s="99"/>
      <c r="BR81" s="99"/>
      <c r="BS81" s="160" t="s">
        <v>75</v>
      </c>
      <c r="BT81" s="161">
        <v>1102.92</v>
      </c>
      <c r="BU81" s="162"/>
      <c r="BV81" s="163">
        <f t="shared" si="3"/>
        <v>96.166309768269798</v>
      </c>
      <c r="BX81" s="162">
        <v>117.49144153884595</v>
      </c>
      <c r="BY81" s="143" t="s">
        <v>75</v>
      </c>
      <c r="BZ81" s="164">
        <f t="shared" si="4"/>
        <v>18.358555360373501</v>
      </c>
      <c r="CA81" s="165">
        <f t="shared" si="4"/>
        <v>19.141976544108289</v>
      </c>
      <c r="CB81" s="165">
        <f t="shared" si="4"/>
        <v>20.633267734831549</v>
      </c>
      <c r="CC81" s="165">
        <f t="shared" si="4"/>
        <v>29.550719781132727</v>
      </c>
      <c r="CD81" s="165">
        <f t="shared" si="4"/>
        <v>21.195442937705735</v>
      </c>
      <c r="CE81" s="165">
        <f t="shared" si="4"/>
        <v>40.542026901397975</v>
      </c>
      <c r="CF81" s="165">
        <f t="shared" si="4"/>
        <v>58.631417668575523</v>
      </c>
      <c r="CG81" s="165">
        <f t="shared" si="4"/>
        <v>36.293383172188271</v>
      </c>
      <c r="CH81" s="165">
        <f t="shared" si="4"/>
        <v>21.070323680285711</v>
      </c>
      <c r="CI81" s="165">
        <f t="shared" si="4"/>
        <v>8.5262937649694948</v>
      </c>
      <c r="CJ81" s="165">
        <f t="shared" si="4"/>
        <v>2.4353967820451459</v>
      </c>
      <c r="CK81" s="165">
        <f t="shared" si="4"/>
        <v>5.9607337381923884</v>
      </c>
      <c r="CM81" s="99"/>
      <c r="CN81" s="164">
        <v>78.776092945140917</v>
      </c>
      <c r="CO81" s="165">
        <v>76.402874463456612</v>
      </c>
      <c r="CP81" s="165">
        <v>79.048262560068579</v>
      </c>
      <c r="CQ81" s="165">
        <v>78.980144026965576</v>
      </c>
      <c r="CR81" s="165">
        <v>71.184222845930378</v>
      </c>
      <c r="CS81" s="165">
        <v>82.034887598767526</v>
      </c>
      <c r="CT81" s="165">
        <v>75.970699632733542</v>
      </c>
      <c r="CU81" s="165">
        <v>78.401259728709206</v>
      </c>
      <c r="CV81" s="165">
        <v>75.830120105482891</v>
      </c>
      <c r="CW81" s="165">
        <v>78.341232391867564</v>
      </c>
      <c r="CX81" s="165">
        <v>78.364421319999977</v>
      </c>
      <c r="CY81" s="165">
        <v>76.1911910016305</v>
      </c>
    </row>
    <row r="82" spans="1:103" ht="12" customHeight="1" x14ac:dyDescent="0.2">
      <c r="A82" s="108">
        <v>5</v>
      </c>
      <c r="B82" s="108" t="s">
        <v>16</v>
      </c>
      <c r="C82" s="130">
        <v>0</v>
      </c>
      <c r="D82" s="130">
        <v>0</v>
      </c>
      <c r="E82" s="130">
        <v>0</v>
      </c>
      <c r="F82" s="138">
        <v>0</v>
      </c>
      <c r="G82" s="138">
        <v>0</v>
      </c>
      <c r="H82" s="138">
        <v>0.65209146625438585</v>
      </c>
      <c r="I82" s="138">
        <v>0</v>
      </c>
      <c r="J82" s="138">
        <v>0</v>
      </c>
      <c r="K82" s="130">
        <v>0</v>
      </c>
      <c r="L82" s="130">
        <v>0</v>
      </c>
      <c r="M82" s="130">
        <v>0</v>
      </c>
      <c r="N82" s="130">
        <v>0</v>
      </c>
      <c r="O82" s="97"/>
      <c r="P82" s="97"/>
      <c r="Q82" s="108">
        <v>5</v>
      </c>
      <c r="R82" s="109" t="s">
        <v>16</v>
      </c>
      <c r="S82" s="140">
        <v>0</v>
      </c>
      <c r="T82" s="140">
        <v>0</v>
      </c>
      <c r="U82" s="140">
        <v>0</v>
      </c>
      <c r="V82" s="140">
        <v>0</v>
      </c>
      <c r="W82" s="140">
        <v>0</v>
      </c>
      <c r="X82" s="140">
        <v>0</v>
      </c>
      <c r="Y82" s="140">
        <v>0</v>
      </c>
      <c r="Z82" s="140">
        <v>0</v>
      </c>
      <c r="AA82" s="140">
        <v>0</v>
      </c>
      <c r="AB82" s="140">
        <v>0</v>
      </c>
      <c r="AC82" s="140">
        <v>0</v>
      </c>
      <c r="AD82" s="140">
        <v>0</v>
      </c>
      <c r="AV82" s="108"/>
      <c r="AW82" s="99"/>
      <c r="AX82" s="99"/>
      <c r="AY82" s="99"/>
      <c r="AZ82" s="99"/>
      <c r="BA82" s="99"/>
      <c r="BB82" s="99"/>
      <c r="BC82" s="99"/>
      <c r="BD82" s="99"/>
      <c r="BE82" s="99"/>
      <c r="BF82" s="99"/>
      <c r="BG82" s="99"/>
      <c r="BH82" s="99"/>
      <c r="BI82" s="99"/>
      <c r="BJ82" s="108"/>
      <c r="BK82" s="99"/>
      <c r="BL82" s="99"/>
      <c r="BM82" s="99"/>
      <c r="BN82" s="99"/>
      <c r="BO82" s="99"/>
      <c r="BP82" s="99"/>
      <c r="BQ82" s="99"/>
      <c r="BR82" s="99"/>
      <c r="BS82" s="160" t="s">
        <v>76</v>
      </c>
      <c r="BT82" s="161">
        <v>45.2</v>
      </c>
      <c r="BU82" s="162"/>
      <c r="BV82" s="163">
        <f t="shared" si="3"/>
        <v>0.90931535590188162</v>
      </c>
      <c r="BX82" s="162">
        <v>117.49144153884595</v>
      </c>
      <c r="BY82" s="143" t="s">
        <v>76</v>
      </c>
      <c r="BZ82" s="164">
        <f t="shared" si="4"/>
        <v>113.61554977274142</v>
      </c>
      <c r="CA82" s="165">
        <f t="shared" si="4"/>
        <v>114.39897095647621</v>
      </c>
      <c r="CB82" s="165">
        <f t="shared" si="4"/>
        <v>115.89026214719946</v>
      </c>
      <c r="CC82" s="165">
        <f t="shared" si="4"/>
        <v>124.80771419350064</v>
      </c>
      <c r="CD82" s="165">
        <f t="shared" si="4"/>
        <v>116.45243735007365</v>
      </c>
      <c r="CE82" s="165">
        <f t="shared" si="4"/>
        <v>135.79902131376588</v>
      </c>
      <c r="CF82" s="165">
        <f t="shared" si="4"/>
        <v>153.88841208094345</v>
      </c>
      <c r="CG82" s="165">
        <f t="shared" si="4"/>
        <v>131.5503775845562</v>
      </c>
      <c r="CH82" s="165">
        <f t="shared" si="4"/>
        <v>116.32731809265363</v>
      </c>
      <c r="CI82" s="165">
        <f t="shared" si="4"/>
        <v>103.78328817733741</v>
      </c>
      <c r="CJ82" s="165">
        <f t="shared" si="4"/>
        <v>97.692391194413062</v>
      </c>
      <c r="CK82" s="165">
        <f t="shared" si="4"/>
        <v>101.2177281505603</v>
      </c>
      <c r="CM82" s="99"/>
      <c r="CN82" s="164">
        <f>CN81-$BV$82</f>
        <v>77.866777589239035</v>
      </c>
      <c r="CO82" s="164">
        <f t="shared" ref="CO82:CY82" si="5">CO81-$BV$82</f>
        <v>75.493559107554731</v>
      </c>
      <c r="CP82" s="164">
        <f t="shared" si="5"/>
        <v>78.138947204166698</v>
      </c>
      <c r="CQ82" s="164">
        <f t="shared" si="5"/>
        <v>78.070828671063694</v>
      </c>
      <c r="CR82" s="164">
        <f t="shared" si="5"/>
        <v>70.274907490028497</v>
      </c>
      <c r="CS82" s="164">
        <f t="shared" si="5"/>
        <v>81.125572242865644</v>
      </c>
      <c r="CT82" s="164">
        <f t="shared" si="5"/>
        <v>75.06138427683166</v>
      </c>
      <c r="CU82" s="164">
        <f t="shared" si="5"/>
        <v>77.491944372807325</v>
      </c>
      <c r="CV82" s="164">
        <f t="shared" si="5"/>
        <v>74.920804749581009</v>
      </c>
      <c r="CW82" s="164">
        <f t="shared" si="5"/>
        <v>77.431917035965682</v>
      </c>
      <c r="CX82" s="164">
        <f t="shared" si="5"/>
        <v>77.455105964098095</v>
      </c>
      <c r="CY82" s="164">
        <f t="shared" si="5"/>
        <v>75.281875645728618</v>
      </c>
    </row>
    <row r="83" spans="1:103" ht="12" customHeight="1" x14ac:dyDescent="0.2">
      <c r="A83" s="104">
        <v>6</v>
      </c>
      <c r="B83" s="104" t="s">
        <v>18</v>
      </c>
      <c r="C83" s="126">
        <v>0</v>
      </c>
      <c r="D83" s="126">
        <v>0</v>
      </c>
      <c r="E83" s="126">
        <v>0</v>
      </c>
      <c r="F83" s="126">
        <v>0</v>
      </c>
      <c r="G83" s="126">
        <v>0</v>
      </c>
      <c r="H83" s="126">
        <v>0</v>
      </c>
      <c r="I83" s="126">
        <v>0</v>
      </c>
      <c r="J83" s="126">
        <v>0</v>
      </c>
      <c r="K83" s="126">
        <v>0</v>
      </c>
      <c r="L83" s="126">
        <v>0</v>
      </c>
      <c r="M83" s="126">
        <v>0</v>
      </c>
      <c r="N83" s="126">
        <v>0</v>
      </c>
      <c r="O83" s="97"/>
      <c r="P83" s="97"/>
      <c r="Q83" s="104">
        <v>6</v>
      </c>
      <c r="R83" s="97" t="s">
        <v>18</v>
      </c>
      <c r="S83" s="139">
        <v>6.1980958007442517</v>
      </c>
      <c r="T83" s="139">
        <v>7.4839599362425311</v>
      </c>
      <c r="U83" s="139">
        <v>33.722406900089467</v>
      </c>
      <c r="V83" s="139">
        <v>35.839616883724993</v>
      </c>
      <c r="W83" s="139">
        <v>48.91587901512365</v>
      </c>
      <c r="X83" s="139">
        <v>81.674099958670027</v>
      </c>
      <c r="Y83" s="139">
        <v>85.165741255487475</v>
      </c>
      <c r="Z83" s="139">
        <v>34.645117678375776</v>
      </c>
      <c r="AA83" s="139">
        <v>10.666191024964736</v>
      </c>
      <c r="AB83" s="139">
        <v>5.166438558416889</v>
      </c>
      <c r="AC83" s="139">
        <v>4.1540195104425663</v>
      </c>
      <c r="AD83" s="139">
        <v>4.3775817466593487</v>
      </c>
      <c r="AV83" s="104"/>
      <c r="AW83" s="99"/>
      <c r="AX83" s="99"/>
      <c r="AY83" s="99"/>
      <c r="AZ83" s="99"/>
      <c r="BA83" s="99"/>
      <c r="BB83" s="99"/>
      <c r="BC83" s="99"/>
      <c r="BD83" s="99"/>
      <c r="BE83" s="99"/>
      <c r="BF83" s="99"/>
      <c r="BG83" s="99"/>
      <c r="BH83" s="99"/>
      <c r="BI83" s="99"/>
      <c r="BJ83" s="104"/>
      <c r="BK83" s="99"/>
      <c r="BL83" s="99"/>
      <c r="BM83" s="99"/>
      <c r="BN83" s="99"/>
      <c r="BO83" s="99"/>
      <c r="BP83" s="99"/>
      <c r="BQ83" s="99"/>
      <c r="BR83" s="99"/>
      <c r="BS83" s="99" t="s">
        <v>77</v>
      </c>
      <c r="BT83" s="104">
        <v>0</v>
      </c>
      <c r="BU83" s="99"/>
      <c r="BV83" s="97">
        <f t="shared" si="3"/>
        <v>0</v>
      </c>
      <c r="BX83" s="99">
        <v>5.3228621654855637</v>
      </c>
      <c r="BY83" s="99" t="s">
        <v>77</v>
      </c>
      <c r="BZ83" s="159">
        <f t="shared" si="4"/>
        <v>6.1980958007442517</v>
      </c>
      <c r="CA83" s="159">
        <f t="shared" si="4"/>
        <v>7.4839599362425311</v>
      </c>
      <c r="CB83" s="159">
        <f t="shared" si="4"/>
        <v>33.722406900089467</v>
      </c>
      <c r="CC83" s="159">
        <f t="shared" si="4"/>
        <v>35.839616883724993</v>
      </c>
      <c r="CD83" s="159">
        <f t="shared" si="4"/>
        <v>48.91587901512365</v>
      </c>
      <c r="CE83" s="159">
        <f t="shared" si="4"/>
        <v>81.674099958670027</v>
      </c>
      <c r="CF83" s="159">
        <f t="shared" si="4"/>
        <v>85.165741255487475</v>
      </c>
      <c r="CG83" s="159">
        <f t="shared" si="4"/>
        <v>34.645117678375776</v>
      </c>
      <c r="CH83" s="159">
        <f t="shared" si="4"/>
        <v>10.666191024964736</v>
      </c>
      <c r="CI83" s="159">
        <f t="shared" si="4"/>
        <v>5.166438558416889</v>
      </c>
      <c r="CJ83" s="159">
        <f t="shared" si="4"/>
        <v>4.1540195104425663</v>
      </c>
      <c r="CK83" s="159">
        <f t="shared" si="4"/>
        <v>4.3775817466593487</v>
      </c>
      <c r="CM83" s="99"/>
      <c r="CN83" s="159">
        <v>5.3228621654855637</v>
      </c>
      <c r="CO83" s="159">
        <v>6.754678449724576</v>
      </c>
      <c r="CP83" s="159">
        <v>32.124610108015048</v>
      </c>
      <c r="CQ83" s="159">
        <v>34.36116841024122</v>
      </c>
      <c r="CR83" s="159">
        <v>46.87162445368115</v>
      </c>
      <c r="CS83" s="159">
        <v>76.551673514648783</v>
      </c>
      <c r="CT83" s="159">
        <v>78.341833906458078</v>
      </c>
      <c r="CU83" s="159">
        <v>32.20759027368792</v>
      </c>
      <c r="CV83" s="159">
        <v>9.6475450572553285</v>
      </c>
      <c r="CW83" s="159">
        <v>4.2583865873032849</v>
      </c>
      <c r="CX83" s="159">
        <v>3.2776862699741649</v>
      </c>
      <c r="CY83" s="159">
        <v>3.7413116053805311</v>
      </c>
    </row>
    <row r="84" spans="1:103" ht="12" customHeight="1" x14ac:dyDescent="0.2">
      <c r="A84" s="108">
        <v>7</v>
      </c>
      <c r="B84" s="108" t="s">
        <v>19</v>
      </c>
      <c r="C84" s="130">
        <v>0</v>
      </c>
      <c r="D84" s="130">
        <v>0</v>
      </c>
      <c r="E84" s="138">
        <v>4.0007030795662235</v>
      </c>
      <c r="F84" s="138">
        <v>4.3245877838674591</v>
      </c>
      <c r="G84" s="138">
        <v>4.1084166530724522</v>
      </c>
      <c r="H84" s="138">
        <v>16.019799393051162</v>
      </c>
      <c r="I84" s="138">
        <v>19.403649096294256</v>
      </c>
      <c r="J84" s="138">
        <v>5.3049009352580994</v>
      </c>
      <c r="K84" s="130">
        <v>0</v>
      </c>
      <c r="L84" s="130">
        <v>0</v>
      </c>
      <c r="M84" s="130">
        <v>0</v>
      </c>
      <c r="N84" s="130">
        <v>0</v>
      </c>
      <c r="O84" s="97"/>
      <c r="P84" s="97"/>
      <c r="Q84" s="108">
        <v>7</v>
      </c>
      <c r="R84" s="109" t="s">
        <v>19</v>
      </c>
      <c r="S84" s="140">
        <v>3.5129447724268079</v>
      </c>
      <c r="T84" s="140">
        <v>24.768806159771053</v>
      </c>
      <c r="U84" s="140">
        <v>44.123647724118321</v>
      </c>
      <c r="V84" s="140">
        <v>44.698395302917937</v>
      </c>
      <c r="W84" s="140">
        <v>57.082948191209262</v>
      </c>
      <c r="X84" s="140">
        <v>111.4441658509745</v>
      </c>
      <c r="Y84" s="140">
        <v>139.01104774866707</v>
      </c>
      <c r="Z84" s="140">
        <v>74.747831494874319</v>
      </c>
      <c r="AA84" s="140">
        <v>-1.1168453119824733</v>
      </c>
      <c r="AB84" s="140">
        <v>-30.92741030266999</v>
      </c>
      <c r="AC84" s="140">
        <v>-32.516036541116932</v>
      </c>
      <c r="AD84" s="140">
        <v>-6.8424364494292593</v>
      </c>
      <c r="AV84" s="108"/>
      <c r="AW84" s="99"/>
      <c r="AX84" s="99"/>
      <c r="AY84" s="99"/>
      <c r="AZ84" s="99"/>
      <c r="BA84" s="99"/>
      <c r="BB84" s="99"/>
      <c r="BC84" s="99"/>
      <c r="BD84" s="99"/>
      <c r="BE84" s="99"/>
      <c r="BF84" s="99"/>
      <c r="BG84" s="99"/>
      <c r="BH84" s="99"/>
      <c r="BI84" s="99"/>
      <c r="BJ84" s="108"/>
      <c r="BK84" s="99"/>
      <c r="BL84" s="99"/>
      <c r="BM84" s="99"/>
      <c r="BN84" s="99"/>
      <c r="BO84" s="99"/>
      <c r="BP84" s="99"/>
      <c r="BQ84" s="99"/>
      <c r="BR84" s="99"/>
      <c r="BS84" s="160" t="s">
        <v>78</v>
      </c>
      <c r="BT84" s="161">
        <v>1411.0845767999999</v>
      </c>
      <c r="BU84" s="162"/>
      <c r="BV84" s="163">
        <f t="shared" si="3"/>
        <v>216.64255325060935</v>
      </c>
      <c r="BX84" s="162">
        <v>126.32724847675831</v>
      </c>
      <c r="BY84" s="143" t="s">
        <v>78</v>
      </c>
      <c r="BZ84" s="164">
        <f t="shared" si="4"/>
        <v>-92.406647548794993</v>
      </c>
      <c r="CA84" s="165">
        <f t="shared" si="4"/>
        <v>-69.081500842217679</v>
      </c>
      <c r="CB84" s="165">
        <f t="shared" si="4"/>
        <v>-21.99692112330024</v>
      </c>
      <c r="CC84" s="165">
        <f t="shared" si="4"/>
        <v>-10.387511514563897</v>
      </c>
      <c r="CD84" s="165">
        <f t="shared" si="4"/>
        <v>6.7180266616990707</v>
      </c>
      <c r="CE84" s="165">
        <f t="shared" si="4"/>
        <v>113.18404922870297</v>
      </c>
      <c r="CF84" s="165">
        <f t="shared" si="4"/>
        <v>162.33196319039052</v>
      </c>
      <c r="CG84" s="165">
        <f t="shared" si="4"/>
        <v>25.210088863098804</v>
      </c>
      <c r="CH84" s="165">
        <f t="shared" si="4"/>
        <v>-89.856574089071586</v>
      </c>
      <c r="CI84" s="165">
        <f t="shared" si="4"/>
        <v>-137.71092146162317</v>
      </c>
      <c r="CJ84" s="165">
        <f t="shared" si="4"/>
        <v>-146.40286373096876</v>
      </c>
      <c r="CK84" s="165">
        <f t="shared" si="4"/>
        <v>-116.98036444691708</v>
      </c>
      <c r="CM84" s="99"/>
      <c r="CN84" s="164">
        <f>CN82</f>
        <v>77.866777589239035</v>
      </c>
      <c r="CO84" s="165">
        <v>-63.513656301579175</v>
      </c>
      <c r="CP84" s="165">
        <v>-14.622939651358962</v>
      </c>
      <c r="CQ84" s="165">
        <v>-2.3020177386113119</v>
      </c>
      <c r="CR84" s="165">
        <v>15.932192009531775</v>
      </c>
      <c r="CS84" s="165">
        <v>122.24080742900952</v>
      </c>
      <c r="CT84" s="165">
        <v>170.26815488663152</v>
      </c>
      <c r="CU84" s="165">
        <v>12.994770790946745</v>
      </c>
      <c r="CV84" s="165">
        <v>-125.49409757802063</v>
      </c>
      <c r="CW84" s="165">
        <v>-180.92044062142858</v>
      </c>
      <c r="CX84" s="165">
        <v>-181.72841901817171</v>
      </c>
      <c r="CY84" s="165">
        <v>-127.692844987667</v>
      </c>
    </row>
    <row r="85" spans="1:103" ht="12" customHeight="1" x14ac:dyDescent="0.2">
      <c r="A85" s="108">
        <v>8</v>
      </c>
      <c r="B85" s="108" t="s">
        <v>23</v>
      </c>
      <c r="C85" s="130">
        <v>0</v>
      </c>
      <c r="D85" s="130">
        <v>0</v>
      </c>
      <c r="E85" s="138">
        <v>13.069994944731075</v>
      </c>
      <c r="F85" s="138">
        <v>19.547975866912587</v>
      </c>
      <c r="G85" s="138">
        <v>39.661345446421088</v>
      </c>
      <c r="H85" s="138">
        <v>71.238504999065029</v>
      </c>
      <c r="I85" s="138">
        <v>139.95253048836298</v>
      </c>
      <c r="J85" s="138">
        <v>34.975601895520242</v>
      </c>
      <c r="K85" s="130">
        <v>0</v>
      </c>
      <c r="L85" s="130">
        <v>0</v>
      </c>
      <c r="M85" s="130">
        <v>0</v>
      </c>
      <c r="N85" s="130">
        <v>0</v>
      </c>
      <c r="O85" s="97"/>
      <c r="P85" s="97"/>
      <c r="Q85" s="108">
        <v>8</v>
      </c>
      <c r="R85" s="109" t="s">
        <v>23</v>
      </c>
      <c r="S85" s="140">
        <v>3.0167239483131465</v>
      </c>
      <c r="T85" s="140">
        <v>4.0415555590069534</v>
      </c>
      <c r="U85" s="140">
        <v>7.7966282778507559</v>
      </c>
      <c r="V85" s="140">
        <v>11.0790323965028</v>
      </c>
      <c r="W85" s="140">
        <v>14.609008621695898</v>
      </c>
      <c r="X85" s="140">
        <v>24.937420032349163</v>
      </c>
      <c r="Y85" s="140">
        <v>25.215320997743124</v>
      </c>
      <c r="Z85" s="140">
        <v>15.795383988307258</v>
      </c>
      <c r="AA85" s="140">
        <v>7.9285915636006319</v>
      </c>
      <c r="AB85" s="140">
        <v>3.7621761280073756</v>
      </c>
      <c r="AC85" s="140">
        <v>2.6051470389754865</v>
      </c>
      <c r="AD85" s="140">
        <v>1.721664324921524</v>
      </c>
      <c r="AV85" s="108"/>
      <c r="AW85" s="99"/>
      <c r="AX85" s="99"/>
      <c r="AY85" s="99"/>
      <c r="AZ85" s="99"/>
      <c r="BA85" s="99"/>
      <c r="BB85" s="99"/>
      <c r="BC85" s="99"/>
      <c r="BD85" s="99"/>
      <c r="BE85" s="99"/>
      <c r="BF85" s="99"/>
      <c r="BG85" s="99"/>
      <c r="BH85" s="99"/>
      <c r="BI85" s="99"/>
      <c r="BJ85" s="108"/>
      <c r="BK85" s="99"/>
      <c r="BL85" s="99"/>
      <c r="BM85" s="99"/>
      <c r="BN85" s="99"/>
      <c r="BO85" s="99"/>
      <c r="BP85" s="99"/>
      <c r="BQ85" s="99"/>
      <c r="BR85" s="99"/>
      <c r="BS85" s="160" t="s">
        <v>79</v>
      </c>
      <c r="BT85" s="161">
        <v>953.65449999999998</v>
      </c>
      <c r="BU85" s="162"/>
      <c r="BV85" s="163">
        <f t="shared" si="3"/>
        <v>32.463857333445276</v>
      </c>
      <c r="BX85" s="162">
        <v>129.34397242507146</v>
      </c>
      <c r="BY85" s="143" t="s">
        <v>79</v>
      </c>
      <c r="BZ85" s="164">
        <f t="shared" si="4"/>
        <v>94.788772316682227</v>
      </c>
      <c r="CA85" s="165">
        <f t="shared" si="4"/>
        <v>119.13875063395335</v>
      </c>
      <c r="CB85" s="165">
        <f t="shared" si="4"/>
        <v>169.97840307171458</v>
      </c>
      <c r="CC85" s="165">
        <f t="shared" si="4"/>
        <v>184.87021679910299</v>
      </c>
      <c r="CD85" s="165">
        <f t="shared" si="4"/>
        <v>205.50573120055904</v>
      </c>
      <c r="CE85" s="165">
        <f t="shared" si="4"/>
        <v>322.30016517821622</v>
      </c>
      <c r="CF85" s="165">
        <f t="shared" si="4"/>
        <v>371.72598010529771</v>
      </c>
      <c r="CG85" s="165">
        <f t="shared" si="4"/>
        <v>225.18416876857015</v>
      </c>
      <c r="CH85" s="165">
        <f t="shared" si="4"/>
        <v>102.25071339169313</v>
      </c>
      <c r="CI85" s="165">
        <f t="shared" si="4"/>
        <v>50.229950583548288</v>
      </c>
      <c r="CJ85" s="165">
        <f t="shared" si="4"/>
        <v>40.38097922517079</v>
      </c>
      <c r="CK85" s="165">
        <f t="shared" si="4"/>
        <v>68.919995795168518</v>
      </c>
      <c r="CM85" s="99"/>
      <c r="CN85" s="164">
        <v>96.88011509162618</v>
      </c>
      <c r="CO85" s="165">
        <v>124.70659517459185</v>
      </c>
      <c r="CP85" s="165">
        <v>177.35238454365586</v>
      </c>
      <c r="CQ85" s="165">
        <v>192.95571057505558</v>
      </c>
      <c r="CR85" s="165">
        <v>214.71989654839174</v>
      </c>
      <c r="CS85" s="165">
        <v>331.35692337852277</v>
      </c>
      <c r="CT85" s="165">
        <v>379.6621718015387</v>
      </c>
      <c r="CU85" s="165">
        <v>212.96885069641809</v>
      </c>
      <c r="CV85" s="165">
        <v>66.613189902744082</v>
      </c>
      <c r="CW85" s="165">
        <v>7.0204314237428633</v>
      </c>
      <c r="CX85" s="165">
        <v>5.0554239379678592</v>
      </c>
      <c r="CY85" s="165">
        <v>58.207515254418595</v>
      </c>
    </row>
    <row r="86" spans="1:103" ht="12" customHeight="1" x14ac:dyDescent="0.2">
      <c r="A86" s="108">
        <v>9</v>
      </c>
      <c r="B86" s="108" t="s">
        <v>24</v>
      </c>
      <c r="C86" s="130">
        <v>0</v>
      </c>
      <c r="D86" s="130">
        <v>0</v>
      </c>
      <c r="E86" s="138">
        <v>13.069994944731073</v>
      </c>
      <c r="F86" s="138">
        <v>19.547975866912584</v>
      </c>
      <c r="G86" s="138">
        <v>39.661345446421095</v>
      </c>
      <c r="H86" s="138">
        <v>71.238504999065071</v>
      </c>
      <c r="I86" s="138">
        <v>139.84420562169626</v>
      </c>
      <c r="J86" s="138">
        <v>34.877248159622809</v>
      </c>
      <c r="K86" s="130">
        <v>0</v>
      </c>
      <c r="L86" s="130">
        <v>0</v>
      </c>
      <c r="M86" s="130">
        <v>0</v>
      </c>
      <c r="N86" s="130">
        <v>0</v>
      </c>
      <c r="O86" s="97"/>
      <c r="P86" s="97"/>
      <c r="Q86" s="108">
        <v>9</v>
      </c>
      <c r="R86" s="109" t="s">
        <v>24</v>
      </c>
      <c r="S86" s="140">
        <v>0</v>
      </c>
      <c r="T86" s="140">
        <v>0</v>
      </c>
      <c r="U86" s="140">
        <v>0</v>
      </c>
      <c r="V86" s="140">
        <v>0</v>
      </c>
      <c r="W86" s="140">
        <v>0</v>
      </c>
      <c r="X86" s="140">
        <v>0</v>
      </c>
      <c r="Y86" s="140">
        <v>0</v>
      </c>
      <c r="Z86" s="140">
        <v>0</v>
      </c>
      <c r="AA86" s="140">
        <v>0</v>
      </c>
      <c r="AB86" s="140">
        <v>0</v>
      </c>
      <c r="AC86" s="140">
        <v>0</v>
      </c>
      <c r="AD86" s="140">
        <v>0</v>
      </c>
      <c r="AV86" s="108"/>
      <c r="AW86" s="99"/>
      <c r="AX86" s="99"/>
      <c r="AY86" s="99"/>
      <c r="AZ86" s="99"/>
      <c r="BA86" s="99"/>
      <c r="BB86" s="99"/>
      <c r="BC86" s="99"/>
      <c r="BD86" s="99"/>
      <c r="BE86" s="99"/>
      <c r="BF86" s="99"/>
      <c r="BG86" s="99"/>
      <c r="BH86" s="99"/>
      <c r="BI86" s="99"/>
      <c r="BJ86" s="108"/>
      <c r="BK86" s="99"/>
      <c r="BL86" s="99"/>
      <c r="BM86" s="99"/>
      <c r="BN86" s="99"/>
      <c r="BO86" s="99"/>
      <c r="BP86" s="99"/>
      <c r="BQ86" s="99"/>
      <c r="BR86" s="99"/>
      <c r="BS86" s="160" t="s">
        <v>80</v>
      </c>
      <c r="BT86" s="161">
        <v>58.214000000000091</v>
      </c>
      <c r="BU86" s="162"/>
      <c r="BV86" s="163">
        <f t="shared" si="3"/>
        <v>0.18441386348376909</v>
      </c>
      <c r="BX86" s="162">
        <v>129.34397242507146</v>
      </c>
      <c r="BY86" s="143" t="s">
        <v>80</v>
      </c>
      <c r="BZ86" s="164">
        <f t="shared" si="4"/>
        <v>127.06821578664373</v>
      </c>
      <c r="CA86" s="165">
        <f t="shared" si="4"/>
        <v>151.41819410391486</v>
      </c>
      <c r="CB86" s="165">
        <f t="shared" si="4"/>
        <v>202.25784654167609</v>
      </c>
      <c r="CC86" s="165">
        <f t="shared" si="4"/>
        <v>217.1496602690645</v>
      </c>
      <c r="CD86" s="165">
        <f t="shared" si="4"/>
        <v>237.78517467052055</v>
      </c>
      <c r="CE86" s="165">
        <f t="shared" si="4"/>
        <v>354.57960864817773</v>
      </c>
      <c r="CF86" s="165">
        <f t="shared" si="4"/>
        <v>404.00542357525921</v>
      </c>
      <c r="CG86" s="165">
        <f t="shared" si="4"/>
        <v>257.46361223853165</v>
      </c>
      <c r="CH86" s="165">
        <f t="shared" si="4"/>
        <v>134.53015686165463</v>
      </c>
      <c r="CI86" s="165">
        <f t="shared" si="4"/>
        <v>82.509394053509794</v>
      </c>
      <c r="CJ86" s="165">
        <f t="shared" si="4"/>
        <v>72.660422695132297</v>
      </c>
      <c r="CK86" s="165">
        <f t="shared" si="4"/>
        <v>101.19943926513002</v>
      </c>
      <c r="CM86" s="99"/>
      <c r="CN86" s="164">
        <v>112.37144447196016</v>
      </c>
      <c r="CO86" s="165">
        <v>109.22241178502824</v>
      </c>
      <c r="CP86" s="165">
        <v>113.21387085849784</v>
      </c>
      <c r="CQ86" s="165">
        <v>113.26139235563545</v>
      </c>
      <c r="CR86" s="165">
        <v>102.35767707638567</v>
      </c>
      <c r="CS86" s="165">
        <v>113.40315127806517</v>
      </c>
      <c r="CT86" s="165">
        <v>109.68475274201839</v>
      </c>
      <c r="CU86" s="165">
        <v>113.26984919539916</v>
      </c>
      <c r="CV86" s="165">
        <v>109.56698486290429</v>
      </c>
      <c r="CW86" s="165">
        <v>113.24966347768664</v>
      </c>
      <c r="CX86" s="165">
        <v>113.36810308978332</v>
      </c>
      <c r="CY86" s="165">
        <v>109.89910448577763</v>
      </c>
    </row>
    <row r="87" spans="1:103" ht="12" customHeight="1" x14ac:dyDescent="0.2">
      <c r="A87" s="104">
        <v>10</v>
      </c>
      <c r="B87" s="104" t="s">
        <v>25</v>
      </c>
      <c r="C87" s="126">
        <v>0</v>
      </c>
      <c r="D87" s="126">
        <v>0</v>
      </c>
      <c r="E87" s="126">
        <v>0</v>
      </c>
      <c r="F87" s="126">
        <v>0</v>
      </c>
      <c r="G87" s="126">
        <v>0</v>
      </c>
      <c r="H87" s="126">
        <v>0</v>
      </c>
      <c r="I87" s="126">
        <v>0</v>
      </c>
      <c r="J87" s="126">
        <v>0</v>
      </c>
      <c r="K87" s="126">
        <v>0</v>
      </c>
      <c r="L87" s="126">
        <v>0</v>
      </c>
      <c r="M87" s="126">
        <v>0</v>
      </c>
      <c r="N87" s="126">
        <v>0</v>
      </c>
      <c r="O87" s="97"/>
      <c r="P87" s="97"/>
      <c r="Q87" s="104">
        <v>10</v>
      </c>
      <c r="R87" s="97" t="s">
        <v>25</v>
      </c>
      <c r="S87" s="139">
        <v>49.349992593999822</v>
      </c>
      <c r="T87" s="139">
        <v>68.495148846131542</v>
      </c>
      <c r="U87" s="139">
        <v>69.698001913986715</v>
      </c>
      <c r="V87" s="139">
        <v>104.30756979636263</v>
      </c>
      <c r="W87" s="139">
        <v>40.152066966444195</v>
      </c>
      <c r="X87" s="139">
        <v>-37.400640997565887</v>
      </c>
      <c r="Y87" s="139">
        <v>-98.757113277836467</v>
      </c>
      <c r="Z87" s="139">
        <v>-56.511209236786542</v>
      </c>
      <c r="AA87" s="139">
        <v>6.5041301077383125</v>
      </c>
      <c r="AB87" s="139">
        <v>55.987838243262701</v>
      </c>
      <c r="AC87" s="139">
        <v>51.82491622436968</v>
      </c>
      <c r="AD87" s="139">
        <v>50.504502564902431</v>
      </c>
      <c r="AV87" s="104"/>
      <c r="AW87" s="99"/>
      <c r="AX87" s="99"/>
      <c r="AY87" s="99"/>
      <c r="AZ87" s="99"/>
      <c r="BA87" s="99"/>
      <c r="BB87" s="99"/>
      <c r="BC87" s="99"/>
      <c r="BD87" s="99"/>
      <c r="BE87" s="99"/>
      <c r="BF87" s="99"/>
      <c r="BG87" s="99"/>
      <c r="BH87" s="99"/>
      <c r="BI87" s="99"/>
      <c r="BJ87" s="104"/>
      <c r="BK87" s="99"/>
      <c r="BL87" s="99"/>
      <c r="BM87" s="99"/>
      <c r="BN87" s="99"/>
      <c r="BO87" s="99"/>
      <c r="BP87" s="99"/>
      <c r="BQ87" s="99"/>
      <c r="BR87" s="99"/>
      <c r="BS87" s="99" t="s">
        <v>81</v>
      </c>
      <c r="BT87" s="104">
        <v>0</v>
      </c>
      <c r="BU87" s="99"/>
      <c r="BV87" s="97">
        <f t="shared" si="3"/>
        <v>0</v>
      </c>
      <c r="BX87" s="99">
        <v>177.66706138738144</v>
      </c>
      <c r="BY87" s="99" t="s">
        <v>81</v>
      </c>
      <c r="BZ87" s="159">
        <f t="shared" si="4"/>
        <v>176.60262224412733</v>
      </c>
      <c r="CA87" s="159">
        <f t="shared" si="4"/>
        <v>220.09775681353017</v>
      </c>
      <c r="CB87" s="159">
        <f t="shared" si="4"/>
        <v>272.14026231914659</v>
      </c>
      <c r="CC87" s="159">
        <f t="shared" si="4"/>
        <v>321.64164392891087</v>
      </c>
      <c r="CD87" s="159">
        <f t="shared" si="4"/>
        <v>278.12165550044853</v>
      </c>
      <c r="CE87" s="159">
        <f t="shared" si="4"/>
        <v>317.36338151409564</v>
      </c>
      <c r="CF87" s="159">
        <f t="shared" si="4"/>
        <v>305.4327241609065</v>
      </c>
      <c r="CG87" s="159">
        <f t="shared" si="4"/>
        <v>201.13681686522887</v>
      </c>
      <c r="CH87" s="159">
        <f t="shared" si="4"/>
        <v>141.21870083287672</v>
      </c>
      <c r="CI87" s="159">
        <f t="shared" si="4"/>
        <v>138.68164616025626</v>
      </c>
      <c r="CJ87" s="159">
        <f t="shared" si="4"/>
        <v>124.66975278298574</v>
      </c>
      <c r="CK87" s="159">
        <f t="shared" si="4"/>
        <v>151.88835569351622</v>
      </c>
      <c r="CM87" s="99"/>
      <c r="CN87" s="159">
        <v>177.66706138738144</v>
      </c>
      <c r="CO87" s="159">
        <v>224.55483942610192</v>
      </c>
      <c r="CP87" s="159">
        <v>277.83428101992109</v>
      </c>
      <c r="CQ87" s="159">
        <v>327.52094187005127</v>
      </c>
      <c r="CR87" s="159">
        <v>284.53475055855478</v>
      </c>
      <c r="CS87" s="159">
        <v>322.14027733017923</v>
      </c>
      <c r="CT87" s="159">
        <v>309.35583085583391</v>
      </c>
      <c r="CU87" s="159">
        <v>186.37720368154694</v>
      </c>
      <c r="CV87" s="159">
        <v>106.12893899883942</v>
      </c>
      <c r="CW87" s="159">
        <v>97.777447332280033</v>
      </c>
      <c r="CX87" s="159">
        <v>91.493560804102287</v>
      </c>
      <c r="CY87" s="159">
        <v>141.47108984485294</v>
      </c>
    </row>
    <row r="88" spans="1:103" ht="12" customHeight="1" x14ac:dyDescent="0.2">
      <c r="A88" s="104">
        <v>11</v>
      </c>
      <c r="B88" s="104" t="s">
        <v>26</v>
      </c>
      <c r="C88" s="126">
        <v>0</v>
      </c>
      <c r="D88" s="126">
        <v>0</v>
      </c>
      <c r="E88" s="126">
        <v>0</v>
      </c>
      <c r="F88" s="126">
        <v>0</v>
      </c>
      <c r="G88" s="126">
        <v>0</v>
      </c>
      <c r="H88" s="126">
        <v>0</v>
      </c>
      <c r="I88" s="126">
        <v>0</v>
      </c>
      <c r="J88" s="126">
        <v>0</v>
      </c>
      <c r="K88" s="126">
        <v>0</v>
      </c>
      <c r="L88" s="126">
        <v>0</v>
      </c>
      <c r="M88" s="126">
        <v>0</v>
      </c>
      <c r="N88" s="126">
        <v>0</v>
      </c>
      <c r="O88" s="97"/>
      <c r="P88" s="97"/>
      <c r="Q88" s="104">
        <v>11</v>
      </c>
      <c r="R88" s="97" t="s">
        <v>26</v>
      </c>
      <c r="S88" s="139">
        <v>15.228139560490185</v>
      </c>
      <c r="T88" s="139">
        <v>24.272616897125044</v>
      </c>
      <c r="U88" s="139">
        <v>50.529560939824165</v>
      </c>
      <c r="V88" s="139">
        <v>57.169430364211664</v>
      </c>
      <c r="W88" s="139">
        <v>69.369859396686181</v>
      </c>
      <c r="X88" s="139">
        <v>91.236498588263345</v>
      </c>
      <c r="Y88" s="139">
        <v>93.999772395584259</v>
      </c>
      <c r="Z88" s="139">
        <v>68.011580047954268</v>
      </c>
      <c r="AA88" s="139">
        <v>33.011174260976084</v>
      </c>
      <c r="AB88" s="139">
        <v>11.968100985166796</v>
      </c>
      <c r="AC88" s="139">
        <v>7.2855775078529845</v>
      </c>
      <c r="AD88" s="139">
        <v>7.1355220272087969</v>
      </c>
      <c r="AV88" s="104"/>
      <c r="AW88" s="99"/>
      <c r="AX88" s="99"/>
      <c r="AY88" s="99"/>
      <c r="AZ88" s="99"/>
      <c r="BA88" s="99"/>
      <c r="BB88" s="99"/>
      <c r="BC88" s="99"/>
      <c r="BD88" s="99"/>
      <c r="BE88" s="99"/>
      <c r="BF88" s="99"/>
      <c r="BG88" s="99"/>
      <c r="BH88" s="99"/>
      <c r="BI88" s="99"/>
      <c r="BJ88" s="104"/>
      <c r="BK88" s="99"/>
      <c r="BL88" s="99"/>
      <c r="BM88" s="99"/>
      <c r="BN88" s="99"/>
      <c r="BO88" s="99"/>
      <c r="BP88" s="99"/>
      <c r="BQ88" s="99"/>
      <c r="BR88" s="99"/>
      <c r="BS88" s="99" t="s">
        <v>82</v>
      </c>
      <c r="BT88" s="104">
        <v>0</v>
      </c>
      <c r="BU88" s="99"/>
      <c r="BV88" s="97">
        <f t="shared" si="3"/>
        <v>0</v>
      </c>
      <c r="BX88" s="99">
        <v>14.873059469327117</v>
      </c>
      <c r="BY88" s="99" t="s">
        <v>82</v>
      </c>
      <c r="BZ88" s="159">
        <f t="shared" si="4"/>
        <v>15.228139560490185</v>
      </c>
      <c r="CA88" s="159">
        <f t="shared" si="4"/>
        <v>24.272616897125044</v>
      </c>
      <c r="CB88" s="159">
        <f t="shared" si="4"/>
        <v>50.529560939824165</v>
      </c>
      <c r="CC88" s="159">
        <f t="shared" si="4"/>
        <v>57.169430364211664</v>
      </c>
      <c r="CD88" s="159">
        <f t="shared" si="4"/>
        <v>69.369859396686181</v>
      </c>
      <c r="CE88" s="159">
        <f t="shared" si="4"/>
        <v>91.236498588263345</v>
      </c>
      <c r="CF88" s="159">
        <f t="shared" si="4"/>
        <v>93.999772395584259</v>
      </c>
      <c r="CG88" s="159">
        <f t="shared" si="4"/>
        <v>68.011580047954268</v>
      </c>
      <c r="CH88" s="159">
        <f t="shared" si="4"/>
        <v>33.011174260976084</v>
      </c>
      <c r="CI88" s="159">
        <f t="shared" si="4"/>
        <v>11.968100985166796</v>
      </c>
      <c r="CJ88" s="159">
        <f t="shared" si="4"/>
        <v>7.2855775078529845</v>
      </c>
      <c r="CK88" s="159">
        <f t="shared" si="4"/>
        <v>7.1355220272087969</v>
      </c>
      <c r="CM88" s="99"/>
      <c r="CN88" s="159">
        <v>14.873059469327117</v>
      </c>
      <c r="CO88" s="159">
        <v>22.946168782003426</v>
      </c>
      <c r="CP88" s="159">
        <v>48.404137031741037</v>
      </c>
      <c r="CQ88" s="159">
        <v>55.638421037827896</v>
      </c>
      <c r="CR88" s="159">
        <v>67.658005615442406</v>
      </c>
      <c r="CS88" s="159">
        <v>92.295418841619707</v>
      </c>
      <c r="CT88" s="159">
        <v>98.593329642144269</v>
      </c>
      <c r="CU88" s="159">
        <v>69.530170597748878</v>
      </c>
      <c r="CV88" s="159">
        <v>33.034045228244686</v>
      </c>
      <c r="CW88" s="159">
        <v>11.49709142269036</v>
      </c>
      <c r="CX88" s="159">
        <v>7.0199605328356078</v>
      </c>
      <c r="CY88" s="159">
        <v>6.8220132976069792</v>
      </c>
    </row>
    <row r="89" spans="1:103" ht="12" customHeight="1" x14ac:dyDescent="0.2">
      <c r="A89" s="104">
        <v>12</v>
      </c>
      <c r="B89" s="104" t="s">
        <v>27</v>
      </c>
      <c r="C89" s="126">
        <v>0</v>
      </c>
      <c r="D89" s="126">
        <v>0</v>
      </c>
      <c r="E89" s="126">
        <v>0</v>
      </c>
      <c r="F89" s="126">
        <v>0</v>
      </c>
      <c r="G89" s="126">
        <v>0</v>
      </c>
      <c r="H89" s="126">
        <v>0</v>
      </c>
      <c r="I89" s="126">
        <v>0</v>
      </c>
      <c r="J89" s="126">
        <v>0</v>
      </c>
      <c r="K89" s="126">
        <v>0</v>
      </c>
      <c r="L89" s="126">
        <v>0</v>
      </c>
      <c r="M89" s="126">
        <v>0</v>
      </c>
      <c r="N89" s="126">
        <v>0</v>
      </c>
      <c r="O89" s="97"/>
      <c r="P89" s="97"/>
      <c r="Q89" s="104">
        <v>12</v>
      </c>
      <c r="R89" s="97" t="s">
        <v>27</v>
      </c>
      <c r="S89" s="139">
        <v>1.8463616157221994</v>
      </c>
      <c r="T89" s="139">
        <v>2.0484305463997199</v>
      </c>
      <c r="U89" s="139">
        <v>2.543942094461368</v>
      </c>
      <c r="V89" s="139">
        <v>2.945832988263934</v>
      </c>
      <c r="W89" s="139">
        <v>2.9572979360994172</v>
      </c>
      <c r="X89" s="139">
        <v>3.522684277577639</v>
      </c>
      <c r="Y89" s="139">
        <v>3.3526200979285536</v>
      </c>
      <c r="Z89" s="139">
        <v>2.5956945883948976</v>
      </c>
      <c r="AA89" s="139">
        <v>-5.5196968474480412</v>
      </c>
      <c r="AB89" s="139">
        <v>-12.539964932688056</v>
      </c>
      <c r="AC89" s="139">
        <v>-10.09018145012719</v>
      </c>
      <c r="AD89" s="139">
        <v>-1.8315843048597675</v>
      </c>
      <c r="AV89" s="104"/>
      <c r="AW89" s="99"/>
      <c r="AX89" s="99"/>
      <c r="AY89" s="99"/>
      <c r="AZ89" s="99"/>
      <c r="BA89" s="99"/>
      <c r="BB89" s="99"/>
      <c r="BC89" s="99"/>
      <c r="BD89" s="99"/>
      <c r="BE89" s="99"/>
      <c r="BF89" s="99"/>
      <c r="BG89" s="99"/>
      <c r="BH89" s="99"/>
      <c r="BI89" s="99"/>
      <c r="BJ89" s="104"/>
      <c r="BK89" s="99"/>
      <c r="BL89" s="99"/>
      <c r="BM89" s="99"/>
      <c r="BN89" s="99"/>
      <c r="BO89" s="99"/>
      <c r="BP89" s="99"/>
      <c r="BQ89" s="99"/>
      <c r="BR89" s="99"/>
      <c r="BS89" s="99" t="s">
        <v>83</v>
      </c>
      <c r="BT89" s="104">
        <v>0</v>
      </c>
      <c r="BU89" s="99"/>
      <c r="BV89" s="97">
        <f t="shared" si="3"/>
        <v>0</v>
      </c>
      <c r="BX89" s="99">
        <v>194.38648247243074</v>
      </c>
      <c r="BY89" s="99" t="s">
        <v>83</v>
      </c>
      <c r="BZ89" s="159">
        <f t="shared" si="4"/>
        <v>193.67712342033971</v>
      </c>
      <c r="CA89" s="159">
        <f t="shared" si="4"/>
        <v>246.41880425705492</v>
      </c>
      <c r="CB89" s="159">
        <f t="shared" si="4"/>
        <v>325.21376535343211</v>
      </c>
      <c r="CC89" s="159">
        <f t="shared" si="4"/>
        <v>381.75690728138648</v>
      </c>
      <c r="CD89" s="159">
        <f t="shared" si="4"/>
        <v>350.44881283323411</v>
      </c>
      <c r="CE89" s="159">
        <f t="shared" si="4"/>
        <v>412.12256437993659</v>
      </c>
      <c r="CF89" s="159">
        <f t="shared" si="4"/>
        <v>402.78511665441931</v>
      </c>
      <c r="CG89" s="159">
        <f t="shared" si="4"/>
        <v>271.74409150157805</v>
      </c>
      <c r="CH89" s="159">
        <f t="shared" si="4"/>
        <v>168.71017824640475</v>
      </c>
      <c r="CI89" s="159">
        <f t="shared" si="4"/>
        <v>138.10978221273498</v>
      </c>
      <c r="CJ89" s="159">
        <f t="shared" si="4"/>
        <v>121.86514884071154</v>
      </c>
      <c r="CK89" s="159">
        <f t="shared" si="4"/>
        <v>157.19229341586524</v>
      </c>
      <c r="CM89" s="99"/>
      <c r="CN89" s="159">
        <v>194.38648247243074</v>
      </c>
      <c r="CO89" s="159">
        <v>249.54943875450508</v>
      </c>
      <c r="CP89" s="159">
        <v>328.78236014612349</v>
      </c>
      <c r="CQ89" s="159">
        <v>386.10519589614313</v>
      </c>
      <c r="CR89" s="159">
        <v>355.15005411009656</v>
      </c>
      <c r="CS89" s="159">
        <v>417.95838044937659</v>
      </c>
      <c r="CT89" s="159">
        <v>411.30178059590673</v>
      </c>
      <c r="CU89" s="159">
        <v>258.50306886769073</v>
      </c>
      <c r="CV89" s="159">
        <v>133.64328737963606</v>
      </c>
      <c r="CW89" s="159">
        <v>96.734573822282343</v>
      </c>
      <c r="CX89" s="159">
        <v>88.423339886810709</v>
      </c>
      <c r="CY89" s="159">
        <v>146.46151883760015</v>
      </c>
    </row>
    <row r="90" spans="1:103" ht="12" customHeight="1" x14ac:dyDescent="0.2">
      <c r="A90" s="104">
        <v>13</v>
      </c>
      <c r="B90" s="104" t="s">
        <v>28</v>
      </c>
      <c r="C90" s="126">
        <v>0</v>
      </c>
      <c r="D90" s="126">
        <v>0</v>
      </c>
      <c r="E90" s="126">
        <v>0</v>
      </c>
      <c r="F90" s="126">
        <v>0</v>
      </c>
      <c r="G90" s="126">
        <v>0</v>
      </c>
      <c r="H90" s="126">
        <v>0</v>
      </c>
      <c r="I90" s="126">
        <v>0</v>
      </c>
      <c r="J90" s="126">
        <v>0</v>
      </c>
      <c r="K90" s="126">
        <v>0</v>
      </c>
      <c r="L90" s="126">
        <v>0</v>
      </c>
      <c r="M90" s="126">
        <v>0</v>
      </c>
      <c r="N90" s="126">
        <v>0</v>
      </c>
      <c r="O90" s="97"/>
      <c r="P90" s="97"/>
      <c r="Q90" s="104">
        <v>13</v>
      </c>
      <c r="R90" s="97" t="s">
        <v>28</v>
      </c>
      <c r="S90" s="139">
        <v>88.364188719023986</v>
      </c>
      <c r="T90" s="139">
        <v>115.23665365282369</v>
      </c>
      <c r="U90" s="139">
        <v>202.43843962161355</v>
      </c>
      <c r="V90" s="139">
        <v>244.86669016129503</v>
      </c>
      <c r="W90" s="139">
        <v>255.06832984013542</v>
      </c>
      <c r="X90" s="139">
        <v>313.86238082233535</v>
      </c>
      <c r="Y90" s="139">
        <v>266.62711055036135</v>
      </c>
      <c r="Z90" s="139">
        <v>165.84063745058475</v>
      </c>
      <c r="AA90" s="139">
        <v>106.72916108468576</v>
      </c>
      <c r="AB90" s="139">
        <v>90.85706844412644</v>
      </c>
      <c r="AC90" s="139">
        <v>70.355336822598403</v>
      </c>
      <c r="AD90" s="139">
        <v>62.778568566695697</v>
      </c>
      <c r="AV90" s="104"/>
      <c r="AW90" s="99"/>
      <c r="AX90" s="99"/>
      <c r="AY90" s="99"/>
      <c r="AZ90" s="99"/>
      <c r="BA90" s="99"/>
      <c r="BB90" s="99"/>
      <c r="BC90" s="99"/>
      <c r="BD90" s="99"/>
      <c r="BE90" s="99"/>
      <c r="BF90" s="99"/>
      <c r="BG90" s="99"/>
      <c r="BH90" s="99"/>
      <c r="BI90" s="99"/>
      <c r="BJ90" s="104"/>
      <c r="BK90" s="99"/>
      <c r="BL90" s="99"/>
      <c r="BM90" s="99"/>
      <c r="BN90" s="99"/>
      <c r="BO90" s="99"/>
      <c r="BP90" s="99"/>
      <c r="BQ90" s="99"/>
      <c r="BR90" s="99"/>
      <c r="BS90" s="99" t="s">
        <v>84</v>
      </c>
      <c r="BT90" s="104">
        <v>0</v>
      </c>
      <c r="BU90" s="99"/>
      <c r="BV90" s="97">
        <f t="shared" si="3"/>
        <v>0</v>
      </c>
      <c r="BX90" s="99">
        <v>282.68051705245296</v>
      </c>
      <c r="BY90" s="99" t="s">
        <v>84</v>
      </c>
      <c r="BZ90" s="159">
        <f t="shared" si="4"/>
        <v>282.0413121393637</v>
      </c>
      <c r="CA90" s="159">
        <f t="shared" si="4"/>
        <v>361.65545790987858</v>
      </c>
      <c r="CB90" s="159">
        <f t="shared" si="4"/>
        <v>527.65220497504561</v>
      </c>
      <c r="CC90" s="159">
        <f t="shared" si="4"/>
        <v>626.62359744268156</v>
      </c>
      <c r="CD90" s="159">
        <f t="shared" si="4"/>
        <v>605.51714267336956</v>
      </c>
      <c r="CE90" s="159">
        <f t="shared" si="4"/>
        <v>725.984945202272</v>
      </c>
      <c r="CF90" s="159">
        <f t="shared" si="4"/>
        <v>669.41222720478072</v>
      </c>
      <c r="CG90" s="159">
        <f t="shared" si="4"/>
        <v>437.58472895216278</v>
      </c>
      <c r="CH90" s="159">
        <f t="shared" si="4"/>
        <v>275.43933933109054</v>
      </c>
      <c r="CI90" s="159">
        <f t="shared" si="4"/>
        <v>228.96685065686142</v>
      </c>
      <c r="CJ90" s="159">
        <f t="shared" si="4"/>
        <v>192.22048566330994</v>
      </c>
      <c r="CK90" s="159">
        <f t="shared" si="4"/>
        <v>219.97086198256093</v>
      </c>
      <c r="CM90" s="99"/>
      <c r="CN90" s="159">
        <v>282.68051705245296</v>
      </c>
      <c r="CO90" s="159">
        <v>364.6968451490373</v>
      </c>
      <c r="CP90" s="159">
        <v>531.07017519862234</v>
      </c>
      <c r="CQ90" s="159">
        <v>630.73946847479954</v>
      </c>
      <c r="CR90" s="159">
        <v>609.89248084635017</v>
      </c>
      <c r="CS90" s="159">
        <v>731.2889975436949</v>
      </c>
      <c r="CT90" s="159">
        <v>677.39517518532716</v>
      </c>
      <c r="CU90" s="159">
        <v>423.97618489529714</v>
      </c>
      <c r="CV90" s="159">
        <v>240.02791920199553</v>
      </c>
      <c r="CW90" s="159">
        <v>187.14339698655692</v>
      </c>
      <c r="CX90" s="159">
        <v>158.44465249205206</v>
      </c>
      <c r="CY90" s="159">
        <v>209.05412596263878</v>
      </c>
    </row>
    <row r="91" spans="1:103" ht="12" customHeight="1" x14ac:dyDescent="0.2">
      <c r="O91" s="97"/>
      <c r="P91" s="97"/>
      <c r="AW91" s="99"/>
      <c r="AX91" s="99"/>
      <c r="AY91" s="99"/>
      <c r="AZ91" s="99"/>
      <c r="BA91" s="99"/>
      <c r="BB91" s="99"/>
      <c r="BC91" s="99"/>
      <c r="BD91" s="99"/>
      <c r="BE91" s="99"/>
      <c r="BF91" s="99"/>
      <c r="BG91" s="99"/>
      <c r="BH91" s="99"/>
      <c r="BI91" s="99"/>
      <c r="BK91" s="99"/>
      <c r="BL91" s="99"/>
      <c r="BM91" s="99"/>
      <c r="BN91" s="99"/>
      <c r="BO91" s="99"/>
      <c r="BP91" s="99"/>
      <c r="BQ91" s="99"/>
      <c r="BR91" s="99"/>
      <c r="BS91" s="99"/>
      <c r="BT91" s="99"/>
      <c r="BU91" s="99"/>
      <c r="BV91" s="99"/>
      <c r="BW91" s="99"/>
      <c r="BX91" s="99"/>
      <c r="BY91" s="99"/>
      <c r="BZ91" s="158"/>
      <c r="CA91" s="158"/>
      <c r="CB91" s="158"/>
      <c r="CC91" s="158"/>
      <c r="CD91" s="158"/>
      <c r="CE91" s="158"/>
      <c r="CF91" s="158"/>
      <c r="CG91" s="158"/>
      <c r="CH91" s="158"/>
      <c r="CI91" s="158"/>
      <c r="CJ91" s="158"/>
      <c r="CK91" s="158"/>
      <c r="CM91" s="99"/>
      <c r="CN91" s="99"/>
      <c r="CO91" s="99"/>
      <c r="CP91" s="99"/>
      <c r="CQ91" s="99"/>
      <c r="CR91" s="99"/>
      <c r="CS91" s="99"/>
      <c r="CT91" s="99"/>
      <c r="CU91" s="99"/>
      <c r="CV91" s="99"/>
      <c r="CW91" s="99"/>
      <c r="CX91" s="99"/>
    </row>
    <row r="92" spans="1:103" ht="12" customHeight="1" x14ac:dyDescent="0.2">
      <c r="B92" s="38" t="s">
        <v>59</v>
      </c>
      <c r="C92" s="102" t="s">
        <v>1</v>
      </c>
      <c r="D92" s="102" t="s">
        <v>2</v>
      </c>
      <c r="E92" s="102" t="s">
        <v>3</v>
      </c>
      <c r="F92" s="102" t="s">
        <v>4</v>
      </c>
      <c r="G92" s="102" t="s">
        <v>5</v>
      </c>
      <c r="H92" s="102" t="s">
        <v>6</v>
      </c>
      <c r="I92" s="102" t="s">
        <v>7</v>
      </c>
      <c r="J92" s="102" t="s">
        <v>8</v>
      </c>
      <c r="K92" s="102" t="s">
        <v>9</v>
      </c>
      <c r="L92" s="102" t="s">
        <v>10</v>
      </c>
      <c r="M92" s="102" t="s">
        <v>11</v>
      </c>
      <c r="N92" s="102" t="s">
        <v>12</v>
      </c>
      <c r="O92" s="97"/>
      <c r="P92" s="97"/>
      <c r="R92" s="166" t="s">
        <v>36</v>
      </c>
      <c r="S92" s="102" t="s">
        <v>1</v>
      </c>
      <c r="T92" s="102" t="s">
        <v>2</v>
      </c>
      <c r="U92" s="102" t="s">
        <v>3</v>
      </c>
      <c r="V92" s="102" t="s">
        <v>4</v>
      </c>
      <c r="W92" s="102" t="s">
        <v>5</v>
      </c>
      <c r="X92" s="102" t="s">
        <v>6</v>
      </c>
      <c r="Y92" s="102" t="s">
        <v>7</v>
      </c>
      <c r="Z92" s="102" t="s">
        <v>8</v>
      </c>
      <c r="AA92" s="102" t="s">
        <v>9</v>
      </c>
      <c r="AB92" s="102" t="s">
        <v>10</v>
      </c>
      <c r="AC92" s="102" t="s">
        <v>11</v>
      </c>
      <c r="AD92" s="102" t="s">
        <v>12</v>
      </c>
      <c r="AG92" s="100" t="s">
        <v>148</v>
      </c>
      <c r="AH92" s="115"/>
      <c r="AI92" s="115"/>
      <c r="AJ92" s="115"/>
      <c r="AK92" s="115" t="s">
        <v>150</v>
      </c>
      <c r="AL92" s="115"/>
      <c r="AM92" s="115"/>
      <c r="AN92" s="115"/>
      <c r="AO92" s="115"/>
      <c r="AP92" s="115"/>
      <c r="AQ92" s="115"/>
      <c r="AR92" s="115"/>
      <c r="AS92" s="115"/>
      <c r="AW92" s="99"/>
      <c r="AX92" s="99"/>
      <c r="AY92" s="99"/>
      <c r="AZ92" s="99"/>
      <c r="BA92" s="99"/>
      <c r="BB92" s="99"/>
      <c r="BC92" s="99"/>
      <c r="BD92" s="99"/>
      <c r="BE92" s="99"/>
      <c r="BF92" s="99"/>
      <c r="BG92" s="99"/>
      <c r="BH92" s="99"/>
      <c r="BI92" s="99"/>
      <c r="BK92" s="99"/>
      <c r="BL92" s="99"/>
      <c r="BM92" s="99"/>
      <c r="BN92" s="99"/>
      <c r="BO92" s="99"/>
      <c r="BP92" s="99"/>
      <c r="BQ92" s="99"/>
      <c r="BR92" s="99"/>
      <c r="BS92" s="157" t="s">
        <v>104</v>
      </c>
      <c r="BT92" s="157"/>
      <c r="BU92" s="99"/>
      <c r="BV92" s="99" t="s">
        <v>154</v>
      </c>
      <c r="BW92" s="99"/>
      <c r="BX92" s="99"/>
      <c r="BY92" s="99"/>
      <c r="BZ92" s="158"/>
      <c r="CA92" s="158"/>
      <c r="CB92" s="158"/>
      <c r="CC92" s="158"/>
      <c r="CD92" s="158"/>
      <c r="CE92" s="158"/>
      <c r="CF92" s="158"/>
      <c r="CG92" s="158"/>
      <c r="CH92" s="158"/>
      <c r="CI92" s="158"/>
      <c r="CJ92" s="158"/>
      <c r="CK92" s="158"/>
      <c r="CM92" s="99"/>
      <c r="CN92" s="99"/>
      <c r="CO92" s="99"/>
      <c r="CP92" s="99"/>
      <c r="CQ92" s="99"/>
      <c r="CR92" s="99"/>
      <c r="CS92" s="99"/>
      <c r="CT92" s="99"/>
      <c r="CU92" s="99"/>
      <c r="CV92" s="99"/>
      <c r="CW92" s="99"/>
      <c r="CX92" s="99"/>
    </row>
    <row r="93" spans="1:103" ht="12" customHeight="1" x14ac:dyDescent="0.2">
      <c r="A93" s="104">
        <v>1</v>
      </c>
      <c r="B93" s="104" t="s">
        <v>21</v>
      </c>
      <c r="C93" s="38">
        <v>62.527943830521835</v>
      </c>
      <c r="D93" s="38">
        <v>71.057918299249579</v>
      </c>
      <c r="E93" s="38">
        <v>85.467505635250831</v>
      </c>
      <c r="F93" s="38">
        <v>90.288872169027258</v>
      </c>
      <c r="G93" s="38">
        <v>92.961838135638899</v>
      </c>
      <c r="H93" s="38">
        <v>111.57645295467177</v>
      </c>
      <c r="I93" s="38">
        <v>104.31037456132718</v>
      </c>
      <c r="J93" s="38">
        <v>93.561788557938499</v>
      </c>
      <c r="K93" s="38">
        <v>89.790349711390576</v>
      </c>
      <c r="L93" s="38">
        <v>65.542476502025664</v>
      </c>
      <c r="M93" s="38">
        <v>58.473100114267176</v>
      </c>
      <c r="N93" s="38">
        <v>53.425223669383392</v>
      </c>
      <c r="O93" s="167">
        <f>SUM(C93:N93)</f>
        <v>978.98384414069267</v>
      </c>
      <c r="P93" s="97"/>
      <c r="Q93" s="104">
        <v>1</v>
      </c>
      <c r="R93" s="97" t="s">
        <v>21</v>
      </c>
      <c r="S93" s="166">
        <f t="array" ref="S93:AD105">C93:N105-(C108:N120+C123:N135)</f>
        <v>53.413295408621302</v>
      </c>
      <c r="T93" s="166">
        <v>58.45117931527961</v>
      </c>
      <c r="U93" s="166">
        <v>67.838781737684556</v>
      </c>
      <c r="V93" s="166">
        <v>70.357114264309416</v>
      </c>
      <c r="W93" s="166">
        <v>69.382996633435241</v>
      </c>
      <c r="X93" s="166">
        <v>83.40761051895069</v>
      </c>
      <c r="Y93" s="166">
        <v>79.047719394558143</v>
      </c>
      <c r="Z93" s="166">
        <v>82.980900369883344</v>
      </c>
      <c r="AA93" s="166">
        <v>94.481627802013051</v>
      </c>
      <c r="AB93" s="166">
        <v>80.684308479838833</v>
      </c>
      <c r="AC93" s="166">
        <v>69.168853350018395</v>
      </c>
      <c r="AD93" s="166">
        <v>49.075292325235708</v>
      </c>
      <c r="AE93" s="167">
        <f>SUM(S93:AD93)</f>
        <v>858.28967959982822</v>
      </c>
      <c r="AF93" s="104">
        <v>1</v>
      </c>
      <c r="AG93" s="97" t="s">
        <v>21</v>
      </c>
      <c r="AH93" s="120">
        <f t="array" ref="AH93:AS105">MMULT(C33:O45,(S63:AD75-C48:N60))</f>
        <v>0</v>
      </c>
      <c r="AI93" s="120">
        <v>0</v>
      </c>
      <c r="AJ93" s="120">
        <v>0</v>
      </c>
      <c r="AK93" s="120">
        <v>0</v>
      </c>
      <c r="AL93" s="120">
        <v>0</v>
      </c>
      <c r="AM93" s="120">
        <v>0</v>
      </c>
      <c r="AN93" s="120">
        <v>0</v>
      </c>
      <c r="AO93" s="120">
        <v>0</v>
      </c>
      <c r="AP93" s="120">
        <v>0</v>
      </c>
      <c r="AQ93" s="120">
        <v>0</v>
      </c>
      <c r="AR93" s="120">
        <v>0</v>
      </c>
      <c r="AS93" s="120">
        <v>0</v>
      </c>
      <c r="AT93" s="99"/>
      <c r="AV93" s="104"/>
      <c r="AW93" s="99"/>
      <c r="AX93" s="99"/>
      <c r="AY93" s="99"/>
      <c r="AZ93" s="99"/>
      <c r="BA93" s="99"/>
      <c r="BB93" s="99"/>
      <c r="BC93" s="99"/>
      <c r="BD93" s="99"/>
      <c r="BE93" s="99"/>
      <c r="BF93" s="99"/>
      <c r="BG93" s="99"/>
      <c r="BH93" s="99"/>
      <c r="BI93" s="99"/>
      <c r="BJ93" s="104"/>
      <c r="BK93" s="99"/>
      <c r="BL93" s="99"/>
      <c r="BM93" s="99"/>
      <c r="BN93" s="99"/>
      <c r="BO93" s="99"/>
      <c r="BP93" s="99"/>
      <c r="BQ93" s="99"/>
      <c r="BR93" s="99"/>
      <c r="BS93" s="99" t="s">
        <v>72</v>
      </c>
      <c r="BT93" s="104">
        <v>0</v>
      </c>
      <c r="BU93" s="99"/>
      <c r="BV93" s="104">
        <f t="shared" ref="BV93:BV105" si="6">BT93-BT108</f>
        <v>0</v>
      </c>
      <c r="BW93" s="99"/>
      <c r="BX93" s="99"/>
      <c r="BY93" s="99" t="s">
        <v>72</v>
      </c>
      <c r="BZ93" s="159">
        <f>S78+$BV93</f>
        <v>43.852295408621302</v>
      </c>
      <c r="CA93" s="159">
        <f t="shared" ref="CA93:CK105" si="7">T78+$BV93</f>
        <v>50.680179315279609</v>
      </c>
      <c r="CB93" s="159">
        <f t="shared" si="7"/>
        <v>57.328781737684551</v>
      </c>
      <c r="CC93" s="159">
        <f t="shared" si="7"/>
        <v>58.897114264309415</v>
      </c>
      <c r="CD93" s="159">
        <f t="shared" si="7"/>
        <v>55.692996633435243</v>
      </c>
      <c r="CE93" s="159">
        <f t="shared" si="7"/>
        <v>65.90761051895069</v>
      </c>
      <c r="CF93" s="159">
        <f t="shared" si="7"/>
        <v>60.340719394558143</v>
      </c>
      <c r="CG93" s="159">
        <f t="shared" si="7"/>
        <v>60.848900369883339</v>
      </c>
      <c r="CH93" s="159">
        <f t="shared" si="7"/>
        <v>64.374627802013038</v>
      </c>
      <c r="CI93" s="159">
        <f t="shared" si="7"/>
        <v>51.887808479838839</v>
      </c>
      <c r="CJ93" s="159">
        <f t="shared" si="7"/>
        <v>43.742853350018393</v>
      </c>
      <c r="CK93" s="159">
        <f t="shared" si="7"/>
        <v>34.569292325235708</v>
      </c>
      <c r="CM93" s="99"/>
      <c r="CN93" s="59">
        <v>0</v>
      </c>
      <c r="CO93" s="59">
        <v>0</v>
      </c>
      <c r="CP93" s="59">
        <v>0</v>
      </c>
      <c r="CQ93" s="59">
        <v>0</v>
      </c>
      <c r="CR93" s="59">
        <v>0</v>
      </c>
      <c r="CS93" s="59">
        <v>0</v>
      </c>
      <c r="CT93" s="59">
        <v>0</v>
      </c>
      <c r="CU93" s="59">
        <v>0</v>
      </c>
      <c r="CV93" s="59">
        <v>0</v>
      </c>
      <c r="CW93" s="59">
        <v>0</v>
      </c>
      <c r="CX93" s="59">
        <v>0</v>
      </c>
      <c r="CY93" s="59">
        <v>0</v>
      </c>
    </row>
    <row r="94" spans="1:103" ht="12" customHeight="1" x14ac:dyDescent="0.2">
      <c r="A94" s="104">
        <v>2</v>
      </c>
      <c r="B94" s="104" t="s">
        <v>22</v>
      </c>
      <c r="C94" s="38">
        <v>29.307271791094792</v>
      </c>
      <c r="D94" s="38">
        <v>41.543402465058783</v>
      </c>
      <c r="E94" s="38">
        <v>40.563148145247013</v>
      </c>
      <c r="F94" s="38">
        <v>41.663895445362805</v>
      </c>
      <c r="G94" s="38">
        <v>45.977497970882766</v>
      </c>
      <c r="H94" s="38">
        <v>50.808757149003767</v>
      </c>
      <c r="I94" s="38">
        <v>52.971507885629471</v>
      </c>
      <c r="J94" s="38">
        <v>56.606691212723561</v>
      </c>
      <c r="K94" s="38">
        <v>36.831747448704867</v>
      </c>
      <c r="L94" s="38">
        <v>31.523526052208219</v>
      </c>
      <c r="M94" s="38">
        <v>29.899797663106675</v>
      </c>
      <c r="N94" s="38">
        <v>30.156098088261061</v>
      </c>
      <c r="O94" s="167">
        <f t="shared" ref="O94:O105" si="8">SUM(C94:N94)</f>
        <v>487.85334131728376</v>
      </c>
      <c r="P94" s="97"/>
      <c r="Q94" s="104">
        <v>2</v>
      </c>
      <c r="R94" s="97" t="s">
        <v>22</v>
      </c>
      <c r="S94" s="166">
        <v>26.485763977724197</v>
      </c>
      <c r="T94" s="166">
        <v>37.567777890830953</v>
      </c>
      <c r="U94" s="166">
        <v>30.788536468724878</v>
      </c>
      <c r="V94" s="166">
        <v>34.906264878594193</v>
      </c>
      <c r="W94" s="166">
        <v>30.346733682212445</v>
      </c>
      <c r="X94" s="166">
        <v>26.575283830810186</v>
      </c>
      <c r="Y94" s="166">
        <v>40.870913658470258</v>
      </c>
      <c r="Z94" s="166">
        <v>42.69421956991129</v>
      </c>
      <c r="AA94" s="166">
        <v>22.291141787390892</v>
      </c>
      <c r="AB94" s="166">
        <v>23.221728344841623</v>
      </c>
      <c r="AC94" s="166">
        <v>22.405111848862312</v>
      </c>
      <c r="AD94" s="166">
        <v>28.571224191995817</v>
      </c>
      <c r="AE94" s="167">
        <f t="shared" ref="AE94:AE105" si="9">SUM(S94:AD94)</f>
        <v>366.72470013036906</v>
      </c>
      <c r="AF94" s="104">
        <v>2</v>
      </c>
      <c r="AG94" s="97" t="s">
        <v>22</v>
      </c>
      <c r="AH94" s="120">
        <v>0</v>
      </c>
      <c r="AI94" s="120">
        <v>0</v>
      </c>
      <c r="AJ94" s="120">
        <v>0</v>
      </c>
      <c r="AK94" s="120">
        <v>0</v>
      </c>
      <c r="AL94" s="120">
        <v>0</v>
      </c>
      <c r="AM94" s="120">
        <v>0</v>
      </c>
      <c r="AN94" s="120">
        <v>0</v>
      </c>
      <c r="AO94" s="120">
        <v>0</v>
      </c>
      <c r="AP94" s="120">
        <v>0</v>
      </c>
      <c r="AQ94" s="120">
        <v>0</v>
      </c>
      <c r="AR94" s="120">
        <v>0</v>
      </c>
      <c r="AS94" s="120">
        <v>0</v>
      </c>
      <c r="AT94" s="99"/>
      <c r="AV94" s="104"/>
      <c r="AW94" s="99"/>
      <c r="AX94" s="99"/>
      <c r="AY94" s="99"/>
      <c r="AZ94" s="99"/>
      <c r="BA94" s="99"/>
      <c r="BB94" s="99"/>
      <c r="BC94" s="99"/>
      <c r="BD94" s="99"/>
      <c r="BE94" s="99"/>
      <c r="BF94" s="99"/>
      <c r="BG94" s="99"/>
      <c r="BH94" s="99"/>
      <c r="BI94" s="99"/>
      <c r="BJ94" s="104"/>
      <c r="BK94" s="99"/>
      <c r="BL94" s="99"/>
      <c r="BM94" s="99"/>
      <c r="BN94" s="99"/>
      <c r="BO94" s="99"/>
      <c r="BP94" s="99"/>
      <c r="BQ94" s="99"/>
      <c r="BR94" s="99"/>
      <c r="BS94" s="99" t="s">
        <v>73</v>
      </c>
      <c r="BT94" s="104">
        <v>0</v>
      </c>
      <c r="BU94" s="99"/>
      <c r="BV94" s="99">
        <f t="shared" si="6"/>
        <v>0</v>
      </c>
      <c r="BW94" s="99"/>
      <c r="BX94" s="99"/>
      <c r="BY94" s="99" t="s">
        <v>73</v>
      </c>
      <c r="BZ94" s="159">
        <f t="shared" ref="BZ94:BZ105" si="10">S79+$BV94</f>
        <v>17.136009648320186</v>
      </c>
      <c r="CA94" s="159">
        <f t="shared" si="7"/>
        <v>28.858125024853376</v>
      </c>
      <c r="CB94" s="159">
        <f t="shared" si="7"/>
        <v>20.152310500344335</v>
      </c>
      <c r="CC94" s="159">
        <f t="shared" si="7"/>
        <v>22.567857320529725</v>
      </c>
      <c r="CD94" s="159">
        <f t="shared" si="7"/>
        <v>14.965828831178264</v>
      </c>
      <c r="CE94" s="159">
        <f t="shared" si="7"/>
        <v>6.9181381991925939</v>
      </c>
      <c r="CF94" s="159">
        <f t="shared" si="7"/>
        <v>20.98544197413981</v>
      </c>
      <c r="CG94" s="159">
        <f t="shared" si="7"/>
        <v>26.550868073722388</v>
      </c>
      <c r="CH94" s="159">
        <f t="shared" si="7"/>
        <v>9.5033576031155462</v>
      </c>
      <c r="CI94" s="159">
        <f t="shared" si="7"/>
        <v>10.084551538676894</v>
      </c>
      <c r="CJ94" s="159">
        <f t="shared" si="7"/>
        <v>10.293348853912551</v>
      </c>
      <c r="CK94" s="159">
        <f t="shared" si="7"/>
        <v>18.299672661540889</v>
      </c>
      <c r="CM94" s="99"/>
      <c r="CN94" s="59">
        <v>0</v>
      </c>
      <c r="CO94" s="59">
        <v>0</v>
      </c>
      <c r="CP94" s="59">
        <v>0</v>
      </c>
      <c r="CQ94" s="59">
        <v>0</v>
      </c>
      <c r="CR94" s="59">
        <v>0</v>
      </c>
      <c r="CS94" s="59">
        <v>0</v>
      </c>
      <c r="CT94" s="59">
        <v>0</v>
      </c>
      <c r="CU94" s="59">
        <v>0</v>
      </c>
      <c r="CV94" s="59">
        <v>0</v>
      </c>
      <c r="CW94" s="59">
        <v>0</v>
      </c>
      <c r="CX94" s="59">
        <v>0</v>
      </c>
      <c r="CY94" s="59">
        <v>0</v>
      </c>
    </row>
    <row r="95" spans="1:103" ht="12" customHeight="1" x14ac:dyDescent="0.2">
      <c r="A95" s="104">
        <v>3</v>
      </c>
      <c r="B95" s="104" t="s">
        <v>17</v>
      </c>
      <c r="C95" s="38">
        <v>13.184141802638532</v>
      </c>
      <c r="D95" s="38">
        <v>16.826514346760916</v>
      </c>
      <c r="E95" s="38">
        <v>29.15711036859344</v>
      </c>
      <c r="F95" s="38">
        <v>33.052751281035228</v>
      </c>
      <c r="G95" s="38">
        <v>41.240791771743559</v>
      </c>
      <c r="H95" s="38">
        <v>69.30136165665904</v>
      </c>
      <c r="I95" s="38">
        <v>66.125237737199555</v>
      </c>
      <c r="J95" s="38">
        <v>43.959055344749245</v>
      </c>
      <c r="K95" s="38">
        <v>23.818728748737094</v>
      </c>
      <c r="L95" s="38">
        <v>8.7296848931652669</v>
      </c>
      <c r="M95" s="38">
        <v>4.8446021620574795</v>
      </c>
      <c r="N95" s="38">
        <v>7.4030996903167328</v>
      </c>
      <c r="O95" s="167">
        <f t="shared" si="8"/>
        <v>357.64307980365601</v>
      </c>
      <c r="P95" s="97"/>
      <c r="Q95" s="104">
        <v>3</v>
      </c>
      <c r="R95" s="97" t="s">
        <v>17</v>
      </c>
      <c r="S95" s="166">
        <v>37.921110328640893</v>
      </c>
      <c r="T95" s="166">
        <v>36.100443164444592</v>
      </c>
      <c r="U95" s="166">
        <v>37.953086094226073</v>
      </c>
      <c r="V95" s="166">
        <v>42.486243803698017</v>
      </c>
      <c r="W95" s="166">
        <v>45.396573959933079</v>
      </c>
      <c r="X95" s="166">
        <v>62.007027446515806</v>
      </c>
      <c r="Y95" s="166">
        <v>66.164824703082914</v>
      </c>
      <c r="Z95" s="166">
        <v>59.951351114173349</v>
      </c>
      <c r="AA95" s="166">
        <v>48.650957167869535</v>
      </c>
      <c r="AB95" s="166">
        <v>43.215393160831084</v>
      </c>
      <c r="AC95" s="166">
        <v>41.777681132816923</v>
      </c>
      <c r="AD95" s="166">
        <v>38.671928299592807</v>
      </c>
      <c r="AE95" s="167">
        <f t="shared" si="9"/>
        <v>560.296620375825</v>
      </c>
      <c r="AF95" s="104">
        <v>3</v>
      </c>
      <c r="AG95" s="97" t="s">
        <v>17</v>
      </c>
      <c r="AH95" s="120">
        <v>0</v>
      </c>
      <c r="AI95" s="120">
        <v>0</v>
      </c>
      <c r="AJ95" s="120">
        <v>0</v>
      </c>
      <c r="AK95" s="120">
        <v>0</v>
      </c>
      <c r="AL95" s="120">
        <v>0</v>
      </c>
      <c r="AM95" s="120">
        <v>0</v>
      </c>
      <c r="AN95" s="120">
        <v>0</v>
      </c>
      <c r="AO95" s="120">
        <v>0</v>
      </c>
      <c r="AP95" s="120">
        <v>0</v>
      </c>
      <c r="AQ95" s="120">
        <v>0</v>
      </c>
      <c r="AR95" s="120">
        <v>0</v>
      </c>
      <c r="AS95" s="120">
        <v>0</v>
      </c>
      <c r="AT95" s="99"/>
      <c r="AV95" s="104"/>
      <c r="AW95" s="99"/>
      <c r="AX95" s="99"/>
      <c r="AY95" s="99"/>
      <c r="AZ95" s="99"/>
      <c r="BA95" s="99"/>
      <c r="BB95" s="99"/>
      <c r="BC95" s="99"/>
      <c r="BD95" s="99"/>
      <c r="BE95" s="99"/>
      <c r="BF95" s="99"/>
      <c r="BG95" s="99"/>
      <c r="BH95" s="99"/>
      <c r="BI95" s="99"/>
      <c r="BJ95" s="104"/>
      <c r="BK95" s="99"/>
      <c r="BL95" s="99"/>
      <c r="BM95" s="99"/>
      <c r="BN95" s="99"/>
      <c r="BO95" s="99"/>
      <c r="BP95" s="99"/>
      <c r="BQ95" s="99"/>
      <c r="BR95" s="99"/>
      <c r="BS95" s="99" t="s">
        <v>74</v>
      </c>
      <c r="BT95" s="104">
        <v>0</v>
      </c>
      <c r="BU95" s="99"/>
      <c r="BV95" s="99">
        <f t="shared" si="6"/>
        <v>0</v>
      </c>
      <c r="BW95" s="99"/>
      <c r="BX95" s="99"/>
      <c r="BY95" s="99" t="s">
        <v>74</v>
      </c>
      <c r="BZ95" s="159">
        <f t="shared" si="10"/>
        <v>36.580888291082758</v>
      </c>
      <c r="CA95" s="159">
        <f t="shared" si="7"/>
        <v>36.060121452816688</v>
      </c>
      <c r="CB95" s="159">
        <f t="shared" si="7"/>
        <v>37.953086094226073</v>
      </c>
      <c r="CC95" s="159">
        <f t="shared" si="7"/>
        <v>42.486243803698017</v>
      </c>
      <c r="CD95" s="159">
        <f t="shared" si="7"/>
        <v>45.396573959933079</v>
      </c>
      <c r="CE95" s="159">
        <f t="shared" si="7"/>
        <v>62.007027446515806</v>
      </c>
      <c r="CF95" s="159">
        <f t="shared" si="7"/>
        <v>66.164824703082914</v>
      </c>
      <c r="CG95" s="159">
        <f t="shared" si="7"/>
        <v>49.156391468708229</v>
      </c>
      <c r="CH95" s="159">
        <f t="shared" si="7"/>
        <v>31.915952116706748</v>
      </c>
      <c r="CI95" s="159">
        <f t="shared" si="7"/>
        <v>25.991556741528758</v>
      </c>
      <c r="CJ95" s="159">
        <f t="shared" si="7"/>
        <v>27.404011668282042</v>
      </c>
      <c r="CK95" s="159">
        <f t="shared" si="7"/>
        <v>33.381098301453278</v>
      </c>
      <c r="CM95" s="99"/>
      <c r="CN95" s="59">
        <v>0</v>
      </c>
      <c r="CO95" s="59">
        <v>0</v>
      </c>
      <c r="CP95" s="59">
        <v>0</v>
      </c>
      <c r="CQ95" s="59">
        <v>0</v>
      </c>
      <c r="CR95" s="59">
        <v>0</v>
      </c>
      <c r="CS95" s="59">
        <v>0</v>
      </c>
      <c r="CT95" s="59">
        <v>0</v>
      </c>
      <c r="CU95" s="59">
        <v>0</v>
      </c>
      <c r="CV95" s="59">
        <v>0</v>
      </c>
      <c r="CW95" s="59">
        <v>0</v>
      </c>
      <c r="CX95" s="59">
        <v>0</v>
      </c>
      <c r="CY95" s="59">
        <v>0</v>
      </c>
    </row>
    <row r="96" spans="1:103" ht="12" customHeight="1" x14ac:dyDescent="0.2">
      <c r="A96" s="108">
        <v>4</v>
      </c>
      <c r="B96" s="108" t="s">
        <v>0</v>
      </c>
      <c r="C96" s="38">
        <v>16.955671780619056</v>
      </c>
      <c r="D96" s="38">
        <v>-0.29013948057158245</v>
      </c>
      <c r="E96" s="38">
        <v>1.3653991708463877</v>
      </c>
      <c r="F96" s="38">
        <v>1.765814160865375</v>
      </c>
      <c r="G96" s="38">
        <v>1.3063532814289545</v>
      </c>
      <c r="H96" s="38">
        <v>1.8755605050086785</v>
      </c>
      <c r="I96" s="38">
        <v>7.3067413650644539</v>
      </c>
      <c r="J96" s="38">
        <v>-4.0964669718558753</v>
      </c>
      <c r="K96" s="38">
        <v>11.442695926720177</v>
      </c>
      <c r="L96" s="38">
        <v>16.728686773194809</v>
      </c>
      <c r="M96" s="38">
        <v>17.161492678101965</v>
      </c>
      <c r="N96" s="38">
        <v>15.876980218232305</v>
      </c>
      <c r="O96" s="167">
        <f t="shared" si="8"/>
        <v>87.398789407654704</v>
      </c>
      <c r="P96" s="97"/>
      <c r="Q96" s="108">
        <v>4</v>
      </c>
      <c r="R96" s="109" t="s">
        <v>0</v>
      </c>
      <c r="S96" s="166">
        <v>16.955671780619056</v>
      </c>
      <c r="T96" s="166">
        <v>-0.29013948057158245</v>
      </c>
      <c r="U96" s="166">
        <v>1.3653991708463877</v>
      </c>
      <c r="V96" s="166">
        <v>1.765814160865375</v>
      </c>
      <c r="W96" s="166">
        <v>1.3063532814289545</v>
      </c>
      <c r="X96" s="166">
        <v>1.8755605050086785</v>
      </c>
      <c r="Y96" s="166">
        <v>7.3067413650644539</v>
      </c>
      <c r="Z96" s="166">
        <v>-4.0964669718558753</v>
      </c>
      <c r="AA96" s="166">
        <v>11.442695926720177</v>
      </c>
      <c r="AB96" s="166">
        <v>16.728686773194809</v>
      </c>
      <c r="AC96" s="166">
        <v>17.161492678101965</v>
      </c>
      <c r="AD96" s="166">
        <v>15.876980218232305</v>
      </c>
      <c r="AE96" s="167">
        <f t="shared" si="9"/>
        <v>87.398789407654704</v>
      </c>
      <c r="AF96" s="108">
        <v>4</v>
      </c>
      <c r="AG96" s="109" t="s">
        <v>0</v>
      </c>
      <c r="AH96" s="121">
        <v>9.1593014096802392</v>
      </c>
      <c r="AI96" s="121">
        <v>4.0808324785072188</v>
      </c>
      <c r="AJ96" s="121">
        <v>-0.88261359223274383</v>
      </c>
      <c r="AK96" s="121">
        <v>-2.4277260875394404</v>
      </c>
      <c r="AL96" s="121">
        <v>-6.5530191846573302</v>
      </c>
      <c r="AM96" s="121">
        <v>-8.4456596193895734</v>
      </c>
      <c r="AN96" s="121">
        <v>-4.3049479674759823</v>
      </c>
      <c r="AO96" s="121">
        <v>13.580183368072909</v>
      </c>
      <c r="AP96" s="121">
        <v>26.03482010247366</v>
      </c>
      <c r="AQ96" s="121">
        <v>22.369982168775891</v>
      </c>
      <c r="AR96" s="121">
        <v>15.418202629907455</v>
      </c>
      <c r="AS96" s="121">
        <v>14.038614796111062</v>
      </c>
      <c r="AT96" s="99"/>
      <c r="AV96" s="108"/>
      <c r="AW96" s="99"/>
      <c r="AX96" s="99"/>
      <c r="AY96" s="99"/>
      <c r="AZ96" s="99"/>
      <c r="BA96" s="99"/>
      <c r="BB96" s="99"/>
      <c r="BC96" s="99"/>
      <c r="BD96" s="99"/>
      <c r="BE96" s="99"/>
      <c r="BF96" s="99"/>
      <c r="BG96" s="99"/>
      <c r="BH96" s="99"/>
      <c r="BI96" s="99"/>
      <c r="BJ96" s="108"/>
      <c r="BK96" s="99"/>
      <c r="BL96" s="99"/>
      <c r="BM96" s="99"/>
      <c r="BN96" s="99"/>
      <c r="BO96" s="99"/>
      <c r="BP96" s="99"/>
      <c r="BQ96" s="99"/>
      <c r="BR96" s="99"/>
      <c r="BS96" s="143" t="s">
        <v>75</v>
      </c>
      <c r="BT96" s="108">
        <v>1006.7536902317303</v>
      </c>
      <c r="BU96" s="99"/>
      <c r="BV96" s="162">
        <f t="shared" si="6"/>
        <v>535.63369023173027</v>
      </c>
      <c r="BW96" s="99"/>
      <c r="BX96" s="99"/>
      <c r="BY96" s="143" t="s">
        <v>75</v>
      </c>
      <c r="BZ96" s="164">
        <f t="shared" si="10"/>
        <v>552.58936201234928</v>
      </c>
      <c r="CA96" s="165">
        <f t="shared" si="7"/>
        <v>535.34355075115866</v>
      </c>
      <c r="CB96" s="165">
        <f t="shared" si="7"/>
        <v>536.9990894025766</v>
      </c>
      <c r="CC96" s="165">
        <f t="shared" si="7"/>
        <v>537.39950439259565</v>
      </c>
      <c r="CD96" s="165">
        <f t="shared" si="7"/>
        <v>536.94004351315925</v>
      </c>
      <c r="CE96" s="165">
        <f t="shared" si="7"/>
        <v>537.50925073673898</v>
      </c>
      <c r="CF96" s="165">
        <f t="shared" si="7"/>
        <v>542.94043159679472</v>
      </c>
      <c r="CG96" s="165">
        <f t="shared" si="7"/>
        <v>531.53722325987439</v>
      </c>
      <c r="CH96" s="165">
        <f t="shared" si="7"/>
        <v>547.07638615845042</v>
      </c>
      <c r="CI96" s="165">
        <f t="shared" si="7"/>
        <v>552.36237700492507</v>
      </c>
      <c r="CJ96" s="165">
        <f t="shared" si="7"/>
        <v>552.79518290983219</v>
      </c>
      <c r="CK96" s="165">
        <f t="shared" si="7"/>
        <v>551.51067044996262</v>
      </c>
      <c r="CM96" s="99"/>
      <c r="CN96" s="60">
        <v>83.521780106094965</v>
      </c>
      <c r="CO96" s="60">
        <v>80.848792711420771</v>
      </c>
      <c r="CP96" s="60">
        <v>83.348839590563685</v>
      </c>
      <c r="CQ96" s="60">
        <v>82.83924105712363</v>
      </c>
      <c r="CR96" s="60">
        <v>74.374178431396217</v>
      </c>
      <c r="CS96" s="60">
        <v>82.034887598767526</v>
      </c>
      <c r="CT96" s="60">
        <v>79.230330135604092</v>
      </c>
      <c r="CU96" s="60">
        <v>82.242176753403697</v>
      </c>
      <c r="CV96" s="60">
        <v>80.954502435119466</v>
      </c>
      <c r="CW96" s="60">
        <v>86.045837866616168</v>
      </c>
      <c r="CX96" s="60">
        <v>89.114328963364088</v>
      </c>
      <c r="CY96" s="60">
        <v>88.951486246205548</v>
      </c>
    </row>
    <row r="97" spans="1:103" ht="12" customHeight="1" x14ac:dyDescent="0.2">
      <c r="A97" s="108">
        <v>5</v>
      </c>
      <c r="B97" s="108" t="s">
        <v>16</v>
      </c>
      <c r="C97" s="38">
        <v>0.14683992279880442</v>
      </c>
      <c r="D97" s="38">
        <v>0.15546271544599222</v>
      </c>
      <c r="E97" s="38">
        <v>0.18846689003200368</v>
      </c>
      <c r="F97" s="38">
        <v>0.20076805745139836</v>
      </c>
      <c r="G97" s="38">
        <v>0.21848292274435721</v>
      </c>
      <c r="H97" s="38">
        <v>0.28117431653123504</v>
      </c>
      <c r="I97" s="38">
        <v>0.27774541920049955</v>
      </c>
      <c r="J97" s="38">
        <v>0.22876934367201329</v>
      </c>
      <c r="K97" s="38">
        <v>0.19488385453718138</v>
      </c>
      <c r="L97" s="38">
        <v>0.14750125307455164</v>
      </c>
      <c r="M97" s="38">
        <v>0.13288000716394777</v>
      </c>
      <c r="N97" s="38">
        <v>0.12864534711015096</v>
      </c>
      <c r="O97" s="167">
        <f t="shared" si="8"/>
        <v>2.3016200497621355</v>
      </c>
      <c r="P97" s="97"/>
      <c r="Q97" s="108">
        <v>5</v>
      </c>
      <c r="R97" s="109" t="s">
        <v>16</v>
      </c>
      <c r="S97" s="166">
        <v>0</v>
      </c>
      <c r="T97" s="166">
        <v>0</v>
      </c>
      <c r="U97" s="166">
        <v>0</v>
      </c>
      <c r="V97" s="166">
        <v>0</v>
      </c>
      <c r="W97" s="166">
        <v>0</v>
      </c>
      <c r="X97" s="166">
        <v>0</v>
      </c>
      <c r="Y97" s="166">
        <v>0</v>
      </c>
      <c r="Z97" s="166">
        <v>0</v>
      </c>
      <c r="AA97" s="166">
        <v>0</v>
      </c>
      <c r="AB97" s="166">
        <v>0</v>
      </c>
      <c r="AC97" s="166">
        <v>0</v>
      </c>
      <c r="AD97" s="166">
        <v>0</v>
      </c>
      <c r="AE97" s="167">
        <f t="shared" si="9"/>
        <v>0</v>
      </c>
      <c r="AF97" s="108">
        <v>5</v>
      </c>
      <c r="AG97" s="109" t="s">
        <v>16</v>
      </c>
      <c r="AH97" s="121">
        <v>0.64708609253142413</v>
      </c>
      <c r="AI97" s="121">
        <v>0.36665030240558849</v>
      </c>
      <c r="AJ97" s="121">
        <v>5.6835726708186485E-3</v>
      </c>
      <c r="AK97" s="121">
        <v>2.8421709430404007E-14</v>
      </c>
      <c r="AL97" s="121">
        <v>-2.5069965215607226E-3</v>
      </c>
      <c r="AM97" s="121">
        <v>2.506955616979667E-3</v>
      </c>
      <c r="AN97" s="121">
        <v>3.4720248993039604E-2</v>
      </c>
      <c r="AO97" s="121">
        <v>5.1571940464867794E-2</v>
      </c>
      <c r="AP97" s="121">
        <v>-8.9495220718333712E-2</v>
      </c>
      <c r="AQ97" s="121">
        <v>-0.13815130206761239</v>
      </c>
      <c r="AR97" s="121">
        <v>-5.1958302484891306E-2</v>
      </c>
      <c r="AS97" s="121">
        <v>0.58199848567861068</v>
      </c>
      <c r="AT97" s="99"/>
      <c r="AV97" s="108"/>
      <c r="AW97" s="99"/>
      <c r="AX97" s="99"/>
      <c r="AY97" s="99"/>
      <c r="AZ97" s="99"/>
      <c r="BA97" s="99"/>
      <c r="BB97" s="99"/>
      <c r="BC97" s="99"/>
      <c r="BD97" s="99"/>
      <c r="BE97" s="99"/>
      <c r="BF97" s="99"/>
      <c r="BG97" s="99"/>
      <c r="BH97" s="99"/>
      <c r="BI97" s="99"/>
      <c r="BJ97" s="108"/>
      <c r="BK97" s="99"/>
      <c r="BL97" s="99"/>
      <c r="BM97" s="99"/>
      <c r="BN97" s="99"/>
      <c r="BO97" s="99"/>
      <c r="BP97" s="99"/>
      <c r="BQ97" s="99"/>
      <c r="BR97" s="99"/>
      <c r="BS97" s="143" t="s">
        <v>76</v>
      </c>
      <c r="BT97" s="108">
        <v>44.290684644098121</v>
      </c>
      <c r="BU97" s="99"/>
      <c r="BV97" s="168">
        <f t="shared" si="6"/>
        <v>8.498684644098077</v>
      </c>
      <c r="BW97" s="99"/>
      <c r="BX97" s="99"/>
      <c r="BY97" s="143" t="s">
        <v>76</v>
      </c>
      <c r="BZ97" s="164">
        <f t="shared" si="10"/>
        <v>8.498684644098077</v>
      </c>
      <c r="CA97" s="165">
        <f t="shared" si="7"/>
        <v>8.498684644098077</v>
      </c>
      <c r="CB97" s="165">
        <f t="shared" si="7"/>
        <v>8.498684644098077</v>
      </c>
      <c r="CC97" s="165">
        <f t="shared" si="7"/>
        <v>8.498684644098077</v>
      </c>
      <c r="CD97" s="165">
        <f t="shared" si="7"/>
        <v>8.498684644098077</v>
      </c>
      <c r="CE97" s="165">
        <f t="shared" si="7"/>
        <v>8.498684644098077</v>
      </c>
      <c r="CF97" s="165">
        <f t="shared" si="7"/>
        <v>8.498684644098077</v>
      </c>
      <c r="CG97" s="165">
        <f t="shared" si="7"/>
        <v>8.498684644098077</v>
      </c>
      <c r="CH97" s="165">
        <f t="shared" si="7"/>
        <v>8.498684644098077</v>
      </c>
      <c r="CI97" s="165">
        <f t="shared" si="7"/>
        <v>8.498684644098077</v>
      </c>
      <c r="CJ97" s="165">
        <f t="shared" si="7"/>
        <v>8.498684644098077</v>
      </c>
      <c r="CK97" s="165">
        <f t="shared" si="7"/>
        <v>8.498684644098077</v>
      </c>
      <c r="CM97" s="99"/>
      <c r="CN97" s="60">
        <v>83.410519003434004</v>
      </c>
      <c r="CO97" s="60">
        <v>80.848792711420771</v>
      </c>
      <c r="CP97" s="60">
        <v>83.348839590563685</v>
      </c>
      <c r="CQ97" s="60">
        <v>82.83924105712363</v>
      </c>
      <c r="CR97" s="60">
        <v>74.374178431396217</v>
      </c>
      <c r="CS97" s="60">
        <v>82.034887598767526</v>
      </c>
      <c r="CT97" s="60">
        <v>79.181534910127709</v>
      </c>
      <c r="CU97" s="60">
        <v>82.103193772953389</v>
      </c>
      <c r="CV97" s="60">
        <v>80.717520070792986</v>
      </c>
      <c r="CW97" s="60">
        <v>85.721628361268799</v>
      </c>
      <c r="CX97" s="60">
        <v>88.790305429889486</v>
      </c>
      <c r="CY97" s="60">
        <v>88.712052775095017</v>
      </c>
    </row>
    <row r="98" spans="1:103" ht="12" customHeight="1" x14ac:dyDescent="0.2">
      <c r="A98" s="104">
        <v>6</v>
      </c>
      <c r="B98" s="104" t="s">
        <v>18</v>
      </c>
      <c r="C98" s="38">
        <v>23.81048692611186</v>
      </c>
      <c r="D98" s="38">
        <v>23.3641681687198</v>
      </c>
      <c r="E98" s="38">
        <v>50.335189827392298</v>
      </c>
      <c r="F98" s="38">
        <v>52.668607990812639</v>
      </c>
      <c r="G98" s="38">
        <v>65.821354620534123</v>
      </c>
      <c r="H98" s="38">
        <v>106.99173025017549</v>
      </c>
      <c r="I98" s="38">
        <v>112.58273629432922</v>
      </c>
      <c r="J98" s="38">
        <v>57.192820556416791</v>
      </c>
      <c r="K98" s="38">
        <v>32.74378013487371</v>
      </c>
      <c r="L98" s="38">
        <v>26.276006691130881</v>
      </c>
      <c r="M98" s="38">
        <v>26.112632918987241</v>
      </c>
      <c r="N98" s="38">
        <v>23.843305348548899</v>
      </c>
      <c r="O98" s="167">
        <f t="shared" si="8"/>
        <v>601.74281972803306</v>
      </c>
      <c r="P98" s="97"/>
      <c r="Q98" s="104">
        <v>6</v>
      </c>
      <c r="R98" s="97" t="s">
        <v>18</v>
      </c>
      <c r="S98" s="166">
        <v>7.1796170738358747</v>
      </c>
      <c r="T98" s="166">
        <v>8.7120454891981751</v>
      </c>
      <c r="U98" s="166">
        <v>36.614309596922695</v>
      </c>
      <c r="V98" s="166">
        <v>38.79356607074314</v>
      </c>
      <c r="W98" s="166">
        <v>52.828481280408184</v>
      </c>
      <c r="X98" s="166">
        <v>90.425797439616616</v>
      </c>
      <c r="Y98" s="166">
        <v>96.609253466798862</v>
      </c>
      <c r="Z98" s="166">
        <v>39.867921438051646</v>
      </c>
      <c r="AA98" s="166">
        <v>12.659517510950401</v>
      </c>
      <c r="AB98" s="166">
        <v>6.5976851342988638</v>
      </c>
      <c r="AC98" s="166">
        <v>5.6498432644152352</v>
      </c>
      <c r="AD98" s="166">
        <v>5.6633429959042978</v>
      </c>
      <c r="AE98" s="167">
        <f t="shared" si="9"/>
        <v>401.60138076114396</v>
      </c>
      <c r="AF98" s="104">
        <v>6</v>
      </c>
      <c r="AG98" s="97" t="s">
        <v>18</v>
      </c>
      <c r="AH98" s="120">
        <v>0</v>
      </c>
      <c r="AI98" s="120">
        <v>0</v>
      </c>
      <c r="AJ98" s="120">
        <v>0</v>
      </c>
      <c r="AK98" s="120">
        <v>0</v>
      </c>
      <c r="AL98" s="120">
        <v>0</v>
      </c>
      <c r="AM98" s="120">
        <v>0</v>
      </c>
      <c r="AN98" s="120">
        <v>0</v>
      </c>
      <c r="AO98" s="120">
        <v>0</v>
      </c>
      <c r="AP98" s="120">
        <v>0</v>
      </c>
      <c r="AQ98" s="120">
        <v>0</v>
      </c>
      <c r="AR98" s="120">
        <v>0</v>
      </c>
      <c r="AS98" s="120">
        <v>0</v>
      </c>
      <c r="AT98" s="99"/>
      <c r="AV98" s="104"/>
      <c r="AW98" s="99"/>
      <c r="AX98" s="99"/>
      <c r="AY98" s="99"/>
      <c r="AZ98" s="99"/>
      <c r="BA98" s="99"/>
      <c r="BB98" s="99"/>
      <c r="BC98" s="99"/>
      <c r="BD98" s="99"/>
      <c r="BE98" s="99"/>
      <c r="BF98" s="99"/>
      <c r="BG98" s="99"/>
      <c r="BH98" s="99"/>
      <c r="BI98" s="99"/>
      <c r="BJ98" s="104"/>
      <c r="BK98" s="99"/>
      <c r="BL98" s="99"/>
      <c r="BM98" s="99"/>
      <c r="BN98" s="99"/>
      <c r="BO98" s="99"/>
      <c r="BP98" s="99"/>
      <c r="BQ98" s="99"/>
      <c r="BR98" s="99"/>
      <c r="BS98" s="99" t="s">
        <v>77</v>
      </c>
      <c r="BT98" s="104">
        <v>0</v>
      </c>
      <c r="BU98" s="99"/>
      <c r="BV98" s="99">
        <f t="shared" si="6"/>
        <v>0</v>
      </c>
      <c r="BW98" s="99"/>
      <c r="BX98" s="99"/>
      <c r="BY98" s="99" t="s">
        <v>77</v>
      </c>
      <c r="BZ98" s="159">
        <f t="shared" si="10"/>
        <v>6.1980958007442517</v>
      </c>
      <c r="CA98" s="159">
        <f t="shared" si="7"/>
        <v>7.4839599362425311</v>
      </c>
      <c r="CB98" s="159">
        <f t="shared" si="7"/>
        <v>33.722406900089467</v>
      </c>
      <c r="CC98" s="159">
        <f t="shared" si="7"/>
        <v>35.839616883724993</v>
      </c>
      <c r="CD98" s="159">
        <f t="shared" si="7"/>
        <v>48.91587901512365</v>
      </c>
      <c r="CE98" s="159">
        <f t="shared" si="7"/>
        <v>81.674099958670027</v>
      </c>
      <c r="CF98" s="159">
        <f t="shared" si="7"/>
        <v>85.165741255487475</v>
      </c>
      <c r="CG98" s="159">
        <f t="shared" si="7"/>
        <v>34.645117678375776</v>
      </c>
      <c r="CH98" s="159">
        <f t="shared" si="7"/>
        <v>10.666191024964736</v>
      </c>
      <c r="CI98" s="159">
        <f t="shared" si="7"/>
        <v>5.166438558416889</v>
      </c>
      <c r="CJ98" s="159">
        <f t="shared" si="7"/>
        <v>4.1540195104425663</v>
      </c>
      <c r="CK98" s="159">
        <f t="shared" si="7"/>
        <v>4.3775817466593487</v>
      </c>
      <c r="CM98" s="99"/>
      <c r="CN98" s="59">
        <v>0</v>
      </c>
      <c r="CO98" s="59">
        <v>0</v>
      </c>
      <c r="CP98" s="59">
        <v>0</v>
      </c>
      <c r="CQ98" s="59">
        <v>0</v>
      </c>
      <c r="CR98" s="59">
        <v>0</v>
      </c>
      <c r="CS98" s="59">
        <v>0</v>
      </c>
      <c r="CT98" s="59">
        <v>0</v>
      </c>
      <c r="CU98" s="59">
        <v>0</v>
      </c>
      <c r="CV98" s="59">
        <v>0</v>
      </c>
      <c r="CW98" s="59">
        <v>0</v>
      </c>
      <c r="CX98" s="59">
        <v>0</v>
      </c>
      <c r="CY98" s="59">
        <v>0</v>
      </c>
    </row>
    <row r="99" spans="1:103" ht="12" customHeight="1" x14ac:dyDescent="0.2">
      <c r="A99" s="108">
        <v>7</v>
      </c>
      <c r="B99" s="108" t="s">
        <v>19</v>
      </c>
      <c r="C99" s="38">
        <v>-6.9200785319951201</v>
      </c>
      <c r="D99" s="38">
        <v>16.049272537236721</v>
      </c>
      <c r="E99" s="38">
        <v>38.641194930462795</v>
      </c>
      <c r="F99" s="38">
        <v>40.177758152752283</v>
      </c>
      <c r="G99" s="38">
        <v>55.143730219073475</v>
      </c>
      <c r="H99" s="38">
        <v>110.22422138677574</v>
      </c>
      <c r="I99" s="38">
        <v>134.57878320327734</v>
      </c>
      <c r="J99" s="38">
        <v>75.471246997364176</v>
      </c>
      <c r="K99" s="38">
        <v>12.701695516978081</v>
      </c>
      <c r="L99" s="38">
        <v>-6.3268806514853946</v>
      </c>
      <c r="M99" s="38">
        <v>-9.52434292873399</v>
      </c>
      <c r="N99" s="38">
        <v>-8.6249788932998221</v>
      </c>
      <c r="O99" s="167">
        <f t="shared" si="8"/>
        <v>451.59162193840626</v>
      </c>
      <c r="P99" s="97"/>
      <c r="Q99" s="108">
        <v>7</v>
      </c>
      <c r="R99" s="109" t="s">
        <v>19</v>
      </c>
      <c r="S99" s="166">
        <v>3.5129447724268079</v>
      </c>
      <c r="T99" s="166">
        <v>24.768806159771053</v>
      </c>
      <c r="U99" s="166">
        <v>44.123647724118321</v>
      </c>
      <c r="V99" s="166">
        <v>44.698395302917937</v>
      </c>
      <c r="W99" s="166">
        <v>57.082948191209262</v>
      </c>
      <c r="X99" s="166">
        <v>111.4441658509745</v>
      </c>
      <c r="Y99" s="166">
        <v>139.01104774866707</v>
      </c>
      <c r="Z99" s="166">
        <v>74.747831494874319</v>
      </c>
      <c r="AA99" s="166">
        <v>-1.1168453119824733</v>
      </c>
      <c r="AB99" s="166">
        <v>-30.92741030266999</v>
      </c>
      <c r="AC99" s="166">
        <v>-32.516036541116932</v>
      </c>
      <c r="AD99" s="166">
        <v>-6.8424364494292593</v>
      </c>
      <c r="AE99" s="167">
        <f t="shared" si="9"/>
        <v>427.98705863976056</v>
      </c>
      <c r="AF99" s="108">
        <v>7</v>
      </c>
      <c r="AG99" s="109" t="s">
        <v>19</v>
      </c>
      <c r="AH99" s="121">
        <v>4.6819739653234933</v>
      </c>
      <c r="AI99" s="121">
        <v>28.468280760399722</v>
      </c>
      <c r="AJ99" s="121">
        <v>38.230623766152277</v>
      </c>
      <c r="AK99" s="121">
        <v>31.236226025812954</v>
      </c>
      <c r="AL99" s="121">
        <v>28.324118059944368</v>
      </c>
      <c r="AM99" s="121">
        <v>51.356332727811093</v>
      </c>
      <c r="AN99" s="121">
        <v>28.733546186767171</v>
      </c>
      <c r="AO99" s="121">
        <v>10.495158640238401</v>
      </c>
      <c r="AP99" s="121">
        <v>-15.776705174688828</v>
      </c>
      <c r="AQ99" s="121">
        <v>-49.675598805658382</v>
      </c>
      <c r="AR99" s="121">
        <v>-52.725103963359402</v>
      </c>
      <c r="AS99" s="121">
        <v>-20.020445010222716</v>
      </c>
      <c r="AT99" s="99"/>
      <c r="AV99" s="108"/>
      <c r="AW99" s="99"/>
      <c r="AX99" s="99"/>
      <c r="AY99" s="99"/>
      <c r="AZ99" s="99"/>
      <c r="BA99" s="99"/>
      <c r="BB99" s="99"/>
      <c r="BC99" s="99"/>
      <c r="BD99" s="99"/>
      <c r="BE99" s="99"/>
      <c r="BF99" s="99"/>
      <c r="BG99" s="99"/>
      <c r="BH99" s="99"/>
      <c r="BI99" s="99"/>
      <c r="BJ99" s="108"/>
      <c r="BK99" s="99"/>
      <c r="BL99" s="99"/>
      <c r="BM99" s="99"/>
      <c r="BN99" s="99"/>
      <c r="BO99" s="99"/>
      <c r="BP99" s="99"/>
      <c r="BQ99" s="99"/>
      <c r="BR99" s="99"/>
      <c r="BS99" s="143" t="s">
        <v>78</v>
      </c>
      <c r="BT99" s="108">
        <v>1194.4420235493906</v>
      </c>
      <c r="BU99" s="99"/>
      <c r="BV99" s="162">
        <f t="shared" si="6"/>
        <v>602.77617694939056</v>
      </c>
      <c r="BW99" s="99"/>
      <c r="BX99" s="99"/>
      <c r="BY99" s="143" t="s">
        <v>78</v>
      </c>
      <c r="BZ99" s="164">
        <f>S84+$BV99</f>
        <v>606.28912172181742</v>
      </c>
      <c r="CA99" s="165">
        <f t="shared" si="7"/>
        <v>627.54498310916165</v>
      </c>
      <c r="CB99" s="165">
        <f t="shared" si="7"/>
        <v>646.89982467350887</v>
      </c>
      <c r="CC99" s="165">
        <f t="shared" si="7"/>
        <v>647.47457225230846</v>
      </c>
      <c r="CD99" s="165">
        <f t="shared" si="7"/>
        <v>659.85912514059987</v>
      </c>
      <c r="CE99" s="165">
        <f t="shared" si="7"/>
        <v>714.22034280036507</v>
      </c>
      <c r="CF99" s="165">
        <f t="shared" si="7"/>
        <v>741.78722469805757</v>
      </c>
      <c r="CG99" s="165">
        <f t="shared" si="7"/>
        <v>677.52400844426484</v>
      </c>
      <c r="CH99" s="165">
        <f t="shared" si="7"/>
        <v>601.65933163740806</v>
      </c>
      <c r="CI99" s="165">
        <f t="shared" si="7"/>
        <v>571.84876664672061</v>
      </c>
      <c r="CJ99" s="165">
        <f t="shared" si="7"/>
        <v>570.26014040827363</v>
      </c>
      <c r="CK99" s="165">
        <f t="shared" si="7"/>
        <v>595.93374049996135</v>
      </c>
      <c r="CM99" s="99"/>
      <c r="CN99" s="60">
        <v>111.15065747758358</v>
      </c>
      <c r="CO99" s="60">
        <v>108.22289253235238</v>
      </c>
      <c r="CP99" s="60">
        <v>111.83554390394514</v>
      </c>
      <c r="CQ99" s="60">
        <v>111.2643001132078</v>
      </c>
      <c r="CR99" s="60">
        <v>99.997347646562176</v>
      </c>
      <c r="CS99" s="60">
        <v>110.05784580326852</v>
      </c>
      <c r="CT99" s="60">
        <v>105.92429698172263</v>
      </c>
      <c r="CU99" s="60">
        <v>109.45361801336099</v>
      </c>
      <c r="CV99" s="60">
        <v>107.10060799936539</v>
      </c>
      <c r="CW99" s="60">
        <v>113.38137685252536</v>
      </c>
      <c r="CX99" s="60">
        <v>116.10303016952587</v>
      </c>
      <c r="CY99" s="60">
        <v>114.77999016080399</v>
      </c>
    </row>
    <row r="100" spans="1:103" ht="12" customHeight="1" x14ac:dyDescent="0.2">
      <c r="A100" s="108">
        <v>8</v>
      </c>
      <c r="B100" s="108" t="s">
        <v>23</v>
      </c>
      <c r="C100" s="38">
        <v>7.0026965062547362</v>
      </c>
      <c r="D100" s="38">
        <v>5.9147678248741178</v>
      </c>
      <c r="E100" s="38">
        <v>8.5817164592871205</v>
      </c>
      <c r="F100" s="38">
        <v>11.211950021578158</v>
      </c>
      <c r="G100" s="38">
        <v>17.435155639914989</v>
      </c>
      <c r="H100" s="38">
        <v>27.757083338613146</v>
      </c>
      <c r="I100" s="38">
        <v>27.290377503255442</v>
      </c>
      <c r="J100" s="38">
        <v>19.818951805295111</v>
      </c>
      <c r="K100" s="38">
        <v>15.011840592592053</v>
      </c>
      <c r="L100" s="38">
        <v>9.9199039662164754</v>
      </c>
      <c r="M100" s="38">
        <v>8.1319526074712378</v>
      </c>
      <c r="N100" s="38">
        <v>5.9284192293630671</v>
      </c>
      <c r="O100" s="167">
        <f t="shared" si="8"/>
        <v>164.0048154947157</v>
      </c>
      <c r="P100" s="97"/>
      <c r="Q100" s="108">
        <v>8</v>
      </c>
      <c r="R100" s="109" t="s">
        <v>23</v>
      </c>
      <c r="S100" s="166">
        <v>3.0167239483131465</v>
      </c>
      <c r="T100" s="166">
        <v>4.0415555590069534</v>
      </c>
      <c r="U100" s="166">
        <v>7.7966282778507559</v>
      </c>
      <c r="V100" s="166">
        <v>11.0790323965028</v>
      </c>
      <c r="W100" s="166">
        <v>14.609008621695898</v>
      </c>
      <c r="X100" s="166">
        <v>24.937420032349163</v>
      </c>
      <c r="Y100" s="166">
        <v>25.215320997743124</v>
      </c>
      <c r="Z100" s="166">
        <v>15.795383988307258</v>
      </c>
      <c r="AA100" s="166">
        <v>7.9285915636006319</v>
      </c>
      <c r="AB100" s="166">
        <v>3.7621761280073756</v>
      </c>
      <c r="AC100" s="166">
        <v>2.6051470389754865</v>
      </c>
      <c r="AD100" s="166">
        <v>1.721664324921524</v>
      </c>
      <c r="AE100" s="167">
        <f t="shared" si="9"/>
        <v>122.50865287727413</v>
      </c>
      <c r="AF100" s="108">
        <v>8</v>
      </c>
      <c r="AG100" s="109" t="s">
        <v>23</v>
      </c>
      <c r="AH100" s="121">
        <v>-1.9101625028626614</v>
      </c>
      <c r="AI100" s="121">
        <v>0.69927148299426278</v>
      </c>
      <c r="AJ100" s="121">
        <v>6.0361461980774607</v>
      </c>
      <c r="AK100" s="121">
        <v>8.0320045527014656</v>
      </c>
      <c r="AL100" s="121">
        <v>2.7590200457690628</v>
      </c>
      <c r="AM100" s="121">
        <v>6.2591323346361492</v>
      </c>
      <c r="AN100" s="121">
        <v>3.63122205474167</v>
      </c>
      <c r="AO100" s="121">
        <v>0.41166730215613256</v>
      </c>
      <c r="AP100" s="121">
        <v>-0.46573312585925919</v>
      </c>
      <c r="AQ100" s="121">
        <v>-3.0876800096463342</v>
      </c>
      <c r="AR100" s="121">
        <v>-3.3353615425360061</v>
      </c>
      <c r="AS100" s="121">
        <v>-3.387401250017092</v>
      </c>
      <c r="AT100" s="99"/>
      <c r="AV100" s="108"/>
      <c r="AW100" s="99"/>
      <c r="AX100" s="99"/>
      <c r="AY100" s="99"/>
      <c r="AZ100" s="99"/>
      <c r="BA100" s="99"/>
      <c r="BB100" s="99"/>
      <c r="BC100" s="99"/>
      <c r="BD100" s="99"/>
      <c r="BE100" s="99"/>
      <c r="BF100" s="99"/>
      <c r="BG100" s="99"/>
      <c r="BH100" s="99"/>
      <c r="BI100" s="99"/>
      <c r="BJ100" s="108"/>
      <c r="BK100" s="99"/>
      <c r="BL100" s="99"/>
      <c r="BM100" s="99"/>
      <c r="BN100" s="99"/>
      <c r="BO100" s="99"/>
      <c r="BP100" s="99"/>
      <c r="BQ100" s="99"/>
      <c r="BR100" s="99"/>
      <c r="BS100" s="143" t="s">
        <v>79</v>
      </c>
      <c r="BT100" s="108">
        <v>921.19064266655471</v>
      </c>
      <c r="BU100" s="99"/>
      <c r="BV100" s="162">
        <f t="shared" si="6"/>
        <v>189.33480933322141</v>
      </c>
      <c r="BW100" s="99"/>
      <c r="BX100" s="99"/>
      <c r="BY100" s="143" t="s">
        <v>79</v>
      </c>
      <c r="BZ100" s="164">
        <f t="shared" si="10"/>
        <v>192.35153328153456</v>
      </c>
      <c r="CA100" s="165">
        <f t="shared" si="7"/>
        <v>193.37636489222837</v>
      </c>
      <c r="CB100" s="165">
        <f t="shared" si="7"/>
        <v>197.13143761107216</v>
      </c>
      <c r="CC100" s="165">
        <f t="shared" si="7"/>
        <v>200.41384172972423</v>
      </c>
      <c r="CD100" s="165">
        <f t="shared" si="7"/>
        <v>203.94381795491731</v>
      </c>
      <c r="CE100" s="165">
        <f t="shared" si="7"/>
        <v>214.27222936557058</v>
      </c>
      <c r="CF100" s="165">
        <f t="shared" si="7"/>
        <v>214.55013033096455</v>
      </c>
      <c r="CG100" s="165">
        <f t="shared" si="7"/>
        <v>205.13019332152868</v>
      </c>
      <c r="CH100" s="165">
        <f t="shared" si="7"/>
        <v>197.26340089682205</v>
      </c>
      <c r="CI100" s="165">
        <f t="shared" si="7"/>
        <v>193.0969854612288</v>
      </c>
      <c r="CJ100" s="165">
        <f t="shared" si="7"/>
        <v>191.93995637219689</v>
      </c>
      <c r="CK100" s="165">
        <f t="shared" si="7"/>
        <v>191.05647365814295</v>
      </c>
      <c r="CM100" s="99"/>
      <c r="CN100" s="60">
        <v>113.09526625460545</v>
      </c>
      <c r="CO100" s="60">
        <v>109.52401167560613</v>
      </c>
      <c r="CP100" s="60">
        <v>113.21387085849784</v>
      </c>
      <c r="CQ100" s="60">
        <v>113.26139235563544</v>
      </c>
      <c r="CR100" s="60">
        <v>102.35767707638567</v>
      </c>
      <c r="CS100" s="60">
        <v>113.40315127806517</v>
      </c>
      <c r="CT100" s="60">
        <v>109.86078065035173</v>
      </c>
      <c r="CU100" s="60">
        <v>113.65342876539914</v>
      </c>
      <c r="CV100" s="60">
        <v>110.1547397667043</v>
      </c>
      <c r="CW100" s="60">
        <v>113.99631452958664</v>
      </c>
      <c r="CX100" s="60">
        <v>114.05626437335332</v>
      </c>
      <c r="CY100" s="60">
        <v>110.35385897027761</v>
      </c>
    </row>
    <row r="101" spans="1:103" ht="12" customHeight="1" x14ac:dyDescent="0.2">
      <c r="A101" s="108">
        <v>9</v>
      </c>
      <c r="B101" s="108" t="s">
        <v>24</v>
      </c>
      <c r="C101" s="38">
        <v>0.64340757348998068</v>
      </c>
      <c r="D101" s="38">
        <v>0.76946019193960069</v>
      </c>
      <c r="E101" s="38">
        <v>1.1205588620329934</v>
      </c>
      <c r="F101" s="38">
        <v>1.1942817802362811</v>
      </c>
      <c r="G101" s="38">
        <v>1.4105273400875262</v>
      </c>
      <c r="H101" s="38">
        <v>2.1098799114234907</v>
      </c>
      <c r="I101" s="38">
        <v>2.2272111513898949</v>
      </c>
      <c r="J101" s="38">
        <v>1.5102790061254723</v>
      </c>
      <c r="K101" s="38">
        <v>0.98059236607630851</v>
      </c>
      <c r="L101" s="38">
        <v>0.67216375927097261</v>
      </c>
      <c r="M101" s="38">
        <v>0.59589345334168797</v>
      </c>
      <c r="N101" s="38">
        <v>0.56462827469133003</v>
      </c>
      <c r="O101" s="167">
        <f t="shared" si="8"/>
        <v>13.798883670105539</v>
      </c>
      <c r="P101" s="97"/>
      <c r="Q101" s="108">
        <v>9</v>
      </c>
      <c r="R101" s="109" t="s">
        <v>24</v>
      </c>
      <c r="S101" s="166">
        <v>0</v>
      </c>
      <c r="T101" s="166">
        <v>0</v>
      </c>
      <c r="U101" s="166">
        <v>0</v>
      </c>
      <c r="V101" s="166">
        <v>0</v>
      </c>
      <c r="W101" s="166">
        <v>0</v>
      </c>
      <c r="X101" s="166">
        <v>0</v>
      </c>
      <c r="Y101" s="166">
        <v>0</v>
      </c>
      <c r="Z101" s="166">
        <v>0</v>
      </c>
      <c r="AA101" s="166">
        <v>0</v>
      </c>
      <c r="AB101" s="166">
        <v>0</v>
      </c>
      <c r="AC101" s="166">
        <v>0</v>
      </c>
      <c r="AD101" s="166">
        <v>0</v>
      </c>
      <c r="AE101" s="167">
        <f t="shared" si="9"/>
        <v>0</v>
      </c>
      <c r="AF101" s="108">
        <v>9</v>
      </c>
      <c r="AG101" s="109" t="s">
        <v>24</v>
      </c>
      <c r="AH101" s="121">
        <v>0.21468893930472177</v>
      </c>
      <c r="AI101" s="121">
        <v>2.0759656128177539E-3</v>
      </c>
      <c r="AJ101" s="121">
        <v>4.5925505575155512E-2</v>
      </c>
      <c r="AK101" s="121">
        <v>2.4638323218880487E-2</v>
      </c>
      <c r="AL101" s="121">
        <v>0.11112820512821031</v>
      </c>
      <c r="AM101" s="121">
        <v>-5.6843418860808015E-14</v>
      </c>
      <c r="AN101" s="121">
        <v>0.17602790833348081</v>
      </c>
      <c r="AO101" s="121">
        <v>0.38357957000005172</v>
      </c>
      <c r="AP101" s="121">
        <v>0.58021300482566573</v>
      </c>
      <c r="AQ101" s="121">
        <v>0.66162744707779098</v>
      </c>
      <c r="AR101" s="121">
        <v>0.64846904972007735</v>
      </c>
      <c r="AS101" s="121">
        <v>0.40010746750373016</v>
      </c>
      <c r="AT101" s="99"/>
      <c r="AV101" s="108"/>
      <c r="AW101" s="99"/>
      <c r="AX101" s="99"/>
      <c r="AY101" s="99"/>
      <c r="AZ101" s="99"/>
      <c r="BA101" s="99"/>
      <c r="BB101" s="99"/>
      <c r="BC101" s="99"/>
      <c r="BD101" s="99"/>
      <c r="BE101" s="99"/>
      <c r="BF101" s="99"/>
      <c r="BG101" s="99"/>
      <c r="BH101" s="99"/>
      <c r="BI101" s="99"/>
      <c r="BJ101" s="108"/>
      <c r="BK101" s="99"/>
      <c r="BL101" s="99"/>
      <c r="BM101" s="99"/>
      <c r="BN101" s="99"/>
      <c r="BO101" s="99"/>
      <c r="BP101" s="99"/>
      <c r="BQ101" s="99"/>
      <c r="BR101" s="99"/>
      <c r="BS101" s="143" t="s">
        <v>80</v>
      </c>
      <c r="BT101" s="108">
        <v>58.029586136516322</v>
      </c>
      <c r="BU101" s="99"/>
      <c r="BV101" s="162">
        <f t="shared" si="6"/>
        <v>4.1495861365163194</v>
      </c>
      <c r="BW101" s="99"/>
      <c r="BX101" s="99"/>
      <c r="BY101" s="143" t="s">
        <v>80</v>
      </c>
      <c r="BZ101" s="164">
        <f t="shared" si="10"/>
        <v>4.1495861365163194</v>
      </c>
      <c r="CA101" s="165">
        <f t="shared" si="7"/>
        <v>4.1495861365163194</v>
      </c>
      <c r="CB101" s="165">
        <f t="shared" si="7"/>
        <v>4.1495861365163194</v>
      </c>
      <c r="CC101" s="165">
        <f t="shared" si="7"/>
        <v>4.1495861365163194</v>
      </c>
      <c r="CD101" s="165">
        <f t="shared" si="7"/>
        <v>4.1495861365163194</v>
      </c>
      <c r="CE101" s="165">
        <f t="shared" si="7"/>
        <v>4.1495861365163194</v>
      </c>
      <c r="CF101" s="165">
        <f t="shared" si="7"/>
        <v>4.1495861365163194</v>
      </c>
      <c r="CG101" s="165">
        <f t="shared" si="7"/>
        <v>4.1495861365163194</v>
      </c>
      <c r="CH101" s="165">
        <f t="shared" si="7"/>
        <v>4.1495861365163194</v>
      </c>
      <c r="CI101" s="165">
        <f t="shared" si="7"/>
        <v>4.1495861365163194</v>
      </c>
      <c r="CJ101" s="165">
        <f t="shared" si="7"/>
        <v>4.1495861365163194</v>
      </c>
      <c r="CK101" s="165">
        <f t="shared" si="7"/>
        <v>4.1495861365163194</v>
      </c>
      <c r="CM101" s="99"/>
      <c r="CN101" s="60">
        <v>112.37144447196016</v>
      </c>
      <c r="CO101" s="60">
        <v>109.22241178502824</v>
      </c>
      <c r="CP101" s="60">
        <v>113.21387085849784</v>
      </c>
      <c r="CQ101" s="60">
        <v>113.26139235563545</v>
      </c>
      <c r="CR101" s="60">
        <v>102.35767707638567</v>
      </c>
      <c r="CS101" s="60">
        <v>113.40315127806517</v>
      </c>
      <c r="CT101" s="60">
        <v>109.68475274201839</v>
      </c>
      <c r="CU101" s="60">
        <v>113.26984919539916</v>
      </c>
      <c r="CV101" s="60">
        <v>109.56698486290429</v>
      </c>
      <c r="CW101" s="60">
        <v>113.24966347768664</v>
      </c>
      <c r="CX101" s="60">
        <v>113.36810308978332</v>
      </c>
      <c r="CY101" s="60">
        <v>109.89910448577763</v>
      </c>
    </row>
    <row r="102" spans="1:103" ht="12" customHeight="1" x14ac:dyDescent="0.2">
      <c r="A102" s="104">
        <v>10</v>
      </c>
      <c r="B102" s="104" t="s">
        <v>25</v>
      </c>
      <c r="C102" s="38">
        <v>50.737799967117411</v>
      </c>
      <c r="D102" s="38">
        <v>43.598518354926483</v>
      </c>
      <c r="E102" s="38">
        <v>33.433653540942515</v>
      </c>
      <c r="F102" s="38">
        <v>72.648676375344678</v>
      </c>
      <c r="G102" s="38">
        <v>19.246983721261245</v>
      </c>
      <c r="H102" s="38">
        <v>-56.85496358668712</v>
      </c>
      <c r="I102" s="38">
        <v>-103.03508684796753</v>
      </c>
      <c r="J102" s="38">
        <v>-38.655118384950981</v>
      </c>
      <c r="K102" s="38">
        <v>40.891373425747332</v>
      </c>
      <c r="L102" s="38">
        <v>119.35792719028063</v>
      </c>
      <c r="M102" s="38">
        <v>117.66611551515382</v>
      </c>
      <c r="N102" s="38">
        <v>76.058052351458031</v>
      </c>
      <c r="O102" s="167">
        <f t="shared" si="8"/>
        <v>375.09393162262654</v>
      </c>
      <c r="P102" s="97"/>
      <c r="Q102" s="104">
        <v>10</v>
      </c>
      <c r="R102" s="97" t="s">
        <v>25</v>
      </c>
      <c r="S102" s="166">
        <v>50.515923441440975</v>
      </c>
      <c r="T102" s="166">
        <v>69.269768406599553</v>
      </c>
      <c r="U102" s="166">
        <v>71.168678751271216</v>
      </c>
      <c r="V102" s="166">
        <v>106.15095312150494</v>
      </c>
      <c r="W102" s="166">
        <v>42.741627280686444</v>
      </c>
      <c r="X102" s="166">
        <v>-33.65557217662419</v>
      </c>
      <c r="Y102" s="166">
        <v>-95.599410698683201</v>
      </c>
      <c r="Z102" s="166">
        <v>-52.819150563843351</v>
      </c>
      <c r="AA102" s="166">
        <v>15.561207402597219</v>
      </c>
      <c r="AB102" s="166">
        <v>68.419432725031214</v>
      </c>
      <c r="AC102" s="166">
        <v>62.436068947344708</v>
      </c>
      <c r="AD102" s="166">
        <v>54.956843217449645</v>
      </c>
      <c r="AE102" s="167">
        <f t="shared" si="9"/>
        <v>359.14636985477517</v>
      </c>
      <c r="AF102" s="104">
        <v>10</v>
      </c>
      <c r="AG102" s="97" t="s">
        <v>25</v>
      </c>
      <c r="AH102" s="120">
        <v>0</v>
      </c>
      <c r="AI102" s="120">
        <v>0</v>
      </c>
      <c r="AJ102" s="120">
        <v>0</v>
      </c>
      <c r="AK102" s="120">
        <v>0</v>
      </c>
      <c r="AL102" s="120">
        <v>0</v>
      </c>
      <c r="AM102" s="120">
        <v>0</v>
      </c>
      <c r="AN102" s="120">
        <v>0</v>
      </c>
      <c r="AO102" s="120">
        <v>0</v>
      </c>
      <c r="AP102" s="120">
        <v>0</v>
      </c>
      <c r="AQ102" s="120">
        <v>0</v>
      </c>
      <c r="AR102" s="120">
        <v>0</v>
      </c>
      <c r="AS102" s="120">
        <v>0</v>
      </c>
      <c r="AT102" s="99"/>
      <c r="AV102" s="104"/>
      <c r="AW102" s="99"/>
      <c r="AX102" s="99"/>
      <c r="AY102" s="99"/>
      <c r="AZ102" s="99"/>
      <c r="BA102" s="99"/>
      <c r="BB102" s="99"/>
      <c r="BC102" s="99"/>
      <c r="BD102" s="99"/>
      <c r="BE102" s="99"/>
      <c r="BF102" s="99"/>
      <c r="BG102" s="99"/>
      <c r="BH102" s="99"/>
      <c r="BI102" s="99"/>
      <c r="BJ102" s="104"/>
      <c r="BK102" s="99"/>
      <c r="BL102" s="99"/>
      <c r="BM102" s="99"/>
      <c r="BN102" s="99"/>
      <c r="BO102" s="99"/>
      <c r="BP102" s="99"/>
      <c r="BQ102" s="99"/>
      <c r="BR102" s="99"/>
      <c r="BS102" s="99" t="s">
        <v>81</v>
      </c>
      <c r="BT102" s="104">
        <v>0</v>
      </c>
      <c r="BU102" s="99"/>
      <c r="BV102" s="99">
        <f t="shared" si="6"/>
        <v>0</v>
      </c>
      <c r="BW102" s="99"/>
      <c r="BX102" s="99"/>
      <c r="BY102" s="99" t="s">
        <v>81</v>
      </c>
      <c r="BZ102" s="159">
        <f t="shared" si="10"/>
        <v>49.349992593999822</v>
      </c>
      <c r="CA102" s="159">
        <f t="shared" si="7"/>
        <v>68.495148846131542</v>
      </c>
      <c r="CB102" s="159">
        <f t="shared" si="7"/>
        <v>69.698001913986715</v>
      </c>
      <c r="CC102" s="159">
        <f t="shared" si="7"/>
        <v>104.30756979636263</v>
      </c>
      <c r="CD102" s="159">
        <f t="shared" si="7"/>
        <v>40.152066966444195</v>
      </c>
      <c r="CE102" s="159">
        <f t="shared" si="7"/>
        <v>-37.400640997565887</v>
      </c>
      <c r="CF102" s="159">
        <f t="shared" si="7"/>
        <v>-98.757113277836467</v>
      </c>
      <c r="CG102" s="159">
        <f t="shared" si="7"/>
        <v>-56.511209236786542</v>
      </c>
      <c r="CH102" s="159">
        <f t="shared" si="7"/>
        <v>6.5041301077383125</v>
      </c>
      <c r="CI102" s="159">
        <f t="shared" si="7"/>
        <v>55.987838243262701</v>
      </c>
      <c r="CJ102" s="159">
        <f t="shared" si="7"/>
        <v>51.82491622436968</v>
      </c>
      <c r="CK102" s="159">
        <f t="shared" si="7"/>
        <v>50.504502564902431</v>
      </c>
      <c r="CM102" s="99"/>
      <c r="CN102" s="59">
        <v>0</v>
      </c>
      <c r="CO102" s="59">
        <v>0</v>
      </c>
      <c r="CP102" s="59">
        <v>0</v>
      </c>
      <c r="CQ102" s="59">
        <v>0</v>
      </c>
      <c r="CR102" s="59">
        <v>0</v>
      </c>
      <c r="CS102" s="59">
        <v>0</v>
      </c>
      <c r="CT102" s="59">
        <v>0</v>
      </c>
      <c r="CU102" s="59">
        <v>0</v>
      </c>
      <c r="CV102" s="59">
        <v>0</v>
      </c>
      <c r="CW102" s="59">
        <v>0</v>
      </c>
      <c r="CX102" s="59">
        <v>0</v>
      </c>
      <c r="CY102" s="59">
        <v>0</v>
      </c>
    </row>
    <row r="103" spans="1:103" ht="12" customHeight="1" x14ac:dyDescent="0.2">
      <c r="A103" s="104">
        <v>11</v>
      </c>
      <c r="B103" s="104" t="s">
        <v>26</v>
      </c>
      <c r="C103" s="38">
        <v>18.032250845858346</v>
      </c>
      <c r="D103" s="38">
        <v>26.504547286353571</v>
      </c>
      <c r="E103" s="38">
        <v>54.90066272430991</v>
      </c>
      <c r="F103" s="38">
        <v>64.264576855644748</v>
      </c>
      <c r="G103" s="38">
        <v>77.162890730479631</v>
      </c>
      <c r="H103" s="38">
        <v>108.9324487949075</v>
      </c>
      <c r="I103" s="38">
        <v>120.89369774394639</v>
      </c>
      <c r="J103" s="38">
        <v>84.234095899193349</v>
      </c>
      <c r="K103" s="38">
        <v>44.901987885135945</v>
      </c>
      <c r="L103" s="38">
        <v>23.490770851844669</v>
      </c>
      <c r="M103" s="38">
        <v>16.145777963578077</v>
      </c>
      <c r="N103" s="38">
        <v>10.119919409788936</v>
      </c>
      <c r="O103" s="167">
        <f t="shared" si="8"/>
        <v>649.58362699104111</v>
      </c>
      <c r="P103" s="97"/>
      <c r="Q103" s="104">
        <v>11</v>
      </c>
      <c r="R103" s="97" t="s">
        <v>26</v>
      </c>
      <c r="S103" s="166">
        <v>16.910253045987844</v>
      </c>
      <c r="T103" s="166">
        <v>25.976620102971154</v>
      </c>
      <c r="U103" s="166">
        <v>53.919112214050017</v>
      </c>
      <c r="V103" s="166">
        <v>61.907888440451217</v>
      </c>
      <c r="W103" s="166">
        <v>74.347004154248935</v>
      </c>
      <c r="X103" s="166">
        <v>101.81197246341677</v>
      </c>
      <c r="Y103" s="166">
        <v>109.57532607628522</v>
      </c>
      <c r="Z103" s="166">
        <v>77.437416727422928</v>
      </c>
      <c r="AA103" s="166">
        <v>37.188221889215058</v>
      </c>
      <c r="AB103" s="166">
        <v>13.326309462646241</v>
      </c>
      <c r="AC103" s="166">
        <v>8.3011273817871256</v>
      </c>
      <c r="AD103" s="166">
        <v>7.9422999260994729</v>
      </c>
      <c r="AE103" s="167">
        <f t="shared" si="9"/>
        <v>588.64355188458205</v>
      </c>
      <c r="AF103" s="104">
        <v>11</v>
      </c>
      <c r="AG103" s="97" t="s">
        <v>26</v>
      </c>
      <c r="AH103" s="120">
        <v>0</v>
      </c>
      <c r="AI103" s="120">
        <v>0</v>
      </c>
      <c r="AJ103" s="120">
        <v>0</v>
      </c>
      <c r="AK103" s="120">
        <v>0</v>
      </c>
      <c r="AL103" s="120">
        <v>0</v>
      </c>
      <c r="AM103" s="120">
        <v>0</v>
      </c>
      <c r="AN103" s="120">
        <v>0</v>
      </c>
      <c r="AO103" s="120">
        <v>0</v>
      </c>
      <c r="AP103" s="120">
        <v>0</v>
      </c>
      <c r="AQ103" s="120">
        <v>0</v>
      </c>
      <c r="AR103" s="120">
        <v>0</v>
      </c>
      <c r="AS103" s="120">
        <v>0</v>
      </c>
      <c r="AT103" s="99"/>
      <c r="AV103" s="104"/>
      <c r="AW103" s="99"/>
      <c r="AX103" s="99"/>
      <c r="AY103" s="99"/>
      <c r="AZ103" s="99"/>
      <c r="BA103" s="99"/>
      <c r="BB103" s="99"/>
      <c r="BC103" s="99"/>
      <c r="BD103" s="99"/>
      <c r="BE103" s="99"/>
      <c r="BF103" s="99"/>
      <c r="BG103" s="99"/>
      <c r="BH103" s="99"/>
      <c r="BI103" s="99"/>
      <c r="BJ103" s="104"/>
      <c r="BK103" s="99"/>
      <c r="BL103" s="99"/>
      <c r="BM103" s="99"/>
      <c r="BN103" s="99"/>
      <c r="BO103" s="99"/>
      <c r="BP103" s="99"/>
      <c r="BQ103" s="99"/>
      <c r="BR103" s="99"/>
      <c r="BS103" s="99" t="s">
        <v>82</v>
      </c>
      <c r="BT103" s="104">
        <v>0</v>
      </c>
      <c r="BU103" s="99"/>
      <c r="BV103" s="99">
        <f t="shared" si="6"/>
        <v>0</v>
      </c>
      <c r="BW103" s="99"/>
      <c r="BX103" s="99"/>
      <c r="BY103" s="99" t="s">
        <v>82</v>
      </c>
      <c r="BZ103" s="159">
        <f t="shared" si="10"/>
        <v>15.228139560490185</v>
      </c>
      <c r="CA103" s="159">
        <f t="shared" si="7"/>
        <v>24.272616897125044</v>
      </c>
      <c r="CB103" s="159">
        <f t="shared" si="7"/>
        <v>50.529560939824165</v>
      </c>
      <c r="CC103" s="159">
        <f t="shared" si="7"/>
        <v>57.169430364211664</v>
      </c>
      <c r="CD103" s="159">
        <f t="shared" si="7"/>
        <v>69.369859396686181</v>
      </c>
      <c r="CE103" s="159">
        <f t="shared" si="7"/>
        <v>91.236498588263345</v>
      </c>
      <c r="CF103" s="159">
        <f t="shared" si="7"/>
        <v>93.999772395584259</v>
      </c>
      <c r="CG103" s="159">
        <f t="shared" si="7"/>
        <v>68.011580047954268</v>
      </c>
      <c r="CH103" s="159">
        <f t="shared" si="7"/>
        <v>33.011174260976084</v>
      </c>
      <c r="CI103" s="159">
        <f t="shared" si="7"/>
        <v>11.968100985166796</v>
      </c>
      <c r="CJ103" s="159">
        <f t="shared" si="7"/>
        <v>7.2855775078529845</v>
      </c>
      <c r="CK103" s="159">
        <f t="shared" si="7"/>
        <v>7.1355220272087969</v>
      </c>
      <c r="CM103" s="99"/>
      <c r="CN103" s="59">
        <v>0</v>
      </c>
      <c r="CO103" s="59">
        <v>0</v>
      </c>
      <c r="CP103" s="59">
        <v>0</v>
      </c>
      <c r="CQ103" s="59">
        <v>0</v>
      </c>
      <c r="CR103" s="59">
        <v>0</v>
      </c>
      <c r="CS103" s="59">
        <v>0</v>
      </c>
      <c r="CT103" s="59">
        <v>0</v>
      </c>
      <c r="CU103" s="59">
        <v>0</v>
      </c>
      <c r="CV103" s="59">
        <v>0</v>
      </c>
      <c r="CW103" s="59">
        <v>0</v>
      </c>
      <c r="CX103" s="59">
        <v>0</v>
      </c>
      <c r="CY103" s="59">
        <v>0</v>
      </c>
    </row>
    <row r="104" spans="1:103" ht="12" customHeight="1" x14ac:dyDescent="0.2">
      <c r="A104" s="104">
        <v>12</v>
      </c>
      <c r="B104" s="104" t="s">
        <v>27</v>
      </c>
      <c r="C104" s="38">
        <v>1.9939008239257783</v>
      </c>
      <c r="D104" s="38">
        <v>2.2120135901377838</v>
      </c>
      <c r="E104" s="38">
        <v>2.9177166043443199</v>
      </c>
      <c r="F104" s="38">
        <v>3.4835694488329945</v>
      </c>
      <c r="G104" s="38">
        <v>3.4420476325586886</v>
      </c>
      <c r="H104" s="38">
        <v>4.2835480594159154</v>
      </c>
      <c r="I104" s="38">
        <v>4.0872285684111711</v>
      </c>
      <c r="J104" s="38">
        <v>3.0868486612876596</v>
      </c>
      <c r="K104" s="38">
        <v>2.6707847245086631</v>
      </c>
      <c r="L104" s="38">
        <v>2.753242388172549</v>
      </c>
      <c r="M104" s="38">
        <v>2.5605467089991665</v>
      </c>
      <c r="N104" s="38">
        <v>2.0682775083238925</v>
      </c>
      <c r="O104" s="167">
        <f t="shared" si="8"/>
        <v>35.559724718918588</v>
      </c>
      <c r="P104" s="97"/>
      <c r="Q104" s="104">
        <v>12</v>
      </c>
      <c r="R104" s="97" t="s">
        <v>27</v>
      </c>
      <c r="S104" s="166">
        <v>1.9076575629126755</v>
      </c>
      <c r="T104" s="166">
        <v>2.0484305463997199</v>
      </c>
      <c r="U104" s="166">
        <v>2.543942094461368</v>
      </c>
      <c r="V104" s="166">
        <v>2.945832988263934</v>
      </c>
      <c r="W104" s="166">
        <v>2.9572979360994172</v>
      </c>
      <c r="X104" s="166">
        <v>3.522684277577639</v>
      </c>
      <c r="Y104" s="166">
        <v>3.3526200979285536</v>
      </c>
      <c r="Z104" s="166">
        <v>2.7968520370498946</v>
      </c>
      <c r="AA104" s="166">
        <v>1.3253928174890675</v>
      </c>
      <c r="AB104" s="166">
        <v>0.54521099650085292</v>
      </c>
      <c r="AC104" s="166">
        <v>0.74904924783850735</v>
      </c>
      <c r="AD104" s="166">
        <v>1.5210873778162197</v>
      </c>
      <c r="AE104" s="167">
        <f t="shared" si="9"/>
        <v>26.216057980337848</v>
      </c>
      <c r="AF104" s="104">
        <v>12</v>
      </c>
      <c r="AG104" s="97" t="s">
        <v>27</v>
      </c>
      <c r="AH104" s="120">
        <v>0</v>
      </c>
      <c r="AI104" s="120">
        <v>0</v>
      </c>
      <c r="AJ104" s="120">
        <v>0</v>
      </c>
      <c r="AK104" s="120">
        <v>0</v>
      </c>
      <c r="AL104" s="120">
        <v>0</v>
      </c>
      <c r="AM104" s="120">
        <v>0</v>
      </c>
      <c r="AN104" s="120">
        <v>0</v>
      </c>
      <c r="AO104" s="120">
        <v>0</v>
      </c>
      <c r="AP104" s="120">
        <v>0</v>
      </c>
      <c r="AQ104" s="120">
        <v>0</v>
      </c>
      <c r="AR104" s="120">
        <v>0</v>
      </c>
      <c r="AS104" s="120">
        <v>0</v>
      </c>
      <c r="AT104" s="99"/>
      <c r="AV104" s="104"/>
      <c r="AW104" s="99"/>
      <c r="AX104" s="99"/>
      <c r="AY104" s="99"/>
      <c r="AZ104" s="99"/>
      <c r="BA104" s="99"/>
      <c r="BB104" s="99"/>
      <c r="BC104" s="99"/>
      <c r="BD104" s="99"/>
      <c r="BE104" s="99"/>
      <c r="BF104" s="99"/>
      <c r="BG104" s="99"/>
      <c r="BH104" s="99"/>
      <c r="BI104" s="99"/>
      <c r="BJ104" s="104"/>
      <c r="BK104" s="99"/>
      <c r="BL104" s="99"/>
      <c r="BM104" s="99"/>
      <c r="BN104" s="99"/>
      <c r="BO104" s="99"/>
      <c r="BP104" s="99"/>
      <c r="BQ104" s="99"/>
      <c r="BR104" s="99"/>
      <c r="BS104" s="99" t="s">
        <v>83</v>
      </c>
      <c r="BT104" s="104">
        <v>0</v>
      </c>
      <c r="BU104" s="99"/>
      <c r="BV104" s="99">
        <f t="shared" si="6"/>
        <v>0</v>
      </c>
      <c r="BW104" s="99"/>
      <c r="BX104" s="99"/>
      <c r="BY104" s="99" t="s">
        <v>83</v>
      </c>
      <c r="BZ104" s="159">
        <f t="shared" si="10"/>
        <v>1.8463616157221994</v>
      </c>
      <c r="CA104" s="159">
        <f t="shared" si="7"/>
        <v>2.0484305463997199</v>
      </c>
      <c r="CB104" s="159">
        <f t="shared" si="7"/>
        <v>2.543942094461368</v>
      </c>
      <c r="CC104" s="159">
        <f t="shared" si="7"/>
        <v>2.945832988263934</v>
      </c>
      <c r="CD104" s="159">
        <f t="shared" si="7"/>
        <v>2.9572979360994172</v>
      </c>
      <c r="CE104" s="159">
        <f t="shared" si="7"/>
        <v>3.522684277577639</v>
      </c>
      <c r="CF104" s="159">
        <f t="shared" si="7"/>
        <v>3.3526200979285536</v>
      </c>
      <c r="CG104" s="159">
        <f t="shared" si="7"/>
        <v>2.5956945883948976</v>
      </c>
      <c r="CH104" s="159">
        <f t="shared" si="7"/>
        <v>-5.5196968474480412</v>
      </c>
      <c r="CI104" s="159">
        <f t="shared" si="7"/>
        <v>-12.539964932688056</v>
      </c>
      <c r="CJ104" s="159">
        <f t="shared" si="7"/>
        <v>-10.09018145012719</v>
      </c>
      <c r="CK104" s="159">
        <f t="shared" si="7"/>
        <v>-1.8315843048597675</v>
      </c>
      <c r="CM104" s="99"/>
      <c r="CN104" s="59">
        <v>0</v>
      </c>
      <c r="CO104" s="59">
        <v>0</v>
      </c>
      <c r="CP104" s="59">
        <v>0</v>
      </c>
      <c r="CQ104" s="59">
        <v>0</v>
      </c>
      <c r="CR104" s="59">
        <v>0</v>
      </c>
      <c r="CS104" s="59">
        <v>0</v>
      </c>
      <c r="CT104" s="59">
        <v>0</v>
      </c>
      <c r="CU104" s="59">
        <v>0</v>
      </c>
      <c r="CV104" s="59">
        <v>0</v>
      </c>
      <c r="CW104" s="59">
        <v>0</v>
      </c>
      <c r="CX104" s="59">
        <v>0</v>
      </c>
      <c r="CY104" s="59">
        <v>0</v>
      </c>
    </row>
    <row r="105" spans="1:103" ht="12" customHeight="1" x14ac:dyDescent="0.2">
      <c r="A105" s="104">
        <v>13</v>
      </c>
      <c r="B105" s="104" t="s">
        <v>28</v>
      </c>
      <c r="C105" s="38">
        <v>102.29923816411304</v>
      </c>
      <c r="D105" s="38">
        <v>136.38971131943762</v>
      </c>
      <c r="E105" s="38">
        <v>227.56763951074225</v>
      </c>
      <c r="F105" s="38">
        <v>273.66463093473578</v>
      </c>
      <c r="G105" s="38">
        <v>280.12588610500143</v>
      </c>
      <c r="H105" s="38">
        <v>338.44775213312994</v>
      </c>
      <c r="I105" s="38">
        <v>284.77649558114376</v>
      </c>
      <c r="J105" s="38">
        <v>190.45090013486271</v>
      </c>
      <c r="K105" s="38">
        <v>136.6009274320154</v>
      </c>
      <c r="L105" s="38">
        <v>126.26184397215889</v>
      </c>
      <c r="M105" s="38">
        <v>101.86521484333889</v>
      </c>
      <c r="N105" s="38">
        <v>82.40431477966888</v>
      </c>
      <c r="O105" s="167">
        <f t="shared" si="8"/>
        <v>2280.8545549103483</v>
      </c>
      <c r="P105" s="99"/>
      <c r="Q105" s="104">
        <v>13</v>
      </c>
      <c r="R105" s="97" t="s">
        <v>28</v>
      </c>
      <c r="S105" s="166">
        <v>88.364188719023986</v>
      </c>
      <c r="T105" s="166">
        <v>115.23665365282369</v>
      </c>
      <c r="U105" s="166">
        <v>202.43843962161355</v>
      </c>
      <c r="V105" s="166">
        <v>244.86669016129503</v>
      </c>
      <c r="W105" s="166">
        <v>255.06832984013542</v>
      </c>
      <c r="X105" s="166">
        <v>313.86238082233535</v>
      </c>
      <c r="Y105" s="166">
        <v>266.62711055036135</v>
      </c>
      <c r="Z105" s="166">
        <v>166.4211564185062</v>
      </c>
      <c r="AA105" s="166">
        <v>107.80671225578595</v>
      </c>
      <c r="AB105" s="166">
        <v>92.466481248635858</v>
      </c>
      <c r="AC105" s="166">
        <v>71.802989724030198</v>
      </c>
      <c r="AD105" s="166">
        <v>63.330249400468091</v>
      </c>
      <c r="AE105" s="167">
        <f t="shared" si="9"/>
        <v>1988.2913824150144</v>
      </c>
      <c r="AF105" s="104">
        <v>13</v>
      </c>
      <c r="AG105" s="97" t="s">
        <v>28</v>
      </c>
      <c r="AH105" s="120">
        <v>0</v>
      </c>
      <c r="AI105" s="120">
        <v>0</v>
      </c>
      <c r="AJ105" s="120">
        <v>0</v>
      </c>
      <c r="AK105" s="120">
        <v>0</v>
      </c>
      <c r="AL105" s="120">
        <v>0</v>
      </c>
      <c r="AM105" s="120">
        <v>0</v>
      </c>
      <c r="AN105" s="120">
        <v>0</v>
      </c>
      <c r="AO105" s="120">
        <v>0</v>
      </c>
      <c r="AP105" s="120">
        <v>0</v>
      </c>
      <c r="AQ105" s="120">
        <v>0</v>
      </c>
      <c r="AR105" s="120">
        <v>0</v>
      </c>
      <c r="AS105" s="120">
        <v>0</v>
      </c>
      <c r="AT105" s="99"/>
      <c r="AV105" s="104"/>
      <c r="AW105" s="99"/>
      <c r="AX105" s="99"/>
      <c r="AY105" s="99"/>
      <c r="AZ105" s="99"/>
      <c r="BA105" s="99"/>
      <c r="BB105" s="99"/>
      <c r="BC105" s="99"/>
      <c r="BD105" s="99"/>
      <c r="BE105" s="99"/>
      <c r="BF105" s="99"/>
      <c r="BG105" s="99"/>
      <c r="BH105" s="99"/>
      <c r="BI105" s="99"/>
      <c r="BJ105" s="104"/>
      <c r="BK105" s="99"/>
      <c r="BL105" s="99"/>
      <c r="BM105" s="99"/>
      <c r="BN105" s="99"/>
      <c r="BO105" s="99"/>
      <c r="BP105" s="99"/>
      <c r="BQ105" s="99"/>
      <c r="BR105" s="99"/>
      <c r="BS105" s="99" t="s">
        <v>84</v>
      </c>
      <c r="BT105" s="104">
        <v>0</v>
      </c>
      <c r="BU105" s="99"/>
      <c r="BV105" s="99">
        <f t="shared" si="6"/>
        <v>0</v>
      </c>
      <c r="BW105" s="99"/>
      <c r="BX105" s="99"/>
      <c r="BY105" s="99" t="s">
        <v>84</v>
      </c>
      <c r="BZ105" s="159">
        <f t="shared" si="10"/>
        <v>88.364188719023986</v>
      </c>
      <c r="CA105" s="159">
        <f t="shared" si="7"/>
        <v>115.23665365282369</v>
      </c>
      <c r="CB105" s="159">
        <f t="shared" si="7"/>
        <v>202.43843962161355</v>
      </c>
      <c r="CC105" s="159">
        <f t="shared" si="7"/>
        <v>244.86669016129503</v>
      </c>
      <c r="CD105" s="159">
        <f t="shared" si="7"/>
        <v>255.06832984013542</v>
      </c>
      <c r="CE105" s="159">
        <f t="shared" si="7"/>
        <v>313.86238082233535</v>
      </c>
      <c r="CF105" s="159">
        <f t="shared" si="7"/>
        <v>266.62711055036135</v>
      </c>
      <c r="CG105" s="159">
        <f t="shared" si="7"/>
        <v>165.84063745058475</v>
      </c>
      <c r="CH105" s="159">
        <f t="shared" si="7"/>
        <v>106.72916108468576</v>
      </c>
      <c r="CI105" s="159">
        <f t="shared" si="7"/>
        <v>90.85706844412644</v>
      </c>
      <c r="CJ105" s="159">
        <f t="shared" si="7"/>
        <v>70.355336822598403</v>
      </c>
      <c r="CK105" s="159">
        <f t="shared" si="7"/>
        <v>62.778568566695697</v>
      </c>
      <c r="CM105" s="99"/>
      <c r="CN105" s="59">
        <v>0</v>
      </c>
      <c r="CO105" s="59">
        <v>0</v>
      </c>
      <c r="CP105" s="59">
        <v>0</v>
      </c>
      <c r="CQ105" s="59">
        <v>0</v>
      </c>
      <c r="CR105" s="59">
        <v>0</v>
      </c>
      <c r="CS105" s="59">
        <v>0</v>
      </c>
      <c r="CT105" s="59">
        <v>0</v>
      </c>
      <c r="CU105" s="59">
        <v>0</v>
      </c>
      <c r="CV105" s="59">
        <v>0</v>
      </c>
      <c r="CW105" s="59">
        <v>0</v>
      </c>
      <c r="CX105" s="59">
        <v>0</v>
      </c>
      <c r="CY105" s="59">
        <v>0</v>
      </c>
    </row>
    <row r="106" spans="1:103" ht="12" customHeight="1" x14ac:dyDescent="0.2">
      <c r="B106" s="98"/>
      <c r="O106" s="99"/>
      <c r="P106" s="99"/>
      <c r="AE106" s="99"/>
      <c r="AG106" s="99"/>
      <c r="AH106" s="99"/>
      <c r="AI106" s="99"/>
      <c r="AJ106" s="99"/>
      <c r="AK106" s="99"/>
      <c r="AL106" s="99"/>
      <c r="AM106" s="99"/>
      <c r="AN106" s="99"/>
      <c r="AO106" s="99"/>
      <c r="AP106" s="99"/>
      <c r="AQ106" s="99"/>
      <c r="AR106" s="99"/>
      <c r="AS106" s="99"/>
      <c r="AT106" s="99"/>
      <c r="AW106" s="99"/>
      <c r="AX106" s="99"/>
      <c r="AY106" s="99"/>
      <c r="AZ106" s="99"/>
      <c r="BA106" s="99"/>
      <c r="BB106" s="99"/>
      <c r="BC106" s="99"/>
      <c r="BD106" s="99"/>
      <c r="BE106" s="99"/>
      <c r="BF106" s="99"/>
      <c r="BG106" s="99"/>
      <c r="BH106" s="99"/>
      <c r="BI106" s="99"/>
      <c r="BK106" s="99"/>
      <c r="BL106" s="99"/>
      <c r="BM106" s="99"/>
      <c r="BN106" s="99"/>
      <c r="BO106" s="99"/>
      <c r="BP106" s="99"/>
      <c r="BQ106" s="99"/>
      <c r="BR106" s="99"/>
      <c r="BS106" s="99"/>
      <c r="BT106" s="99"/>
      <c r="BU106" s="99"/>
      <c r="BV106" s="99"/>
      <c r="BW106" s="99"/>
      <c r="BX106" s="99"/>
      <c r="BY106" s="99"/>
      <c r="BZ106" s="158"/>
      <c r="CA106" s="158"/>
      <c r="CB106" s="158"/>
      <c r="CC106" s="158"/>
      <c r="CD106" s="158"/>
      <c r="CE106" s="158"/>
      <c r="CF106" s="158"/>
      <c r="CG106" s="158"/>
      <c r="CH106" s="158"/>
      <c r="CI106" s="158"/>
      <c r="CJ106" s="158"/>
      <c r="CK106" s="158"/>
      <c r="CM106" s="99"/>
      <c r="CN106" s="169"/>
      <c r="CO106" s="169"/>
      <c r="CP106" s="169"/>
      <c r="CQ106" s="169"/>
      <c r="CR106" s="169"/>
      <c r="CS106" s="169"/>
      <c r="CT106" s="169"/>
      <c r="CU106" s="169"/>
      <c r="CV106" s="169"/>
      <c r="CW106" s="169"/>
      <c r="CX106" s="169"/>
      <c r="CY106" s="169"/>
    </row>
    <row r="107" spans="1:103" ht="12" customHeight="1" x14ac:dyDescent="0.2">
      <c r="B107" s="170" t="s">
        <v>186</v>
      </c>
      <c r="C107" s="102" t="s">
        <v>1</v>
      </c>
      <c r="D107" s="102" t="s">
        <v>2</v>
      </c>
      <c r="E107" s="102" t="s">
        <v>3</v>
      </c>
      <c r="F107" s="102" t="s">
        <v>4</v>
      </c>
      <c r="G107" s="102" t="s">
        <v>5</v>
      </c>
      <c r="H107" s="102" t="s">
        <v>6</v>
      </c>
      <c r="I107" s="102" t="s">
        <v>7</v>
      </c>
      <c r="J107" s="102" t="s">
        <v>8</v>
      </c>
      <c r="K107" s="102" t="s">
        <v>9</v>
      </c>
      <c r="L107" s="102" t="s">
        <v>10</v>
      </c>
      <c r="M107" s="102" t="s">
        <v>11</v>
      </c>
      <c r="N107" s="102" t="s">
        <v>12</v>
      </c>
      <c r="O107" s="99"/>
      <c r="P107" s="99"/>
      <c r="R107" s="119" t="s">
        <v>32</v>
      </c>
      <c r="S107" s="102" t="s">
        <v>1</v>
      </c>
      <c r="T107" s="102" t="s">
        <v>2</v>
      </c>
      <c r="U107" s="102" t="s">
        <v>3</v>
      </c>
      <c r="V107" s="102" t="s">
        <v>4</v>
      </c>
      <c r="W107" s="102" t="s">
        <v>5</v>
      </c>
      <c r="X107" s="102" t="s">
        <v>6</v>
      </c>
      <c r="Y107" s="102" t="s">
        <v>7</v>
      </c>
      <c r="Z107" s="102" t="s">
        <v>8</v>
      </c>
      <c r="AA107" s="102" t="s">
        <v>9</v>
      </c>
      <c r="AB107" s="102" t="s">
        <v>10</v>
      </c>
      <c r="AC107" s="102" t="s">
        <v>11</v>
      </c>
      <c r="AD107" s="102" t="s">
        <v>12</v>
      </c>
      <c r="AE107" s="99"/>
      <c r="AG107" s="99"/>
      <c r="AH107" s="99"/>
      <c r="AI107" s="99"/>
      <c r="AJ107" s="99"/>
      <c r="AK107" s="99"/>
      <c r="AL107" s="99"/>
      <c r="AM107" s="99"/>
      <c r="AN107" s="99"/>
      <c r="AO107" s="99"/>
      <c r="AP107" s="99"/>
      <c r="AQ107" s="99"/>
      <c r="AR107" s="99"/>
      <c r="AS107" s="99"/>
      <c r="AT107" s="99"/>
      <c r="AW107" s="99"/>
      <c r="AX107" s="99"/>
      <c r="AY107" s="99"/>
      <c r="AZ107" s="99"/>
      <c r="BA107" s="99"/>
      <c r="BB107" s="99"/>
      <c r="BC107" s="99"/>
      <c r="BD107" s="99"/>
      <c r="BE107" s="99"/>
      <c r="BF107" s="99"/>
      <c r="BG107" s="99"/>
      <c r="BH107" s="99"/>
      <c r="BI107" s="99"/>
      <c r="BK107" s="99"/>
      <c r="BL107" s="99"/>
      <c r="BM107" s="99"/>
      <c r="BN107" s="99"/>
      <c r="BO107" s="99"/>
      <c r="BP107" s="99"/>
      <c r="BQ107" s="99"/>
      <c r="BR107" s="99"/>
      <c r="BS107" s="157" t="s">
        <v>30</v>
      </c>
      <c r="BT107" s="157"/>
      <c r="BU107" s="99"/>
      <c r="BV107" s="99"/>
      <c r="BW107" s="99"/>
      <c r="BX107" s="99"/>
      <c r="BY107" s="99"/>
      <c r="BZ107" s="158"/>
      <c r="CA107" s="158"/>
      <c r="CB107" s="158"/>
      <c r="CC107" s="158"/>
      <c r="CD107" s="158"/>
      <c r="CE107" s="158"/>
      <c r="CF107" s="158"/>
      <c r="CG107" s="158"/>
      <c r="CH107" s="158"/>
      <c r="CI107" s="158"/>
      <c r="CJ107" s="158"/>
      <c r="CK107" s="158"/>
      <c r="CM107" s="99"/>
      <c r="CN107" s="169"/>
      <c r="CO107" s="169"/>
      <c r="CP107" s="169"/>
      <c r="CQ107" s="169"/>
      <c r="CR107" s="169"/>
      <c r="CS107" s="169"/>
      <c r="CT107" s="169"/>
      <c r="CU107" s="169"/>
      <c r="CV107" s="169"/>
      <c r="CW107" s="169"/>
      <c r="CX107" s="169"/>
      <c r="CY107" s="169"/>
    </row>
    <row r="108" spans="1:103" ht="12" customHeight="1" x14ac:dyDescent="0.2">
      <c r="A108" s="104">
        <v>1</v>
      </c>
      <c r="B108" s="104" t="s">
        <v>21</v>
      </c>
      <c r="C108" s="90">
        <v>9.114648421900533</v>
      </c>
      <c r="D108" s="90">
        <v>12.606738983969969</v>
      </c>
      <c r="E108" s="90">
        <v>17.628723897566275</v>
      </c>
      <c r="F108" s="90">
        <v>19.931757904717841</v>
      </c>
      <c r="G108" s="90">
        <v>23.578841502203659</v>
      </c>
      <c r="H108" s="90">
        <v>28.168842435721078</v>
      </c>
      <c r="I108" s="90">
        <v>25.26265516676904</v>
      </c>
      <c r="J108" s="90">
        <v>10.58088818805515</v>
      </c>
      <c r="K108" s="90">
        <v>-4.6912780906224736</v>
      </c>
      <c r="L108" s="90">
        <v>-15.141831977813165</v>
      </c>
      <c r="M108" s="90">
        <v>-10.695753235751212</v>
      </c>
      <c r="N108" s="90">
        <v>4.3499313441476826</v>
      </c>
      <c r="O108" s="167">
        <f>SUM(C108:N108)</f>
        <v>120.69416454086439</v>
      </c>
      <c r="P108" s="99"/>
      <c r="Q108" s="104">
        <v>1</v>
      </c>
      <c r="R108" s="97" t="s">
        <v>21</v>
      </c>
      <c r="S108" s="119">
        <v>9.5609999999999999</v>
      </c>
      <c r="T108" s="119">
        <v>7.7710000000000008</v>
      </c>
      <c r="U108" s="119">
        <v>10.510000000000002</v>
      </c>
      <c r="V108" s="119">
        <v>11.46</v>
      </c>
      <c r="W108" s="119">
        <v>13.69</v>
      </c>
      <c r="X108" s="119">
        <v>17.5</v>
      </c>
      <c r="Y108" s="119">
        <v>18.707000000000001</v>
      </c>
      <c r="Z108" s="119">
        <v>22.132000000000005</v>
      </c>
      <c r="AA108" s="119">
        <v>30.107000000000006</v>
      </c>
      <c r="AB108" s="119">
        <v>28.796499999999995</v>
      </c>
      <c r="AC108" s="119">
        <v>25.425999999999998</v>
      </c>
      <c r="AD108" s="119">
        <v>14.506000000000004</v>
      </c>
      <c r="AE108" s="99"/>
      <c r="AG108" s="99"/>
      <c r="AH108" s="99"/>
      <c r="AI108" s="99"/>
      <c r="AJ108" s="99"/>
      <c r="AK108" s="99"/>
      <c r="AL108" s="99"/>
      <c r="AM108" s="99"/>
      <c r="AN108" s="99"/>
      <c r="AO108" s="99"/>
      <c r="AP108" s="99"/>
      <c r="AQ108" s="99"/>
      <c r="AR108" s="99"/>
      <c r="AS108" s="99"/>
      <c r="AT108" s="99"/>
      <c r="AV108" s="104"/>
      <c r="AW108" s="99"/>
      <c r="AX108" s="99"/>
      <c r="AY108" s="99"/>
      <c r="AZ108" s="99"/>
      <c r="BA108" s="99"/>
      <c r="BB108" s="99"/>
      <c r="BC108" s="99"/>
      <c r="BD108" s="99"/>
      <c r="BE108" s="99"/>
      <c r="BF108" s="99"/>
      <c r="BG108" s="99"/>
      <c r="BH108" s="99"/>
      <c r="BI108" s="99"/>
      <c r="BJ108" s="104"/>
      <c r="BK108" s="99"/>
      <c r="BL108" s="99"/>
      <c r="BM108" s="99"/>
      <c r="BN108" s="99"/>
      <c r="BO108" s="99"/>
      <c r="BP108" s="99"/>
      <c r="BQ108" s="99"/>
      <c r="BR108" s="99"/>
      <c r="BS108" s="99" t="s">
        <v>72</v>
      </c>
      <c r="BT108" s="104">
        <v>0</v>
      </c>
      <c r="BU108" s="99"/>
      <c r="BV108" s="99"/>
      <c r="BW108" s="99"/>
      <c r="BX108" s="99"/>
      <c r="BY108" s="99" t="s">
        <v>14</v>
      </c>
      <c r="BZ108" s="159">
        <v>0</v>
      </c>
      <c r="CA108" s="159">
        <v>0</v>
      </c>
      <c r="CB108" s="159">
        <v>0</v>
      </c>
      <c r="CC108" s="159">
        <v>0</v>
      </c>
      <c r="CD108" s="159">
        <v>0</v>
      </c>
      <c r="CE108" s="159">
        <v>0</v>
      </c>
      <c r="CF108" s="159">
        <v>0</v>
      </c>
      <c r="CG108" s="159">
        <v>0</v>
      </c>
      <c r="CH108" s="159">
        <v>0</v>
      </c>
      <c r="CI108" s="159">
        <v>0</v>
      </c>
      <c r="CJ108" s="159">
        <v>0</v>
      </c>
      <c r="CK108" s="159">
        <v>0</v>
      </c>
      <c r="CM108" s="99"/>
      <c r="CN108" s="59">
        <v>0</v>
      </c>
      <c r="CO108" s="59">
        <v>0</v>
      </c>
      <c r="CP108" s="59">
        <v>0</v>
      </c>
      <c r="CQ108" s="59">
        <v>0</v>
      </c>
      <c r="CR108" s="59">
        <v>0</v>
      </c>
      <c r="CS108" s="59">
        <v>0</v>
      </c>
      <c r="CT108" s="59">
        <v>0</v>
      </c>
      <c r="CU108" s="59">
        <v>0</v>
      </c>
      <c r="CV108" s="59">
        <v>0</v>
      </c>
      <c r="CW108" s="59">
        <v>0</v>
      </c>
      <c r="CX108" s="59">
        <v>0</v>
      </c>
      <c r="CY108" s="59">
        <v>0</v>
      </c>
    </row>
    <row r="109" spans="1:103" ht="12" customHeight="1" x14ac:dyDescent="0.2">
      <c r="A109" s="104">
        <v>2</v>
      </c>
      <c r="B109" s="104" t="s">
        <v>22</v>
      </c>
      <c r="C109" s="90">
        <v>2.8215078133705953</v>
      </c>
      <c r="D109" s="90">
        <v>3.9756245742278313</v>
      </c>
      <c r="E109" s="90">
        <v>9.7746116765221345</v>
      </c>
      <c r="F109" s="90">
        <v>6.7576305667686132</v>
      </c>
      <c r="G109" s="90">
        <v>15.630764288670322</v>
      </c>
      <c r="H109" s="90">
        <v>24.233473318193582</v>
      </c>
      <c r="I109" s="90">
        <v>12.100594227159217</v>
      </c>
      <c r="J109" s="90">
        <v>13.912471642812269</v>
      </c>
      <c r="K109" s="90">
        <v>14.540605661313977</v>
      </c>
      <c r="L109" s="90">
        <v>8.3017977073665978</v>
      </c>
      <c r="M109" s="90">
        <v>7.4946858142443649</v>
      </c>
      <c r="N109" s="90">
        <v>1.5848738962652424</v>
      </c>
      <c r="O109" s="167">
        <f t="shared" ref="O109:O120" si="11">SUM(C109:N109)</f>
        <v>121.12864118691473</v>
      </c>
      <c r="P109" s="99"/>
      <c r="Q109" s="104">
        <v>2</v>
      </c>
      <c r="R109" s="97" t="s">
        <v>22</v>
      </c>
      <c r="S109" s="119">
        <v>9.3497543294040106</v>
      </c>
      <c r="T109" s="119">
        <v>8.7096528659775778</v>
      </c>
      <c r="U109" s="119">
        <v>10.636225968380542</v>
      </c>
      <c r="V109" s="119">
        <v>12.338407558064466</v>
      </c>
      <c r="W109" s="119">
        <v>15.380904851034181</v>
      </c>
      <c r="X109" s="119">
        <v>19.657145631617592</v>
      </c>
      <c r="Y109" s="119">
        <v>19.885471684330447</v>
      </c>
      <c r="Z109" s="119">
        <v>16.143351496188902</v>
      </c>
      <c r="AA109" s="119">
        <v>12.787784184275345</v>
      </c>
      <c r="AB109" s="119">
        <v>13.137176806164728</v>
      </c>
      <c r="AC109" s="119">
        <v>12.11176299494976</v>
      </c>
      <c r="AD109" s="119">
        <v>10.271551530454929</v>
      </c>
      <c r="AE109" s="99"/>
      <c r="AG109" s="99"/>
      <c r="AH109" s="99"/>
      <c r="AI109" s="99"/>
      <c r="AJ109" s="99"/>
      <c r="AK109" s="99"/>
      <c r="AL109" s="99"/>
      <c r="AM109" s="99"/>
      <c r="AN109" s="99"/>
      <c r="AO109" s="99"/>
      <c r="AP109" s="99"/>
      <c r="AQ109" s="99"/>
      <c r="AR109" s="99"/>
      <c r="AS109" s="99"/>
      <c r="AT109" s="99"/>
      <c r="AV109" s="104"/>
      <c r="AW109" s="99"/>
      <c r="AX109" s="99"/>
      <c r="AY109" s="99"/>
      <c r="AZ109" s="99"/>
      <c r="BA109" s="99"/>
      <c r="BB109" s="99"/>
      <c r="BC109" s="99"/>
      <c r="BD109" s="99"/>
      <c r="BE109" s="99"/>
      <c r="BF109" s="99"/>
      <c r="BG109" s="99"/>
      <c r="BH109" s="99"/>
      <c r="BI109" s="99"/>
      <c r="BJ109" s="104"/>
      <c r="BK109" s="99"/>
      <c r="BL109" s="99"/>
      <c r="BM109" s="99"/>
      <c r="BN109" s="99"/>
      <c r="BO109" s="99"/>
      <c r="BP109" s="99"/>
      <c r="BQ109" s="99"/>
      <c r="BR109" s="99"/>
      <c r="BS109" s="99" t="s">
        <v>73</v>
      </c>
      <c r="BT109" s="104">
        <v>0</v>
      </c>
      <c r="BU109" s="99"/>
      <c r="BV109" s="99"/>
      <c r="BW109" s="99"/>
      <c r="BX109" s="99"/>
      <c r="BY109" s="99"/>
      <c r="BZ109" s="159">
        <v>0</v>
      </c>
      <c r="CA109" s="159">
        <v>0</v>
      </c>
      <c r="CB109" s="159">
        <v>0</v>
      </c>
      <c r="CC109" s="159">
        <v>0</v>
      </c>
      <c r="CD109" s="159">
        <v>0</v>
      </c>
      <c r="CE109" s="159">
        <v>0</v>
      </c>
      <c r="CF109" s="159">
        <v>0</v>
      </c>
      <c r="CG109" s="159">
        <v>0</v>
      </c>
      <c r="CH109" s="159">
        <v>0</v>
      </c>
      <c r="CI109" s="159">
        <v>0</v>
      </c>
      <c r="CJ109" s="159">
        <v>0</v>
      </c>
      <c r="CK109" s="159">
        <v>0</v>
      </c>
      <c r="CM109" s="99"/>
      <c r="CN109" s="59">
        <v>0</v>
      </c>
      <c r="CO109" s="59">
        <v>0</v>
      </c>
      <c r="CP109" s="59">
        <v>0</v>
      </c>
      <c r="CQ109" s="59">
        <v>0</v>
      </c>
      <c r="CR109" s="59">
        <v>0</v>
      </c>
      <c r="CS109" s="59">
        <v>0</v>
      </c>
      <c r="CT109" s="59">
        <v>0</v>
      </c>
      <c r="CU109" s="59">
        <v>0</v>
      </c>
      <c r="CV109" s="59">
        <v>0</v>
      </c>
      <c r="CW109" s="59">
        <v>0</v>
      </c>
      <c r="CX109" s="59">
        <v>0</v>
      </c>
      <c r="CY109" s="59">
        <v>0</v>
      </c>
    </row>
    <row r="110" spans="1:103" ht="12" customHeight="1" x14ac:dyDescent="0.2">
      <c r="A110" s="104">
        <v>3</v>
      </c>
      <c r="B110" s="104" t="s">
        <v>17</v>
      </c>
      <c r="C110" s="90">
        <v>-24.736968526002364</v>
      </c>
      <c r="D110" s="90">
        <v>-19.273928817683675</v>
      </c>
      <c r="E110" s="90">
        <v>-8.7959757256326316</v>
      </c>
      <c r="F110" s="90">
        <v>-9.4334925226627853</v>
      </c>
      <c r="G110" s="90">
        <v>-4.1557821881895229</v>
      </c>
      <c r="H110" s="90">
        <v>7.2943342101432362</v>
      </c>
      <c r="I110" s="90">
        <v>-3.958696588336405E-2</v>
      </c>
      <c r="J110" s="90">
        <v>-15.992295769424103</v>
      </c>
      <c r="K110" s="90">
        <v>-24.832228419132445</v>
      </c>
      <c r="L110" s="90">
        <v>-34.485708267665821</v>
      </c>
      <c r="M110" s="90">
        <v>-36.933078970759446</v>
      </c>
      <c r="N110" s="90">
        <v>-31.268828609276078</v>
      </c>
      <c r="O110" s="167">
        <f t="shared" si="11"/>
        <v>-202.65354057216902</v>
      </c>
      <c r="P110" s="99"/>
      <c r="Q110" s="104">
        <v>3</v>
      </c>
      <c r="R110" s="97" t="s">
        <v>17</v>
      </c>
      <c r="S110" s="119">
        <v>1.3402220375581386</v>
      </c>
      <c r="T110" s="119">
        <v>4.032171162790732E-2</v>
      </c>
      <c r="U110" s="119">
        <v>0</v>
      </c>
      <c r="V110" s="119">
        <v>0</v>
      </c>
      <c r="W110" s="119">
        <v>0</v>
      </c>
      <c r="X110" s="119">
        <v>0</v>
      </c>
      <c r="Y110" s="119">
        <v>0</v>
      </c>
      <c r="Z110" s="119">
        <v>10.794959645465118</v>
      </c>
      <c r="AA110" s="119">
        <v>16.735005051162787</v>
      </c>
      <c r="AB110" s="119">
        <v>17.223836419302327</v>
      </c>
      <c r="AC110" s="119">
        <v>14.373669464534881</v>
      </c>
      <c r="AD110" s="119">
        <v>5.2908299981395324</v>
      </c>
      <c r="AE110" s="99"/>
      <c r="AG110" s="99"/>
      <c r="AH110" s="99"/>
      <c r="AI110" s="99"/>
      <c r="AJ110" s="99"/>
      <c r="AK110" s="99"/>
      <c r="AL110" s="99"/>
      <c r="AM110" s="99"/>
      <c r="AN110" s="99"/>
      <c r="AO110" s="99"/>
      <c r="AP110" s="99"/>
      <c r="AQ110" s="99"/>
      <c r="AR110" s="99"/>
      <c r="AS110" s="99"/>
      <c r="AT110" s="99"/>
      <c r="AV110" s="104"/>
      <c r="AW110" s="99"/>
      <c r="AX110" s="99"/>
      <c r="AY110" s="99"/>
      <c r="AZ110" s="99"/>
      <c r="BA110" s="99"/>
      <c r="BB110" s="99"/>
      <c r="BC110" s="99"/>
      <c r="BD110" s="99"/>
      <c r="BE110" s="99"/>
      <c r="BF110" s="99"/>
      <c r="BG110" s="99"/>
      <c r="BH110" s="99"/>
      <c r="BI110" s="99"/>
      <c r="BJ110" s="104"/>
      <c r="BK110" s="99"/>
      <c r="BL110" s="99"/>
      <c r="BM110" s="99"/>
      <c r="BN110" s="99"/>
      <c r="BO110" s="99"/>
      <c r="BP110" s="99"/>
      <c r="BQ110" s="99"/>
      <c r="BR110" s="99"/>
      <c r="BS110" s="99" t="s">
        <v>74</v>
      </c>
      <c r="BT110" s="104">
        <v>0</v>
      </c>
      <c r="BU110" s="99"/>
      <c r="BV110" s="99"/>
      <c r="BW110" s="99"/>
      <c r="BX110" s="99"/>
      <c r="BY110" s="99"/>
      <c r="BZ110" s="159">
        <v>0</v>
      </c>
      <c r="CA110" s="159">
        <v>0</v>
      </c>
      <c r="CB110" s="159">
        <v>0</v>
      </c>
      <c r="CC110" s="159">
        <v>0</v>
      </c>
      <c r="CD110" s="159">
        <v>0</v>
      </c>
      <c r="CE110" s="159">
        <v>0</v>
      </c>
      <c r="CF110" s="159">
        <v>0</v>
      </c>
      <c r="CG110" s="159">
        <v>0</v>
      </c>
      <c r="CH110" s="159">
        <v>0</v>
      </c>
      <c r="CI110" s="159">
        <v>0</v>
      </c>
      <c r="CJ110" s="159">
        <v>0</v>
      </c>
      <c r="CK110" s="159">
        <v>0</v>
      </c>
      <c r="CM110" s="99"/>
      <c r="CN110" s="59">
        <v>0</v>
      </c>
      <c r="CO110" s="59">
        <v>0</v>
      </c>
      <c r="CP110" s="59">
        <v>0</v>
      </c>
      <c r="CQ110" s="59">
        <v>0</v>
      </c>
      <c r="CR110" s="59">
        <v>0</v>
      </c>
      <c r="CS110" s="59">
        <v>0</v>
      </c>
      <c r="CT110" s="59">
        <v>0</v>
      </c>
      <c r="CU110" s="59">
        <v>0</v>
      </c>
      <c r="CV110" s="59">
        <v>0</v>
      </c>
      <c r="CW110" s="59">
        <v>0</v>
      </c>
      <c r="CX110" s="59">
        <v>0</v>
      </c>
      <c r="CY110" s="59">
        <v>0</v>
      </c>
    </row>
    <row r="111" spans="1:103" ht="12" customHeight="1" x14ac:dyDescent="0.2">
      <c r="A111" s="108">
        <v>4</v>
      </c>
      <c r="B111" s="108" t="s">
        <v>0</v>
      </c>
      <c r="C111" s="90">
        <v>0</v>
      </c>
      <c r="D111" s="90">
        <v>0</v>
      </c>
      <c r="E111" s="90">
        <v>0</v>
      </c>
      <c r="F111" s="90">
        <v>0</v>
      </c>
      <c r="G111" s="90">
        <v>0</v>
      </c>
      <c r="H111" s="90">
        <v>0</v>
      </c>
      <c r="I111" s="90">
        <v>0</v>
      </c>
      <c r="J111" s="90">
        <v>0</v>
      </c>
      <c r="K111" s="90">
        <v>0</v>
      </c>
      <c r="L111" s="90">
        <v>0</v>
      </c>
      <c r="M111" s="90">
        <v>0</v>
      </c>
      <c r="N111" s="90">
        <v>0</v>
      </c>
      <c r="O111" s="167">
        <f t="shared" si="11"/>
        <v>0</v>
      </c>
      <c r="P111" s="99"/>
      <c r="Q111" s="108">
        <v>4</v>
      </c>
      <c r="R111" s="109" t="s">
        <v>0</v>
      </c>
      <c r="S111" s="132">
        <v>0</v>
      </c>
      <c r="T111" s="132">
        <v>0</v>
      </c>
      <c r="U111" s="132">
        <v>0</v>
      </c>
      <c r="V111" s="132">
        <v>0</v>
      </c>
      <c r="W111" s="132">
        <v>0</v>
      </c>
      <c r="X111" s="132">
        <v>0</v>
      </c>
      <c r="Y111" s="132">
        <v>0</v>
      </c>
      <c r="Z111" s="132">
        <v>0</v>
      </c>
      <c r="AA111" s="132">
        <v>0</v>
      </c>
      <c r="AB111" s="132">
        <v>0</v>
      </c>
      <c r="AC111" s="132">
        <v>0</v>
      </c>
      <c r="AD111" s="132">
        <v>0</v>
      </c>
      <c r="AE111" s="99"/>
      <c r="AG111" s="99"/>
      <c r="AH111" s="99"/>
      <c r="AI111" s="99"/>
      <c r="AJ111" s="99"/>
      <c r="AK111" s="99"/>
      <c r="AL111" s="99"/>
      <c r="AM111" s="99"/>
      <c r="AN111" s="99"/>
      <c r="AO111" s="99"/>
      <c r="AP111" s="99"/>
      <c r="AQ111" s="99"/>
      <c r="AR111" s="99"/>
      <c r="AS111" s="99"/>
      <c r="AT111" s="99"/>
      <c r="AV111" s="108"/>
      <c r="AW111" s="99"/>
      <c r="AX111" s="99"/>
      <c r="AY111" s="99"/>
      <c r="AZ111" s="99"/>
      <c r="BA111" s="99"/>
      <c r="BB111" s="99"/>
      <c r="BC111" s="99"/>
      <c r="BD111" s="99"/>
      <c r="BE111" s="99"/>
      <c r="BF111" s="99"/>
      <c r="BG111" s="99"/>
      <c r="BH111" s="99"/>
      <c r="BI111" s="99"/>
      <c r="BJ111" s="108"/>
      <c r="BK111" s="99"/>
      <c r="BL111" s="99"/>
      <c r="BM111" s="99"/>
      <c r="BN111" s="99"/>
      <c r="BO111" s="99"/>
      <c r="BP111" s="99"/>
      <c r="BQ111" s="99"/>
      <c r="BR111" s="99"/>
      <c r="BS111" s="143" t="s">
        <v>75</v>
      </c>
      <c r="BT111" s="108">
        <v>471.11999999999995</v>
      </c>
      <c r="BU111" s="99"/>
      <c r="BV111" s="99"/>
      <c r="BW111" s="99"/>
      <c r="BX111" s="99"/>
      <c r="BY111" s="99"/>
      <c r="BZ111" s="164">
        <v>78.776092945140917</v>
      </c>
      <c r="CA111" s="165">
        <v>76.402874463456612</v>
      </c>
      <c r="CB111" s="165">
        <v>79.048262560068579</v>
      </c>
      <c r="CC111" s="165">
        <v>78.980144026965576</v>
      </c>
      <c r="CD111" s="165">
        <v>71.184222845930378</v>
      </c>
      <c r="CE111" s="165">
        <v>82.034887598767526</v>
      </c>
      <c r="CF111" s="165">
        <v>75.970699632733542</v>
      </c>
      <c r="CG111" s="165">
        <v>78.401259728709206</v>
      </c>
      <c r="CH111" s="165">
        <v>75.830120105482891</v>
      </c>
      <c r="CI111" s="165">
        <v>78.341232391867564</v>
      </c>
      <c r="CJ111" s="165">
        <v>78.364421319999977</v>
      </c>
      <c r="CK111" s="165">
        <v>76.1911910016305</v>
      </c>
      <c r="CM111" s="99"/>
      <c r="CN111" s="60">
        <v>180.95176141561672</v>
      </c>
      <c r="CO111" s="60">
        <v>182.89525132421895</v>
      </c>
      <c r="CP111" s="60">
        <v>240.75454788164228</v>
      </c>
      <c r="CQ111" s="60">
        <v>241.40009891210894</v>
      </c>
      <c r="CR111" s="60">
        <v>218.03879901738867</v>
      </c>
      <c r="CS111" s="60">
        <v>241.40009891210894</v>
      </c>
      <c r="CT111" s="60">
        <v>233.61299894720219</v>
      </c>
      <c r="CU111" s="60">
        <v>241.40009891210894</v>
      </c>
      <c r="CV111" s="60">
        <v>181.93859373421557</v>
      </c>
      <c r="CW111" s="60">
        <v>125.50854220070352</v>
      </c>
      <c r="CX111" s="60">
        <v>126.14671630955324</v>
      </c>
      <c r="CY111" s="60">
        <v>137.82099367767637</v>
      </c>
    </row>
    <row r="112" spans="1:103" ht="12" customHeight="1" x14ac:dyDescent="0.2">
      <c r="A112" s="108">
        <v>5</v>
      </c>
      <c r="B112" s="108" t="s">
        <v>16</v>
      </c>
      <c r="C112" s="90">
        <v>0</v>
      </c>
      <c r="D112" s="90">
        <v>0</v>
      </c>
      <c r="E112" s="90">
        <v>0</v>
      </c>
      <c r="F112" s="90">
        <v>0</v>
      </c>
      <c r="G112" s="90">
        <v>0</v>
      </c>
      <c r="H112" s="90">
        <v>0</v>
      </c>
      <c r="I112" s="90">
        <v>0</v>
      </c>
      <c r="J112" s="90">
        <v>0</v>
      </c>
      <c r="K112" s="90">
        <v>0</v>
      </c>
      <c r="L112" s="90">
        <v>0</v>
      </c>
      <c r="M112" s="90">
        <v>0</v>
      </c>
      <c r="N112" s="90">
        <v>0</v>
      </c>
      <c r="O112" s="167">
        <f t="shared" si="11"/>
        <v>0</v>
      </c>
      <c r="P112" s="99"/>
      <c r="Q112" s="108">
        <v>5</v>
      </c>
      <c r="R112" s="109" t="s">
        <v>16</v>
      </c>
      <c r="S112" s="132">
        <v>0</v>
      </c>
      <c r="T112" s="132">
        <v>0</v>
      </c>
      <c r="U112" s="132">
        <v>0</v>
      </c>
      <c r="V112" s="132">
        <v>0</v>
      </c>
      <c r="W112" s="132">
        <v>0</v>
      </c>
      <c r="X112" s="132">
        <v>0</v>
      </c>
      <c r="Y112" s="132">
        <v>0</v>
      </c>
      <c r="Z112" s="132">
        <v>0</v>
      </c>
      <c r="AA112" s="132">
        <v>0</v>
      </c>
      <c r="AB112" s="132">
        <v>0</v>
      </c>
      <c r="AC112" s="132">
        <v>0</v>
      </c>
      <c r="AD112" s="132">
        <v>0</v>
      </c>
      <c r="AE112" s="99"/>
      <c r="AG112" s="99"/>
      <c r="AT112" s="99"/>
      <c r="AV112" s="108"/>
      <c r="AW112" s="99"/>
      <c r="AX112" s="99"/>
      <c r="AY112" s="99"/>
      <c r="AZ112" s="99"/>
      <c r="BA112" s="99"/>
      <c r="BB112" s="99"/>
      <c r="BC112" s="99"/>
      <c r="BD112" s="99"/>
      <c r="BE112" s="99"/>
      <c r="BF112" s="99"/>
      <c r="BG112" s="99"/>
      <c r="BH112" s="99"/>
      <c r="BI112" s="99"/>
      <c r="BJ112" s="108"/>
      <c r="BK112" s="99"/>
      <c r="BL112" s="99"/>
      <c r="BM112" s="99"/>
      <c r="BN112" s="99"/>
      <c r="BO112" s="99"/>
      <c r="BP112" s="99"/>
      <c r="BQ112" s="99"/>
      <c r="BR112" s="99"/>
      <c r="BS112" s="143" t="s">
        <v>76</v>
      </c>
      <c r="BT112" s="108">
        <v>35.792000000000044</v>
      </c>
      <c r="BU112" s="99"/>
      <c r="BV112" s="99"/>
      <c r="BW112" s="99"/>
      <c r="BX112" s="99"/>
      <c r="BY112" s="99"/>
      <c r="BZ112" s="171">
        <v>116.58212618294407</v>
      </c>
      <c r="CA112" s="172">
        <v>120.69609698363267</v>
      </c>
      <c r="CB112" s="172">
        <v>124.86204041121515</v>
      </c>
      <c r="CC112" s="172">
        <v>134.37165644293702</v>
      </c>
      <c r="CD112" s="172">
        <v>127.71085725934886</v>
      </c>
      <c r="CE112" s="172">
        <v>149.97820595809367</v>
      </c>
      <c r="CF112" s="172">
        <v>168.64851112621386</v>
      </c>
      <c r="CG112" s="172">
        <v>121.77258691709196</v>
      </c>
      <c r="CH112" s="172">
        <v>81.708440571413988</v>
      </c>
      <c r="CI112" s="172">
        <v>61.481820988645595</v>
      </c>
      <c r="CJ112" s="172">
        <v>63.243169147678529</v>
      </c>
      <c r="CK112" s="172">
        <v>91.141517751089197</v>
      </c>
      <c r="CM112" s="99"/>
      <c r="CN112" s="60">
        <f>CN111+$BV$82</f>
        <v>181.86107677151858</v>
      </c>
      <c r="CO112" s="60">
        <f t="shared" ref="CO112:CY112" si="12">CO111+$BV$82</f>
        <v>183.80456668012084</v>
      </c>
      <c r="CP112" s="60">
        <f t="shared" si="12"/>
        <v>241.66386323754415</v>
      </c>
      <c r="CQ112" s="60">
        <f t="shared" si="12"/>
        <v>242.30941426801081</v>
      </c>
      <c r="CR112" s="60">
        <f t="shared" si="12"/>
        <v>218.94811437329054</v>
      </c>
      <c r="CS112" s="60">
        <f t="shared" si="12"/>
        <v>242.30941426801081</v>
      </c>
      <c r="CT112" s="60">
        <f t="shared" si="12"/>
        <v>234.52231430310405</v>
      </c>
      <c r="CU112" s="60">
        <f t="shared" si="12"/>
        <v>242.30941426801081</v>
      </c>
      <c r="CV112" s="60">
        <f t="shared" si="12"/>
        <v>182.84790909011747</v>
      </c>
      <c r="CW112" s="60">
        <f t="shared" si="12"/>
        <v>126.4178575566054</v>
      </c>
      <c r="CX112" s="60">
        <f t="shared" si="12"/>
        <v>127.05603166545512</v>
      </c>
      <c r="CY112" s="60">
        <f t="shared" si="12"/>
        <v>138.73030903357824</v>
      </c>
    </row>
    <row r="113" spans="1:103" ht="12" customHeight="1" x14ac:dyDescent="0.2">
      <c r="A113" s="104">
        <v>6</v>
      </c>
      <c r="B113" s="104" t="s">
        <v>18</v>
      </c>
      <c r="C113" s="90">
        <v>16.630869852275985</v>
      </c>
      <c r="D113" s="90">
        <v>14.652122679521625</v>
      </c>
      <c r="E113" s="90">
        <v>13.720880230469607</v>
      </c>
      <c r="F113" s="90">
        <v>13.875041920069499</v>
      </c>
      <c r="G113" s="90">
        <v>12.992873340125936</v>
      </c>
      <c r="H113" s="90">
        <v>16.565932810558884</v>
      </c>
      <c r="I113" s="90">
        <v>15.973482827530358</v>
      </c>
      <c r="J113" s="90">
        <v>17.324899118365146</v>
      </c>
      <c r="K113" s="90">
        <v>20.084262623923308</v>
      </c>
      <c r="L113" s="90">
        <v>19.678321556832017</v>
      </c>
      <c r="M113" s="90">
        <v>20.462789654572006</v>
      </c>
      <c r="N113" s="90">
        <v>18.179962352644601</v>
      </c>
      <c r="O113" s="167">
        <f t="shared" si="11"/>
        <v>200.14143896688896</v>
      </c>
      <c r="P113" s="99"/>
      <c r="Q113" s="104">
        <v>6</v>
      </c>
      <c r="R113" s="97" t="s">
        <v>18</v>
      </c>
      <c r="S113" s="119">
        <v>0.98152127309162296</v>
      </c>
      <c r="T113" s="119">
        <v>1.228085552955644</v>
      </c>
      <c r="U113" s="119">
        <v>2.8919026968332311</v>
      </c>
      <c r="V113" s="119">
        <v>2.9539491870181465</v>
      </c>
      <c r="W113" s="119">
        <v>3.9126022652845371</v>
      </c>
      <c r="X113" s="119">
        <v>8.7516974809465928</v>
      </c>
      <c r="Y113" s="119">
        <v>11.443512211311383</v>
      </c>
      <c r="Z113" s="119">
        <v>5.2228037596758696</v>
      </c>
      <c r="AA113" s="119">
        <v>1.9933264859856656</v>
      </c>
      <c r="AB113" s="119">
        <v>1.4312465758819748</v>
      </c>
      <c r="AC113" s="119">
        <v>1.4958237539726689</v>
      </c>
      <c r="AD113" s="119">
        <v>1.2857612492449491</v>
      </c>
      <c r="AE113" s="99"/>
      <c r="AG113" s="99"/>
      <c r="AT113" s="99"/>
      <c r="AV113" s="104"/>
      <c r="AW113" s="99"/>
      <c r="AX113" s="99"/>
      <c r="AY113" s="99"/>
      <c r="AZ113" s="99"/>
      <c r="BA113" s="99"/>
      <c r="BB113" s="99"/>
      <c r="BC113" s="99"/>
      <c r="BD113" s="99"/>
      <c r="BE113" s="99"/>
      <c r="BF113" s="99"/>
      <c r="BG113" s="99"/>
      <c r="BH113" s="99"/>
      <c r="BI113" s="99"/>
      <c r="BJ113" s="104"/>
      <c r="BK113" s="99"/>
      <c r="BL113" s="99"/>
      <c r="BM113" s="99"/>
      <c r="BN113" s="99"/>
      <c r="BO113" s="99"/>
      <c r="BP113" s="99"/>
      <c r="BQ113" s="99"/>
      <c r="BR113" s="99"/>
      <c r="BS113" s="99" t="s">
        <v>77</v>
      </c>
      <c r="BT113" s="104">
        <v>0</v>
      </c>
      <c r="BU113" s="99"/>
      <c r="BV113" s="99"/>
      <c r="BW113" s="99"/>
      <c r="BX113" s="99"/>
      <c r="BY113" s="99"/>
      <c r="BZ113" s="159">
        <v>0</v>
      </c>
      <c r="CA113" s="159">
        <v>0</v>
      </c>
      <c r="CB113" s="159">
        <v>0</v>
      </c>
      <c r="CC113" s="159">
        <v>0</v>
      </c>
      <c r="CD113" s="159">
        <v>0</v>
      </c>
      <c r="CE113" s="159">
        <v>0</v>
      </c>
      <c r="CF113" s="159">
        <v>0</v>
      </c>
      <c r="CG113" s="159">
        <v>0</v>
      </c>
      <c r="CH113" s="159">
        <v>0</v>
      </c>
      <c r="CI113" s="159">
        <v>0</v>
      </c>
      <c r="CJ113" s="159">
        <v>0</v>
      </c>
      <c r="CK113" s="159">
        <v>0</v>
      </c>
      <c r="CM113" s="99"/>
      <c r="CN113" s="59">
        <v>0</v>
      </c>
      <c r="CO113" s="59">
        <v>0</v>
      </c>
      <c r="CP113" s="59">
        <v>0</v>
      </c>
      <c r="CQ113" s="59">
        <v>0</v>
      </c>
      <c r="CR113" s="59">
        <v>0</v>
      </c>
      <c r="CS113" s="59">
        <v>0</v>
      </c>
      <c r="CT113" s="59">
        <v>0</v>
      </c>
      <c r="CU113" s="59">
        <v>0</v>
      </c>
      <c r="CV113" s="59">
        <v>0</v>
      </c>
      <c r="CW113" s="59">
        <v>0</v>
      </c>
      <c r="CX113" s="59">
        <v>0</v>
      </c>
      <c r="CY113" s="59">
        <v>0</v>
      </c>
    </row>
    <row r="114" spans="1:103" ht="12" customHeight="1" x14ac:dyDescent="0.2">
      <c r="A114" s="108">
        <v>7</v>
      </c>
      <c r="B114" s="108" t="s">
        <v>19</v>
      </c>
      <c r="C114" s="90">
        <v>0</v>
      </c>
      <c r="D114" s="90">
        <v>0</v>
      </c>
      <c r="E114" s="90">
        <v>0</v>
      </c>
      <c r="F114" s="90">
        <v>0</v>
      </c>
      <c r="G114" s="90">
        <v>0</v>
      </c>
      <c r="H114" s="90">
        <v>0</v>
      </c>
      <c r="I114" s="90">
        <v>0</v>
      </c>
      <c r="J114" s="90">
        <v>0</v>
      </c>
      <c r="K114" s="90">
        <v>0</v>
      </c>
      <c r="L114" s="90">
        <v>0</v>
      </c>
      <c r="M114" s="90">
        <v>0</v>
      </c>
      <c r="N114" s="90">
        <v>0</v>
      </c>
      <c r="O114" s="167">
        <f t="shared" si="11"/>
        <v>0</v>
      </c>
      <c r="P114" s="99"/>
      <c r="Q114" s="108">
        <v>7</v>
      </c>
      <c r="R114" s="109" t="s">
        <v>19</v>
      </c>
      <c r="S114" s="132">
        <v>0</v>
      </c>
      <c r="T114" s="132">
        <v>0</v>
      </c>
      <c r="U114" s="132">
        <v>0</v>
      </c>
      <c r="V114" s="132">
        <v>0</v>
      </c>
      <c r="W114" s="132">
        <v>0</v>
      </c>
      <c r="X114" s="132">
        <v>0</v>
      </c>
      <c r="Y114" s="132">
        <v>0</v>
      </c>
      <c r="Z114" s="132">
        <v>0</v>
      </c>
      <c r="AA114" s="132">
        <v>0</v>
      </c>
      <c r="AB114" s="132">
        <v>0</v>
      </c>
      <c r="AC114" s="132">
        <v>0</v>
      </c>
      <c r="AD114" s="132">
        <v>0</v>
      </c>
      <c r="AE114" s="99"/>
      <c r="AG114" s="99"/>
      <c r="AT114" s="99"/>
      <c r="AV114" s="108"/>
      <c r="AW114" s="99"/>
      <c r="AX114" s="99"/>
      <c r="AY114" s="99"/>
      <c r="AZ114" s="99"/>
      <c r="BA114" s="99"/>
      <c r="BB114" s="99"/>
      <c r="BC114" s="99"/>
      <c r="BD114" s="99"/>
      <c r="BE114" s="99"/>
      <c r="BF114" s="99"/>
      <c r="BG114" s="99"/>
      <c r="BH114" s="99"/>
      <c r="BI114" s="99"/>
      <c r="BJ114" s="108"/>
      <c r="BK114" s="99"/>
      <c r="BL114" s="99"/>
      <c r="BM114" s="99"/>
      <c r="BN114" s="99"/>
      <c r="BO114" s="99"/>
      <c r="BP114" s="99"/>
      <c r="BQ114" s="99"/>
      <c r="BR114" s="99"/>
      <c r="BS114" s="143" t="s">
        <v>78</v>
      </c>
      <c r="BT114" s="108">
        <v>591.66584660000001</v>
      </c>
      <c r="BU114" s="99"/>
      <c r="BV114" s="99"/>
      <c r="BW114" s="99"/>
      <c r="BX114" s="99"/>
      <c r="BY114" s="99"/>
      <c r="BZ114" s="164">
        <v>104.96599465567991</v>
      </c>
      <c r="CA114" s="165">
        <v>101.78228557518396</v>
      </c>
      <c r="CB114" s="165">
        <v>105.85743605575834</v>
      </c>
      <c r="CC114" s="165">
        <v>104.75675678523925</v>
      </c>
      <c r="CD114" s="165">
        <v>95.250611907756522</v>
      </c>
      <c r="CE114" s="165">
        <v>105.2126206814809</v>
      </c>
      <c r="CF114" s="165">
        <v>101.64109034633547</v>
      </c>
      <c r="CG114" s="165">
        <v>104.76994846444076</v>
      </c>
      <c r="CH114" s="165">
        <v>101.36954473033826</v>
      </c>
      <c r="CI114" s="165">
        <v>104.80400177295138</v>
      </c>
      <c r="CJ114" s="165">
        <v>104.93060297187606</v>
      </c>
      <c r="CK114" s="165">
        <v>101.54445822930489</v>
      </c>
      <c r="CM114" s="99"/>
      <c r="CN114" s="60">
        <f>CN112+$BV$84-(S69-S67)</f>
        <v>388.79258944895685</v>
      </c>
      <c r="CO114" s="60">
        <f t="shared" ref="CO114:CY114" si="13">CO112+$BV$84-(T69-T67)</f>
        <v>368.19435383471659</v>
      </c>
      <c r="CP114" s="60">
        <f t="shared" si="13"/>
        <v>380.46036186394576</v>
      </c>
      <c r="CQ114" s="60">
        <f t="shared" si="13"/>
        <v>378.41395533197726</v>
      </c>
      <c r="CR114" s="60">
        <f t="shared" si="13"/>
        <v>329.59184041756703</v>
      </c>
      <c r="CS114" s="60">
        <f t="shared" si="13"/>
        <v>265.83370170897558</v>
      </c>
      <c r="CT114" s="60">
        <f t="shared" si="13"/>
        <v>226.98807854955885</v>
      </c>
      <c r="CU114" s="60">
        <f t="shared" si="13"/>
        <v>349.55901834537008</v>
      </c>
      <c r="CV114" s="60">
        <f t="shared" si="13"/>
        <v>389.94111662774458</v>
      </c>
      <c r="CW114" s="60">
        <f t="shared" si="13"/>
        <v>368.82138255146788</v>
      </c>
      <c r="CX114" s="60">
        <f t="shared" si="13"/>
        <v>372.06060194673887</v>
      </c>
      <c r="CY114" s="60">
        <f t="shared" si="13"/>
        <v>357.8377169869575</v>
      </c>
    </row>
    <row r="115" spans="1:103" ht="12" customHeight="1" x14ac:dyDescent="0.2">
      <c r="A115" s="108">
        <v>8</v>
      </c>
      <c r="B115" s="108" t="s">
        <v>23</v>
      </c>
      <c r="C115" s="90">
        <v>1.8516374444625501</v>
      </c>
      <c r="D115" s="90">
        <v>1.2640251109564364</v>
      </c>
      <c r="E115" s="90">
        <v>1.8852651130404892</v>
      </c>
      <c r="F115" s="90">
        <v>2.3992041211329598</v>
      </c>
      <c r="G115" s="90">
        <v>3.250833751354707</v>
      </c>
      <c r="H115" s="90">
        <v>5.1973516870262495</v>
      </c>
      <c r="I115" s="90">
        <v>5.3053911043871524</v>
      </c>
      <c r="J115" s="90">
        <v>5.3003121159295326</v>
      </c>
      <c r="K115" s="90">
        <v>5.6827671485542375</v>
      </c>
      <c r="L115" s="90">
        <v>3.847365495197836</v>
      </c>
      <c r="M115" s="90">
        <v>3.1311031734009642</v>
      </c>
      <c r="N115" s="90">
        <v>1.7922535149515726</v>
      </c>
      <c r="O115" s="167">
        <f t="shared" si="11"/>
        <v>40.90750978039469</v>
      </c>
      <c r="P115" s="99"/>
      <c r="Q115" s="108">
        <v>8</v>
      </c>
      <c r="R115" s="109" t="s">
        <v>23</v>
      </c>
      <c r="S115" s="132">
        <v>0</v>
      </c>
      <c r="T115" s="132">
        <v>0</v>
      </c>
      <c r="U115" s="132">
        <v>0</v>
      </c>
      <c r="V115" s="132">
        <v>0</v>
      </c>
      <c r="W115" s="132">
        <v>0</v>
      </c>
      <c r="X115" s="132">
        <v>0</v>
      </c>
      <c r="Y115" s="132">
        <v>0</v>
      </c>
      <c r="Z115" s="132">
        <v>0</v>
      </c>
      <c r="AA115" s="132">
        <v>0</v>
      </c>
      <c r="AB115" s="132">
        <v>0</v>
      </c>
      <c r="AC115" s="132">
        <v>0</v>
      </c>
      <c r="AD115" s="132">
        <v>0</v>
      </c>
      <c r="AE115" s="99"/>
      <c r="AG115" s="99"/>
      <c r="AT115" s="99"/>
      <c r="AV115" s="108"/>
      <c r="AW115" s="99"/>
      <c r="AX115" s="99"/>
      <c r="AY115" s="99"/>
      <c r="AZ115" s="99"/>
      <c r="BA115" s="99"/>
      <c r="BB115" s="99"/>
      <c r="BC115" s="99"/>
      <c r="BD115" s="99"/>
      <c r="BE115" s="99"/>
      <c r="BF115" s="99"/>
      <c r="BG115" s="99"/>
      <c r="BH115" s="99"/>
      <c r="BI115" s="99"/>
      <c r="BJ115" s="108"/>
      <c r="BK115" s="99"/>
      <c r="BL115" s="99"/>
      <c r="BM115" s="99"/>
      <c r="BN115" s="99"/>
      <c r="BO115" s="99"/>
      <c r="BP115" s="99"/>
      <c r="BQ115" s="99"/>
      <c r="BR115" s="99"/>
      <c r="BS115" s="143" t="s">
        <v>79</v>
      </c>
      <c r="BT115" s="108">
        <v>731.85583333333329</v>
      </c>
      <c r="BU115" s="99"/>
      <c r="BV115" s="99"/>
      <c r="BW115" s="99"/>
      <c r="BX115" s="99"/>
      <c r="BY115" s="99"/>
      <c r="BZ115" s="164">
        <v>112.53589295498777</v>
      </c>
      <c r="CA115" s="172">
        <v>124.70659517459185</v>
      </c>
      <c r="CB115" s="172">
        <v>177.35238454365586</v>
      </c>
      <c r="CC115" s="172">
        <v>192.95571057505558</v>
      </c>
      <c r="CD115" s="172">
        <v>214.71989654839174</v>
      </c>
      <c r="CE115" s="172">
        <v>331.35692337852277</v>
      </c>
      <c r="CF115" s="172">
        <v>379.6621718015387</v>
      </c>
      <c r="CG115" s="172">
        <v>212.96885069641809</v>
      </c>
      <c r="CH115" s="165">
        <v>108.75287404149492</v>
      </c>
      <c r="CI115" s="165">
        <v>112.37830441644012</v>
      </c>
      <c r="CJ115" s="165">
        <v>112.48966628992567</v>
      </c>
      <c r="CK115" s="165">
        <v>108.99828690065158</v>
      </c>
      <c r="CM115" s="99"/>
      <c r="CN115" s="60">
        <f>CN114+$BV$85-(S70-S69)</f>
        <v>418.23972283408898</v>
      </c>
      <c r="CO115" s="60">
        <f t="shared" ref="CO115:CY115" si="14">CO114+$BV$85-(T70-T69)</f>
        <v>396.61665560915492</v>
      </c>
      <c r="CP115" s="60">
        <f t="shared" si="14"/>
        <v>405.1275909195403</v>
      </c>
      <c r="CQ115" s="60">
        <f t="shared" si="14"/>
        <v>399.7987802689197</v>
      </c>
      <c r="CR115" s="60">
        <f t="shared" si="14"/>
        <v>347.44668912931638</v>
      </c>
      <c r="CS115" s="60">
        <f t="shared" si="14"/>
        <v>273.36013901007169</v>
      </c>
      <c r="CT115" s="60">
        <f t="shared" si="14"/>
        <v>234.23661488526102</v>
      </c>
      <c r="CU115" s="60">
        <f t="shared" si="14"/>
        <v>366.22749169050809</v>
      </c>
      <c r="CV115" s="60">
        <f t="shared" si="14"/>
        <v>414.47638239758919</v>
      </c>
      <c r="CW115" s="60">
        <f t="shared" si="14"/>
        <v>397.5230637569058</v>
      </c>
      <c r="CX115" s="60">
        <f t="shared" si="14"/>
        <v>401.91931224120867</v>
      </c>
      <c r="CY115" s="60">
        <f t="shared" si="14"/>
        <v>388.57990999548127</v>
      </c>
    </row>
    <row r="116" spans="1:103" ht="12" customHeight="1" x14ac:dyDescent="0.2">
      <c r="A116" s="108">
        <v>9</v>
      </c>
      <c r="B116" s="108" t="s">
        <v>24</v>
      </c>
      <c r="C116" s="90">
        <v>0</v>
      </c>
      <c r="D116" s="90">
        <v>0</v>
      </c>
      <c r="E116" s="90">
        <v>0</v>
      </c>
      <c r="F116" s="90">
        <v>0</v>
      </c>
      <c r="G116" s="90">
        <v>0</v>
      </c>
      <c r="H116" s="90">
        <v>0</v>
      </c>
      <c r="I116" s="90">
        <v>0</v>
      </c>
      <c r="J116" s="90">
        <v>0</v>
      </c>
      <c r="K116" s="90">
        <v>0</v>
      </c>
      <c r="L116" s="90">
        <v>0</v>
      </c>
      <c r="M116" s="90">
        <v>0</v>
      </c>
      <c r="N116" s="90">
        <v>0</v>
      </c>
      <c r="O116" s="167">
        <f t="shared" si="11"/>
        <v>0</v>
      </c>
      <c r="P116" s="99"/>
      <c r="Q116" s="108">
        <v>9</v>
      </c>
      <c r="R116" s="109" t="s">
        <v>24</v>
      </c>
      <c r="S116" s="132">
        <v>0</v>
      </c>
      <c r="T116" s="132">
        <v>0</v>
      </c>
      <c r="U116" s="132">
        <v>0</v>
      </c>
      <c r="V116" s="132">
        <v>0</v>
      </c>
      <c r="W116" s="132">
        <v>0</v>
      </c>
      <c r="X116" s="132">
        <v>0</v>
      </c>
      <c r="Y116" s="132">
        <v>0</v>
      </c>
      <c r="Z116" s="132">
        <v>0</v>
      </c>
      <c r="AA116" s="132">
        <v>0</v>
      </c>
      <c r="AB116" s="132">
        <v>0</v>
      </c>
      <c r="AC116" s="132">
        <v>0</v>
      </c>
      <c r="AD116" s="132">
        <v>0</v>
      </c>
      <c r="AE116" s="99"/>
      <c r="AG116" s="99"/>
      <c r="AT116" s="99"/>
      <c r="AV116" s="108"/>
      <c r="AW116" s="99"/>
      <c r="AX116" s="99"/>
      <c r="AY116" s="99"/>
      <c r="AZ116" s="99"/>
      <c r="BA116" s="99"/>
      <c r="BB116" s="99"/>
      <c r="BC116" s="99"/>
      <c r="BD116" s="99"/>
      <c r="BE116" s="99"/>
      <c r="BF116" s="99"/>
      <c r="BG116" s="99"/>
      <c r="BH116" s="99"/>
      <c r="BI116" s="99"/>
      <c r="BJ116" s="108"/>
      <c r="BK116" s="99"/>
      <c r="BL116" s="99"/>
      <c r="BM116" s="99"/>
      <c r="BN116" s="99"/>
      <c r="BO116" s="99"/>
      <c r="BP116" s="99"/>
      <c r="BQ116" s="99"/>
      <c r="BR116" s="99"/>
      <c r="BS116" s="143" t="s">
        <v>80</v>
      </c>
      <c r="BT116" s="108">
        <v>53.88</v>
      </c>
      <c r="BU116" s="99"/>
      <c r="BV116" s="99"/>
      <c r="BW116" s="99"/>
      <c r="BX116" s="99"/>
      <c r="BY116" s="99"/>
      <c r="BZ116" s="171">
        <v>129.15955856158769</v>
      </c>
      <c r="CA116" s="172">
        <v>156.98603864455336</v>
      </c>
      <c r="CB116" s="172">
        <v>209.63182801361737</v>
      </c>
      <c r="CC116" s="172">
        <v>225.23515404501708</v>
      </c>
      <c r="CD116" s="172">
        <v>246.99934001835325</v>
      </c>
      <c r="CE116" s="172">
        <v>363.63636684848427</v>
      </c>
      <c r="CF116" s="172">
        <v>411.94161527150021</v>
      </c>
      <c r="CG116" s="172">
        <v>245.24829416637959</v>
      </c>
      <c r="CH116" s="165">
        <v>108.2326585449687</v>
      </c>
      <c r="CI116" s="165">
        <v>111.83132116442151</v>
      </c>
      <c r="CJ116" s="165">
        <v>111.85298194222018</v>
      </c>
      <c r="CK116" s="165">
        <v>108.55948894447594</v>
      </c>
      <c r="CM116" s="99"/>
      <c r="CN116" s="60">
        <f>CN115+$BV$86-(S71-S70)</f>
        <v>418.42413669757275</v>
      </c>
      <c r="CO116" s="60">
        <f t="shared" ref="CO116:CY116" si="15">CO115+$BV$86-(T71-T70)</f>
        <v>396.80106947263869</v>
      </c>
      <c r="CP116" s="60">
        <f t="shared" si="15"/>
        <v>405.31200478302407</v>
      </c>
      <c r="CQ116" s="60">
        <f t="shared" si="15"/>
        <v>399.98319413240347</v>
      </c>
      <c r="CR116" s="60">
        <f t="shared" si="15"/>
        <v>347.63110299280015</v>
      </c>
      <c r="CS116" s="60">
        <f t="shared" si="15"/>
        <v>273.54455287355546</v>
      </c>
      <c r="CT116" s="60">
        <f t="shared" si="15"/>
        <v>234.42102874874479</v>
      </c>
      <c r="CU116" s="60">
        <f t="shared" si="15"/>
        <v>366.41190555399186</v>
      </c>
      <c r="CV116" s="60">
        <f t="shared" si="15"/>
        <v>414.66079626107296</v>
      </c>
      <c r="CW116" s="60">
        <f t="shared" si="15"/>
        <v>397.70747762038957</v>
      </c>
      <c r="CX116" s="60">
        <f t="shared" si="15"/>
        <v>402.10372610469244</v>
      </c>
      <c r="CY116" s="60">
        <f t="shared" si="15"/>
        <v>388.76432385896504</v>
      </c>
    </row>
    <row r="117" spans="1:103" ht="12" customHeight="1" x14ac:dyDescent="0.2">
      <c r="A117" s="104">
        <v>10</v>
      </c>
      <c r="B117" s="104" t="s">
        <v>25</v>
      </c>
      <c r="C117" s="90">
        <v>3.0929398419102649</v>
      </c>
      <c r="D117" s="90">
        <v>1.4512567382409152</v>
      </c>
      <c r="E117" s="90">
        <v>2.2396207711025569</v>
      </c>
      <c r="F117" s="90">
        <v>2.7993249963461881</v>
      </c>
      <c r="G117" s="90">
        <v>4.5665531938984021</v>
      </c>
      <c r="H117" s="90">
        <v>16.225808883734572</v>
      </c>
      <c r="I117" s="90">
        <v>17.111365280525337</v>
      </c>
      <c r="J117" s="90">
        <v>13.48339662066533</v>
      </c>
      <c r="K117" s="90">
        <v>17.309333151070248</v>
      </c>
      <c r="L117" s="90">
        <v>11.422776211562004</v>
      </c>
      <c r="M117" s="90">
        <v>9.2168041761823964</v>
      </c>
      <c r="N117" s="90">
        <v>1.4977399206048041</v>
      </c>
      <c r="O117" s="167">
        <f t="shared" si="11"/>
        <v>100.41691978584302</v>
      </c>
      <c r="P117" s="99"/>
      <c r="Q117" s="104">
        <v>10</v>
      </c>
      <c r="R117" s="97" t="s">
        <v>25</v>
      </c>
      <c r="S117" s="119">
        <v>1.1659308474411523</v>
      </c>
      <c r="T117" s="119">
        <v>0.77461956046801017</v>
      </c>
      <c r="U117" s="119">
        <v>1.4706768372844978</v>
      </c>
      <c r="V117" s="119">
        <v>1.8433833251423106</v>
      </c>
      <c r="W117" s="119">
        <v>2.5895603142422488</v>
      </c>
      <c r="X117" s="119">
        <v>3.7450688209416967</v>
      </c>
      <c r="Y117" s="119">
        <v>3.1577025791532662</v>
      </c>
      <c r="Z117" s="119">
        <v>3.6920586729431939</v>
      </c>
      <c r="AA117" s="119">
        <v>9.0570772948589067</v>
      </c>
      <c r="AB117" s="119">
        <v>12.431594481768512</v>
      </c>
      <c r="AC117" s="119">
        <v>10.611152722975026</v>
      </c>
      <c r="AD117" s="119">
        <v>4.4523406525472113</v>
      </c>
      <c r="AE117" s="99"/>
      <c r="AG117" s="99"/>
      <c r="AT117" s="99"/>
      <c r="AV117" s="104"/>
      <c r="AW117" s="99"/>
      <c r="AX117" s="99"/>
      <c r="AY117" s="99"/>
      <c r="AZ117" s="99"/>
      <c r="BA117" s="99"/>
      <c r="BB117" s="99"/>
      <c r="BC117" s="99"/>
      <c r="BD117" s="99"/>
      <c r="BE117" s="99"/>
      <c r="BF117" s="99"/>
      <c r="BG117" s="99"/>
      <c r="BH117" s="99"/>
      <c r="BI117" s="99"/>
      <c r="BJ117" s="104"/>
      <c r="BK117" s="99"/>
      <c r="BL117" s="99"/>
      <c r="BM117" s="99"/>
      <c r="BN117" s="99"/>
      <c r="BO117" s="99"/>
      <c r="BP117" s="99"/>
      <c r="BQ117" s="99"/>
      <c r="BR117" s="99"/>
      <c r="BS117" s="99" t="s">
        <v>81</v>
      </c>
      <c r="BT117" s="104">
        <v>0</v>
      </c>
      <c r="BU117" s="99"/>
      <c r="BV117" s="99"/>
      <c r="BW117" s="99"/>
      <c r="BX117" s="99"/>
      <c r="BY117" s="99"/>
      <c r="BZ117" s="159">
        <v>0</v>
      </c>
      <c r="CA117" s="159">
        <v>0</v>
      </c>
      <c r="CB117" s="159">
        <v>0</v>
      </c>
      <c r="CC117" s="159">
        <v>0</v>
      </c>
      <c r="CD117" s="159">
        <v>0</v>
      </c>
      <c r="CE117" s="159">
        <v>0</v>
      </c>
      <c r="CF117" s="159">
        <v>0</v>
      </c>
      <c r="CG117" s="159">
        <v>0</v>
      </c>
      <c r="CH117" s="159">
        <v>0</v>
      </c>
      <c r="CI117" s="159">
        <v>0</v>
      </c>
      <c r="CJ117" s="159">
        <v>0</v>
      </c>
      <c r="CK117" s="159">
        <v>0</v>
      </c>
      <c r="CM117" s="99"/>
      <c r="CN117" s="59">
        <v>0</v>
      </c>
      <c r="CO117" s="59">
        <v>0</v>
      </c>
      <c r="CP117" s="59">
        <v>0</v>
      </c>
      <c r="CQ117" s="59">
        <v>0</v>
      </c>
      <c r="CR117" s="59">
        <v>0</v>
      </c>
      <c r="CS117" s="59">
        <v>0</v>
      </c>
      <c r="CT117" s="59">
        <v>0</v>
      </c>
      <c r="CU117" s="59">
        <v>0</v>
      </c>
      <c r="CV117" s="59">
        <v>0</v>
      </c>
      <c r="CW117" s="59">
        <v>0</v>
      </c>
      <c r="CX117" s="59">
        <v>0</v>
      </c>
      <c r="CY117" s="59">
        <v>0</v>
      </c>
    </row>
    <row r="118" spans="1:103" ht="12" customHeight="1" x14ac:dyDescent="0.2">
      <c r="A118" s="104">
        <v>11</v>
      </c>
      <c r="B118" s="104" t="s">
        <v>26</v>
      </c>
      <c r="C118" s="90">
        <v>1.1219977998705011</v>
      </c>
      <c r="D118" s="90">
        <v>0.52792718338241751</v>
      </c>
      <c r="E118" s="90">
        <v>0.98155051025989448</v>
      </c>
      <c r="F118" s="90">
        <v>2.3566884151935277</v>
      </c>
      <c r="G118" s="90">
        <v>2.8158865762306964</v>
      </c>
      <c r="H118" s="90">
        <v>7.1204763314907309</v>
      </c>
      <c r="I118" s="90">
        <v>11.318371667661166</v>
      </c>
      <c r="J118" s="90">
        <v>6.7966791717704265</v>
      </c>
      <c r="K118" s="90">
        <v>7.7137659959208893</v>
      </c>
      <c r="L118" s="90">
        <v>10.164461389198427</v>
      </c>
      <c r="M118" s="90">
        <v>7.8446505817909511</v>
      </c>
      <c r="N118" s="90">
        <v>2.177619483689464</v>
      </c>
      <c r="O118" s="167">
        <f t="shared" si="11"/>
        <v>60.940075106459091</v>
      </c>
      <c r="P118" s="99"/>
      <c r="Q118" s="104">
        <v>11</v>
      </c>
      <c r="R118" s="97" t="s">
        <v>26</v>
      </c>
      <c r="S118" s="119">
        <v>1.6821134854976598</v>
      </c>
      <c r="T118" s="119">
        <v>1.704003205846111</v>
      </c>
      <c r="U118" s="119">
        <v>3.38955127422585</v>
      </c>
      <c r="V118" s="119">
        <v>4.738458076239553</v>
      </c>
      <c r="W118" s="119">
        <v>4.977144757562753</v>
      </c>
      <c r="X118" s="119">
        <v>10.575473875153419</v>
      </c>
      <c r="Y118" s="119">
        <v>15.575553680700967</v>
      </c>
      <c r="Z118" s="119">
        <v>9.4258366794686648</v>
      </c>
      <c r="AA118" s="119">
        <v>4.1770476282389737</v>
      </c>
      <c r="AB118" s="119">
        <v>1.3582084774794456</v>
      </c>
      <c r="AC118" s="119">
        <v>1.0155498739341411</v>
      </c>
      <c r="AD118" s="119">
        <v>0.80677789889067597</v>
      </c>
      <c r="AE118" s="99"/>
      <c r="AG118" s="99"/>
      <c r="AT118" s="99"/>
      <c r="AV118" s="104"/>
      <c r="AW118" s="99"/>
      <c r="AX118" s="99"/>
      <c r="AY118" s="99"/>
      <c r="AZ118" s="99"/>
      <c r="BA118" s="99"/>
      <c r="BB118" s="99"/>
      <c r="BC118" s="99"/>
      <c r="BD118" s="99"/>
      <c r="BE118" s="99"/>
      <c r="BF118" s="99"/>
      <c r="BG118" s="99"/>
      <c r="BH118" s="99"/>
      <c r="BI118" s="99"/>
      <c r="BJ118" s="104"/>
      <c r="BK118" s="99"/>
      <c r="BL118" s="99"/>
      <c r="BM118" s="99"/>
      <c r="BN118" s="99"/>
      <c r="BO118" s="99"/>
      <c r="BP118" s="99"/>
      <c r="BQ118" s="99"/>
      <c r="BR118" s="99"/>
      <c r="BS118" s="99" t="s">
        <v>82</v>
      </c>
      <c r="BT118" s="104">
        <v>0</v>
      </c>
      <c r="BU118" s="99"/>
      <c r="BV118" s="99"/>
      <c r="BW118" s="99"/>
      <c r="BX118" s="99"/>
      <c r="BY118" s="99"/>
      <c r="BZ118" s="159">
        <v>0</v>
      </c>
      <c r="CA118" s="159">
        <v>0</v>
      </c>
      <c r="CB118" s="159">
        <v>0</v>
      </c>
      <c r="CC118" s="159">
        <v>0</v>
      </c>
      <c r="CD118" s="159">
        <v>0</v>
      </c>
      <c r="CE118" s="159">
        <v>0</v>
      </c>
      <c r="CF118" s="159">
        <v>0</v>
      </c>
      <c r="CG118" s="159">
        <v>0</v>
      </c>
      <c r="CH118" s="159">
        <v>0</v>
      </c>
      <c r="CI118" s="159">
        <v>0</v>
      </c>
      <c r="CJ118" s="159">
        <v>0</v>
      </c>
      <c r="CK118" s="159">
        <v>0</v>
      </c>
      <c r="CM118" s="99"/>
      <c r="CN118" s="59">
        <v>0</v>
      </c>
      <c r="CO118" s="59">
        <v>0</v>
      </c>
      <c r="CP118" s="59">
        <v>0</v>
      </c>
      <c r="CQ118" s="59">
        <v>0</v>
      </c>
      <c r="CR118" s="59">
        <v>0</v>
      </c>
      <c r="CS118" s="59">
        <v>0</v>
      </c>
      <c r="CT118" s="59">
        <v>0</v>
      </c>
      <c r="CU118" s="59">
        <v>0</v>
      </c>
      <c r="CV118" s="59">
        <v>0</v>
      </c>
      <c r="CW118" s="59">
        <v>0</v>
      </c>
      <c r="CX118" s="59">
        <v>0</v>
      </c>
      <c r="CY118" s="59">
        <v>0</v>
      </c>
    </row>
    <row r="119" spans="1:103" ht="12" customHeight="1" x14ac:dyDescent="0.2">
      <c r="A119" s="104">
        <v>12</v>
      </c>
      <c r="B119" s="104" t="s">
        <v>27</v>
      </c>
      <c r="C119" s="90">
        <v>8.6243261013102701E-2</v>
      </c>
      <c r="D119" s="90">
        <v>0.16358304373806398</v>
      </c>
      <c r="E119" s="90">
        <v>0.37377450988295197</v>
      </c>
      <c r="F119" s="90">
        <v>0.53773646056906044</v>
      </c>
      <c r="G119" s="90">
        <v>0.48474969645927146</v>
      </c>
      <c r="H119" s="90">
        <v>0.76086378183827663</v>
      </c>
      <c r="I119" s="90">
        <v>0.73460847048261735</v>
      </c>
      <c r="J119" s="90">
        <v>0.28999662423776507</v>
      </c>
      <c r="K119" s="90">
        <v>1.3453919070195957</v>
      </c>
      <c r="L119" s="90">
        <v>2.208031391671696</v>
      </c>
      <c r="M119" s="90">
        <v>1.8114974611606591</v>
      </c>
      <c r="N119" s="90">
        <v>0.54719013050767273</v>
      </c>
      <c r="O119" s="167">
        <f t="shared" si="11"/>
        <v>9.3436667385807333</v>
      </c>
      <c r="P119" s="99"/>
      <c r="Q119" s="104">
        <v>12</v>
      </c>
      <c r="R119" s="97" t="s">
        <v>27</v>
      </c>
      <c r="S119" s="119">
        <v>6.1295947190476208E-2</v>
      </c>
      <c r="T119" s="119">
        <v>0</v>
      </c>
      <c r="U119" s="119">
        <v>0</v>
      </c>
      <c r="V119" s="119">
        <v>0</v>
      </c>
      <c r="W119" s="119">
        <v>0</v>
      </c>
      <c r="X119" s="119">
        <v>0</v>
      </c>
      <c r="Y119" s="119">
        <v>0</v>
      </c>
      <c r="Z119" s="119">
        <v>0.20115744865499691</v>
      </c>
      <c r="AA119" s="119">
        <v>6.8450896649371087</v>
      </c>
      <c r="AB119" s="119">
        <v>13.085175929188908</v>
      </c>
      <c r="AC119" s="119">
        <v>10.839230697965696</v>
      </c>
      <c r="AD119" s="119">
        <v>3.3526716826759873</v>
      </c>
      <c r="AE119" s="99"/>
      <c r="AG119" s="99"/>
      <c r="AT119" s="99"/>
      <c r="AV119" s="104"/>
      <c r="AW119" s="99"/>
      <c r="AX119" s="99"/>
      <c r="AY119" s="99"/>
      <c r="AZ119" s="99"/>
      <c r="BA119" s="99"/>
      <c r="BB119" s="99"/>
      <c r="BC119" s="99"/>
      <c r="BD119" s="99"/>
      <c r="BE119" s="99"/>
      <c r="BF119" s="99"/>
      <c r="BG119" s="99"/>
      <c r="BH119" s="99"/>
      <c r="BI119" s="99"/>
      <c r="BJ119" s="104"/>
      <c r="BK119" s="99"/>
      <c r="BL119" s="99"/>
      <c r="BM119" s="99"/>
      <c r="BN119" s="99"/>
      <c r="BO119" s="99"/>
      <c r="BP119" s="99"/>
      <c r="BQ119" s="99"/>
      <c r="BR119" s="99"/>
      <c r="BS119" s="99" t="s">
        <v>83</v>
      </c>
      <c r="BT119" s="104">
        <v>0</v>
      </c>
      <c r="BU119" s="99"/>
      <c r="BV119" s="99"/>
      <c r="BW119" s="99"/>
      <c r="BX119" s="99"/>
      <c r="BY119" s="99"/>
      <c r="BZ119" s="159">
        <v>0</v>
      </c>
      <c r="CA119" s="159">
        <v>0</v>
      </c>
      <c r="CB119" s="159">
        <v>0</v>
      </c>
      <c r="CC119" s="159">
        <v>0</v>
      </c>
      <c r="CD119" s="159">
        <v>0</v>
      </c>
      <c r="CE119" s="159">
        <v>0</v>
      </c>
      <c r="CF119" s="159">
        <v>0</v>
      </c>
      <c r="CG119" s="159">
        <v>0</v>
      </c>
      <c r="CH119" s="159">
        <v>0</v>
      </c>
      <c r="CI119" s="159">
        <v>0</v>
      </c>
      <c r="CJ119" s="159">
        <v>0</v>
      </c>
      <c r="CK119" s="159">
        <v>0</v>
      </c>
      <c r="CM119" s="99"/>
      <c r="CN119" s="59">
        <v>0</v>
      </c>
      <c r="CO119" s="59">
        <v>0</v>
      </c>
      <c r="CP119" s="59">
        <v>0</v>
      </c>
      <c r="CQ119" s="59">
        <v>0</v>
      </c>
      <c r="CR119" s="59">
        <v>0</v>
      </c>
      <c r="CS119" s="59">
        <v>0</v>
      </c>
      <c r="CT119" s="59">
        <v>0</v>
      </c>
      <c r="CU119" s="59">
        <v>0</v>
      </c>
      <c r="CV119" s="59">
        <v>0</v>
      </c>
      <c r="CW119" s="59">
        <v>0</v>
      </c>
      <c r="CX119" s="59">
        <v>0</v>
      </c>
      <c r="CY119" s="59">
        <v>0</v>
      </c>
    </row>
    <row r="120" spans="1:103" ht="12" customHeight="1" x14ac:dyDescent="0.2">
      <c r="A120" s="104">
        <v>13</v>
      </c>
      <c r="B120" s="104" t="s">
        <v>28</v>
      </c>
      <c r="C120" s="90">
        <v>15.430372721198838</v>
      </c>
      <c r="D120" s="90">
        <v>22.935179578336516</v>
      </c>
      <c r="E120" s="90">
        <v>27.268845869296101</v>
      </c>
      <c r="F120" s="90">
        <v>28.896289877285945</v>
      </c>
      <c r="G120" s="90">
        <v>22.467848473463768</v>
      </c>
      <c r="H120" s="90">
        <v>21.357608719737641</v>
      </c>
      <c r="I120" s="90">
        <v>11.82587121138242</v>
      </c>
      <c r="J120" s="90">
        <v>16.73054112112413</v>
      </c>
      <c r="K120" s="90">
        <v>21.851761655108021</v>
      </c>
      <c r="L120" s="90">
        <v>26.035212888951918</v>
      </c>
      <c r="M120" s="90">
        <v>27.196820117639074</v>
      </c>
      <c r="N120" s="90">
        <v>17.781971504890748</v>
      </c>
      <c r="O120" s="167">
        <f t="shared" si="11"/>
        <v>259.77832373841511</v>
      </c>
      <c r="P120" s="99"/>
      <c r="Q120" s="104">
        <v>13</v>
      </c>
      <c r="R120" s="97" t="s">
        <v>28</v>
      </c>
      <c r="S120" s="119">
        <v>0</v>
      </c>
      <c r="T120" s="119">
        <v>0</v>
      </c>
      <c r="U120" s="119">
        <v>0</v>
      </c>
      <c r="V120" s="119">
        <v>0</v>
      </c>
      <c r="W120" s="119">
        <v>0</v>
      </c>
      <c r="X120" s="119">
        <v>0</v>
      </c>
      <c r="Y120" s="119">
        <v>0</v>
      </c>
      <c r="Z120" s="119">
        <v>0.58051896792145286</v>
      </c>
      <c r="AA120" s="119">
        <v>1.0775511711001968</v>
      </c>
      <c r="AB120" s="119">
        <v>1.609412804509418</v>
      </c>
      <c r="AC120" s="119">
        <v>1.4476529014317983</v>
      </c>
      <c r="AD120" s="119">
        <v>0.55168083377239796</v>
      </c>
      <c r="AE120" s="99"/>
      <c r="AG120" s="99"/>
      <c r="AT120" s="99"/>
      <c r="AV120" s="104"/>
      <c r="AW120" s="99"/>
      <c r="AX120" s="99"/>
      <c r="AY120" s="99"/>
      <c r="AZ120" s="99"/>
      <c r="BA120" s="99"/>
      <c r="BB120" s="99"/>
      <c r="BC120" s="99"/>
      <c r="BD120" s="99"/>
      <c r="BE120" s="99"/>
      <c r="BF120" s="99"/>
      <c r="BG120" s="99"/>
      <c r="BH120" s="99"/>
      <c r="BI120" s="99"/>
      <c r="BJ120" s="104"/>
      <c r="BK120" s="99"/>
      <c r="BL120" s="99"/>
      <c r="BM120" s="99"/>
      <c r="BN120" s="99"/>
      <c r="BO120" s="99"/>
      <c r="BP120" s="99"/>
      <c r="BQ120" s="99"/>
      <c r="BR120" s="99"/>
      <c r="BS120" s="99" t="s">
        <v>84</v>
      </c>
      <c r="BT120" s="104">
        <v>0</v>
      </c>
      <c r="BU120" s="99"/>
      <c r="BV120" s="99"/>
      <c r="BW120" s="99"/>
      <c r="BX120" s="99"/>
      <c r="BY120" s="99"/>
      <c r="BZ120" s="159">
        <v>0</v>
      </c>
      <c r="CA120" s="159">
        <v>0</v>
      </c>
      <c r="CB120" s="159">
        <v>0</v>
      </c>
      <c r="CC120" s="159">
        <v>0</v>
      </c>
      <c r="CD120" s="159">
        <v>0</v>
      </c>
      <c r="CE120" s="159">
        <v>0</v>
      </c>
      <c r="CF120" s="159">
        <v>0</v>
      </c>
      <c r="CG120" s="159">
        <v>0</v>
      </c>
      <c r="CH120" s="159">
        <v>0</v>
      </c>
      <c r="CI120" s="159">
        <v>0</v>
      </c>
      <c r="CJ120" s="159">
        <v>0</v>
      </c>
      <c r="CK120" s="159">
        <v>0</v>
      </c>
      <c r="CM120" s="99"/>
      <c r="CN120" s="59">
        <v>0</v>
      </c>
      <c r="CO120" s="59">
        <v>0</v>
      </c>
      <c r="CP120" s="59">
        <v>0</v>
      </c>
      <c r="CQ120" s="59">
        <v>0</v>
      </c>
      <c r="CR120" s="59">
        <v>0</v>
      </c>
      <c r="CS120" s="59">
        <v>0</v>
      </c>
      <c r="CT120" s="59">
        <v>0</v>
      </c>
      <c r="CU120" s="59">
        <v>0</v>
      </c>
      <c r="CV120" s="59">
        <v>0</v>
      </c>
      <c r="CW120" s="59">
        <v>0</v>
      </c>
      <c r="CX120" s="59">
        <v>0</v>
      </c>
      <c r="CY120" s="59">
        <v>0</v>
      </c>
    </row>
    <row r="121" spans="1:103" ht="12" customHeight="1" x14ac:dyDescent="0.2">
      <c r="O121" s="99"/>
      <c r="P121" s="99"/>
      <c r="AE121" s="99"/>
      <c r="AG121" s="99"/>
      <c r="AT121" s="99"/>
      <c r="AW121" s="99"/>
      <c r="AX121" s="99"/>
      <c r="AY121" s="99"/>
      <c r="AZ121" s="99"/>
      <c r="BA121" s="99"/>
      <c r="BB121" s="99"/>
      <c r="BC121" s="99"/>
      <c r="BD121" s="99"/>
      <c r="BE121" s="99"/>
      <c r="BF121" s="99"/>
      <c r="BG121" s="99"/>
      <c r="BH121" s="99"/>
      <c r="BI121" s="99"/>
      <c r="BK121" s="99"/>
      <c r="BL121" s="99"/>
      <c r="BM121" s="99"/>
      <c r="BN121" s="99"/>
      <c r="BO121" s="99"/>
      <c r="BP121" s="99"/>
      <c r="BQ121" s="99"/>
      <c r="BR121" s="99"/>
      <c r="BS121" s="99"/>
      <c r="BT121" s="99"/>
      <c r="BU121" s="99"/>
      <c r="BV121" s="99"/>
      <c r="BW121" s="99"/>
      <c r="BX121" s="99"/>
      <c r="BY121" s="99"/>
      <c r="BZ121" s="99"/>
      <c r="CA121" s="99"/>
      <c r="CB121" s="99"/>
      <c r="CC121" s="99"/>
      <c r="CD121" s="99"/>
      <c r="CE121" s="99"/>
      <c r="CM121" s="99"/>
      <c r="CN121" s="99"/>
      <c r="CO121" s="99"/>
      <c r="CP121" s="99"/>
      <c r="CQ121" s="99"/>
      <c r="CR121" s="99"/>
      <c r="CS121" s="99"/>
      <c r="CT121" s="99"/>
      <c r="CU121" s="99"/>
      <c r="CV121" s="99"/>
      <c r="CW121" s="99"/>
      <c r="CX121" s="99"/>
    </row>
    <row r="122" spans="1:103" ht="12" customHeight="1" x14ac:dyDescent="0.2">
      <c r="B122" s="173" t="s">
        <v>57</v>
      </c>
      <c r="C122" s="102" t="s">
        <v>1</v>
      </c>
      <c r="D122" s="102" t="s">
        <v>2</v>
      </c>
      <c r="E122" s="102" t="s">
        <v>3</v>
      </c>
      <c r="F122" s="102" t="s">
        <v>4</v>
      </c>
      <c r="G122" s="102" t="s">
        <v>5</v>
      </c>
      <c r="H122" s="102" t="s">
        <v>6</v>
      </c>
      <c r="I122" s="102" t="s">
        <v>7</v>
      </c>
      <c r="J122" s="102" t="s">
        <v>8</v>
      </c>
      <c r="K122" s="102" t="s">
        <v>9</v>
      </c>
      <c r="L122" s="102" t="s">
        <v>10</v>
      </c>
      <c r="M122" s="102" t="s">
        <v>11</v>
      </c>
      <c r="N122" s="102" t="s">
        <v>12</v>
      </c>
      <c r="O122" s="99"/>
      <c r="R122" s="174" t="s">
        <v>146</v>
      </c>
      <c r="S122" s="102" t="s">
        <v>1</v>
      </c>
      <c r="T122" s="102" t="s">
        <v>2</v>
      </c>
      <c r="U122" s="102" t="s">
        <v>3</v>
      </c>
      <c r="V122" s="102" t="s">
        <v>4</v>
      </c>
      <c r="W122" s="102" t="s">
        <v>5</v>
      </c>
      <c r="X122" s="102" t="s">
        <v>6</v>
      </c>
      <c r="Y122" s="102" t="s">
        <v>7</v>
      </c>
      <c r="Z122" s="102" t="s">
        <v>8</v>
      </c>
      <c r="AA122" s="102" t="s">
        <v>9</v>
      </c>
      <c r="AB122" s="102" t="s">
        <v>10</v>
      </c>
      <c r="AC122" s="102" t="s">
        <v>11</v>
      </c>
      <c r="AD122" s="102" t="s">
        <v>12</v>
      </c>
      <c r="AE122" s="99"/>
      <c r="AT122" s="99"/>
      <c r="AW122" s="99"/>
      <c r="AX122" s="99"/>
      <c r="AY122" s="99"/>
      <c r="AZ122" s="99"/>
      <c r="BA122" s="99"/>
      <c r="BB122" s="99"/>
      <c r="BC122" s="99"/>
      <c r="BD122" s="99"/>
      <c r="BE122" s="99"/>
      <c r="BF122" s="99"/>
      <c r="BG122" s="99"/>
      <c r="BH122" s="99"/>
      <c r="BI122" s="99"/>
      <c r="BK122" s="99"/>
      <c r="BL122" s="99"/>
      <c r="BM122" s="99"/>
      <c r="BN122" s="99"/>
      <c r="BO122" s="99"/>
      <c r="BP122" s="99"/>
      <c r="BQ122" s="99"/>
      <c r="BR122" s="99"/>
      <c r="BS122" s="99"/>
      <c r="BT122" s="99"/>
      <c r="BU122" s="99"/>
      <c r="BV122" s="99"/>
      <c r="BW122" s="99"/>
      <c r="BX122" s="99"/>
      <c r="BY122" s="99"/>
      <c r="BZ122" s="99"/>
      <c r="CA122" s="99"/>
      <c r="CB122" s="99"/>
      <c r="CC122" s="99"/>
      <c r="CD122" s="99"/>
      <c r="CE122" s="99"/>
      <c r="CF122" s="99"/>
      <c r="CG122" s="99"/>
      <c r="CH122" s="99"/>
      <c r="CI122" s="99"/>
      <c r="CJ122" s="99"/>
      <c r="CK122" s="99"/>
      <c r="CM122" s="99"/>
      <c r="CN122" s="99"/>
      <c r="CO122" s="99"/>
      <c r="CP122" s="99"/>
      <c r="CQ122" s="99"/>
      <c r="CR122" s="99"/>
      <c r="CS122" s="99"/>
      <c r="CT122" s="99"/>
      <c r="CU122" s="99"/>
      <c r="CV122" s="99"/>
      <c r="CW122" s="99"/>
      <c r="CX122" s="99"/>
    </row>
    <row r="123" spans="1:103" ht="12" customHeight="1" x14ac:dyDescent="0.2">
      <c r="A123" s="104">
        <v>1</v>
      </c>
      <c r="B123" s="104" t="s">
        <v>21</v>
      </c>
      <c r="C123" s="173">
        <v>0</v>
      </c>
      <c r="D123" s="173">
        <v>0</v>
      </c>
      <c r="E123" s="173">
        <v>0</v>
      </c>
      <c r="F123" s="173">
        <v>0</v>
      </c>
      <c r="G123" s="173">
        <v>0</v>
      </c>
      <c r="H123" s="173">
        <v>0</v>
      </c>
      <c r="I123" s="173">
        <v>0</v>
      </c>
      <c r="J123" s="173">
        <v>0</v>
      </c>
      <c r="K123" s="173">
        <v>0</v>
      </c>
      <c r="L123" s="173">
        <v>0</v>
      </c>
      <c r="M123" s="173">
        <v>0</v>
      </c>
      <c r="N123" s="173">
        <v>0</v>
      </c>
      <c r="O123" s="167">
        <f>SUM(C123:N123)</f>
        <v>0</v>
      </c>
      <c r="Q123" s="104">
        <v>1</v>
      </c>
      <c r="R123" s="97" t="s">
        <v>21</v>
      </c>
      <c r="S123" s="105">
        <f t="array" ref="S123:AD135">MMULT(C18:O30,S138:AD150)</f>
        <v>0</v>
      </c>
      <c r="T123" s="105">
        <v>0</v>
      </c>
      <c r="U123" s="105">
        <v>0</v>
      </c>
      <c r="V123" s="105">
        <v>0</v>
      </c>
      <c r="W123" s="105">
        <v>0</v>
      </c>
      <c r="X123" s="105">
        <v>0</v>
      </c>
      <c r="Y123" s="105">
        <v>0</v>
      </c>
      <c r="Z123" s="105">
        <v>0</v>
      </c>
      <c r="AA123" s="105">
        <v>0</v>
      </c>
      <c r="AB123" s="105">
        <v>0</v>
      </c>
      <c r="AC123" s="105">
        <v>0</v>
      </c>
      <c r="AD123" s="105">
        <v>0</v>
      </c>
      <c r="AE123" s="99"/>
      <c r="AT123" s="99"/>
      <c r="AV123" s="104"/>
      <c r="AW123" s="99"/>
      <c r="AX123" s="99"/>
      <c r="AY123" s="99"/>
      <c r="AZ123" s="99"/>
      <c r="BA123" s="99"/>
      <c r="BB123" s="99"/>
      <c r="BC123" s="99"/>
      <c r="BD123" s="99"/>
      <c r="BE123" s="99"/>
      <c r="BF123" s="99"/>
      <c r="BG123" s="99"/>
      <c r="BH123" s="99"/>
      <c r="BI123" s="99"/>
      <c r="BJ123" s="104"/>
      <c r="BK123" s="99"/>
      <c r="BL123" s="99"/>
      <c r="BM123" s="99"/>
      <c r="BN123" s="99"/>
      <c r="BO123" s="99"/>
      <c r="BP123" s="99"/>
      <c r="BQ123" s="99"/>
      <c r="BR123" s="99"/>
      <c r="BS123" s="99"/>
      <c r="BT123" s="99"/>
      <c r="BU123" s="99"/>
      <c r="BV123" s="99"/>
      <c r="BW123" s="99"/>
      <c r="BX123" s="99"/>
      <c r="BY123" s="99"/>
      <c r="BZ123" s="99"/>
      <c r="CA123" s="99"/>
      <c r="CB123" s="99"/>
      <c r="CC123" s="99"/>
      <c r="CD123" s="99"/>
      <c r="CE123" s="99"/>
      <c r="CF123" s="99"/>
      <c r="CG123" s="99"/>
      <c r="CH123" s="99"/>
      <c r="CI123" s="99"/>
      <c r="CJ123" s="99"/>
      <c r="CK123" s="99"/>
      <c r="CL123" s="104"/>
      <c r="CM123" s="99"/>
      <c r="CN123" s="99"/>
      <c r="CO123" s="99"/>
      <c r="CP123" s="99"/>
      <c r="CQ123" s="99"/>
      <c r="CR123" s="99"/>
      <c r="CS123" s="99"/>
      <c r="CT123" s="99"/>
      <c r="CU123" s="99"/>
      <c r="CV123" s="99"/>
      <c r="CW123" s="99"/>
      <c r="CX123" s="99"/>
    </row>
    <row r="124" spans="1:103" ht="12" customHeight="1" x14ac:dyDescent="0.2">
      <c r="A124" s="104">
        <v>2</v>
      </c>
      <c r="B124" s="104" t="s">
        <v>22</v>
      </c>
      <c r="C124" s="173">
        <v>0</v>
      </c>
      <c r="D124" s="173">
        <v>0</v>
      </c>
      <c r="E124" s="173">
        <v>0</v>
      </c>
      <c r="F124" s="173">
        <v>0</v>
      </c>
      <c r="G124" s="173">
        <v>0</v>
      </c>
      <c r="H124" s="173">
        <v>0</v>
      </c>
      <c r="I124" s="173">
        <v>0</v>
      </c>
      <c r="J124" s="173">
        <v>0</v>
      </c>
      <c r="K124" s="173">
        <v>0</v>
      </c>
      <c r="L124" s="173">
        <v>0</v>
      </c>
      <c r="M124" s="173">
        <v>0</v>
      </c>
      <c r="N124" s="173">
        <v>0</v>
      </c>
      <c r="O124" s="167">
        <f t="shared" ref="O124:O135" si="16">SUM(C124:N124)</f>
        <v>0</v>
      </c>
      <c r="Q124" s="104">
        <v>2</v>
      </c>
      <c r="R124" s="97" t="s">
        <v>22</v>
      </c>
      <c r="S124" s="105">
        <v>0</v>
      </c>
      <c r="T124" s="105">
        <v>0</v>
      </c>
      <c r="U124" s="105">
        <v>0</v>
      </c>
      <c r="V124" s="105">
        <v>0</v>
      </c>
      <c r="W124" s="105">
        <v>0</v>
      </c>
      <c r="X124" s="105">
        <v>0</v>
      </c>
      <c r="Y124" s="105">
        <v>0</v>
      </c>
      <c r="Z124" s="105">
        <v>0</v>
      </c>
      <c r="AA124" s="105">
        <v>0</v>
      </c>
      <c r="AB124" s="105">
        <v>0</v>
      </c>
      <c r="AC124" s="105">
        <v>0</v>
      </c>
      <c r="AD124" s="105">
        <v>0</v>
      </c>
      <c r="AE124" s="99"/>
      <c r="AT124" s="99"/>
      <c r="AV124" s="104"/>
      <c r="AW124" s="99"/>
      <c r="AX124" s="99"/>
      <c r="AY124" s="99"/>
      <c r="AZ124" s="99"/>
      <c r="BA124" s="99"/>
      <c r="BB124" s="99"/>
      <c r="BC124" s="99"/>
      <c r="BD124" s="99"/>
      <c r="BE124" s="99"/>
      <c r="BF124" s="99"/>
      <c r="BG124" s="99"/>
      <c r="BH124" s="99"/>
      <c r="BI124" s="99"/>
      <c r="BJ124" s="104"/>
      <c r="BK124" s="99"/>
      <c r="BL124" s="99"/>
      <c r="BM124" s="99"/>
      <c r="BN124" s="99"/>
      <c r="BO124" s="99"/>
      <c r="BP124" s="99"/>
      <c r="BQ124" s="99"/>
      <c r="BR124" s="99"/>
      <c r="BS124" s="99"/>
      <c r="BT124" s="99"/>
      <c r="BU124" s="99"/>
      <c r="BV124" s="99"/>
      <c r="BW124" s="99"/>
      <c r="BX124" s="99"/>
      <c r="BY124" s="99" t="s">
        <v>15</v>
      </c>
      <c r="BZ124" s="159">
        <v>0</v>
      </c>
      <c r="CA124" s="159">
        <v>0</v>
      </c>
      <c r="CB124" s="159">
        <v>0</v>
      </c>
      <c r="CC124" s="159">
        <v>0</v>
      </c>
      <c r="CD124" s="159">
        <v>0</v>
      </c>
      <c r="CE124" s="159">
        <v>0</v>
      </c>
      <c r="CF124" s="159">
        <v>0</v>
      </c>
      <c r="CG124" s="159">
        <v>0</v>
      </c>
      <c r="CH124" s="159">
        <v>0</v>
      </c>
      <c r="CI124" s="159">
        <v>0</v>
      </c>
      <c r="CJ124" s="159">
        <v>0</v>
      </c>
      <c r="CK124" s="159">
        <v>0</v>
      </c>
      <c r="CL124" s="104"/>
      <c r="CM124" s="99" t="s">
        <v>155</v>
      </c>
      <c r="CN124" s="59">
        <v>0</v>
      </c>
      <c r="CO124" s="59">
        <v>0</v>
      </c>
      <c r="CP124" s="59">
        <v>0</v>
      </c>
      <c r="CQ124" s="59">
        <v>0</v>
      </c>
      <c r="CR124" s="59">
        <v>0</v>
      </c>
      <c r="CS124" s="59">
        <v>0</v>
      </c>
      <c r="CT124" s="59">
        <v>0</v>
      </c>
      <c r="CU124" s="59">
        <v>0</v>
      </c>
      <c r="CV124" s="59">
        <v>0</v>
      </c>
      <c r="CW124" s="59">
        <v>0</v>
      </c>
      <c r="CX124" s="59">
        <v>0</v>
      </c>
      <c r="CY124" s="59">
        <v>0</v>
      </c>
    </row>
    <row r="125" spans="1:103" ht="12" customHeight="1" x14ac:dyDescent="0.2">
      <c r="A125" s="104">
        <v>3</v>
      </c>
      <c r="B125" s="104" t="s">
        <v>17</v>
      </c>
      <c r="C125" s="173">
        <v>0</v>
      </c>
      <c r="D125" s="173">
        <v>0</v>
      </c>
      <c r="E125" s="173">
        <v>0</v>
      </c>
      <c r="F125" s="173">
        <v>0</v>
      </c>
      <c r="G125" s="173">
        <v>0</v>
      </c>
      <c r="H125" s="173">
        <v>0</v>
      </c>
      <c r="I125" s="173">
        <v>0</v>
      </c>
      <c r="J125" s="173">
        <v>0</v>
      </c>
      <c r="K125" s="173">
        <v>0</v>
      </c>
      <c r="L125" s="173">
        <v>0</v>
      </c>
      <c r="M125" s="173">
        <v>0</v>
      </c>
      <c r="N125" s="173">
        <v>0</v>
      </c>
      <c r="O125" s="167">
        <f t="shared" si="16"/>
        <v>0</v>
      </c>
      <c r="Q125" s="104">
        <v>3</v>
      </c>
      <c r="R125" s="97" t="s">
        <v>17</v>
      </c>
      <c r="S125" s="105">
        <v>0</v>
      </c>
      <c r="T125" s="105">
        <v>0</v>
      </c>
      <c r="U125" s="105">
        <v>0</v>
      </c>
      <c r="V125" s="105">
        <v>0</v>
      </c>
      <c r="W125" s="105">
        <v>0</v>
      </c>
      <c r="X125" s="105">
        <v>0</v>
      </c>
      <c r="Y125" s="105">
        <v>0</v>
      </c>
      <c r="Z125" s="105">
        <v>0</v>
      </c>
      <c r="AA125" s="105">
        <v>0</v>
      </c>
      <c r="AB125" s="105">
        <v>0</v>
      </c>
      <c r="AC125" s="105">
        <v>0</v>
      </c>
      <c r="AD125" s="105">
        <v>0</v>
      </c>
      <c r="AE125" s="99"/>
      <c r="AT125" s="99"/>
      <c r="AV125" s="104"/>
      <c r="AW125" s="99"/>
      <c r="AX125" s="99"/>
      <c r="AY125" s="99"/>
      <c r="AZ125" s="99"/>
      <c r="BA125" s="99"/>
      <c r="BB125" s="99"/>
      <c r="BC125" s="99"/>
      <c r="BD125" s="99"/>
      <c r="BE125" s="99"/>
      <c r="BF125" s="99"/>
      <c r="BG125" s="99"/>
      <c r="BH125" s="99"/>
      <c r="BI125" s="99"/>
      <c r="BJ125" s="104"/>
      <c r="BK125" s="99"/>
      <c r="BL125" s="99"/>
      <c r="BM125" s="99"/>
      <c r="BN125" s="99"/>
      <c r="BO125" s="99"/>
      <c r="BP125" s="99"/>
      <c r="BQ125" s="99"/>
      <c r="BR125" s="99"/>
      <c r="BS125" s="99"/>
      <c r="BT125" s="99"/>
      <c r="BU125" s="99"/>
      <c r="BV125" s="99"/>
      <c r="BW125" s="99"/>
      <c r="BX125" s="99"/>
      <c r="BY125" s="99"/>
      <c r="BZ125" s="159">
        <v>0</v>
      </c>
      <c r="CA125" s="159">
        <v>0</v>
      </c>
      <c r="CB125" s="159">
        <v>0</v>
      </c>
      <c r="CC125" s="159">
        <v>0</v>
      </c>
      <c r="CD125" s="159">
        <v>0</v>
      </c>
      <c r="CE125" s="159">
        <v>0</v>
      </c>
      <c r="CF125" s="159">
        <v>0</v>
      </c>
      <c r="CG125" s="159">
        <v>0</v>
      </c>
      <c r="CH125" s="159">
        <v>0</v>
      </c>
      <c r="CI125" s="159">
        <v>0</v>
      </c>
      <c r="CJ125" s="159">
        <v>0</v>
      </c>
      <c r="CK125" s="159">
        <v>0</v>
      </c>
      <c r="CL125" s="104"/>
      <c r="CM125" s="99"/>
      <c r="CN125" s="59">
        <v>0</v>
      </c>
      <c r="CO125" s="59">
        <v>0</v>
      </c>
      <c r="CP125" s="59">
        <v>0</v>
      </c>
      <c r="CQ125" s="59">
        <v>0</v>
      </c>
      <c r="CR125" s="59">
        <v>0</v>
      </c>
      <c r="CS125" s="59">
        <v>0</v>
      </c>
      <c r="CT125" s="59">
        <v>0</v>
      </c>
      <c r="CU125" s="59">
        <v>0</v>
      </c>
      <c r="CV125" s="59">
        <v>0</v>
      </c>
      <c r="CW125" s="59">
        <v>0</v>
      </c>
      <c r="CX125" s="59">
        <v>0</v>
      </c>
      <c r="CY125" s="59">
        <v>0</v>
      </c>
    </row>
    <row r="126" spans="1:103" ht="12" customHeight="1" x14ac:dyDescent="0.2">
      <c r="A126" s="108">
        <v>4</v>
      </c>
      <c r="B126" s="108" t="s">
        <v>0</v>
      </c>
      <c r="C126" s="173">
        <v>0</v>
      </c>
      <c r="D126" s="173">
        <v>0</v>
      </c>
      <c r="E126" s="173">
        <v>0</v>
      </c>
      <c r="F126" s="173">
        <v>0</v>
      </c>
      <c r="G126" s="173">
        <v>0</v>
      </c>
      <c r="H126" s="173">
        <v>0</v>
      </c>
      <c r="I126" s="173">
        <v>0</v>
      </c>
      <c r="J126" s="173">
        <v>0</v>
      </c>
      <c r="K126" s="173">
        <v>0</v>
      </c>
      <c r="L126" s="173">
        <v>0</v>
      </c>
      <c r="M126" s="173">
        <v>0</v>
      </c>
      <c r="N126" s="173">
        <v>0</v>
      </c>
      <c r="O126" s="167">
        <f t="shared" si="16"/>
        <v>0</v>
      </c>
      <c r="Q126" s="108">
        <v>4</v>
      </c>
      <c r="R126" s="109" t="s">
        <v>0</v>
      </c>
      <c r="S126" s="107">
        <v>1.4097694115956154</v>
      </c>
      <c r="T126" s="107">
        <v>0</v>
      </c>
      <c r="U126" s="107">
        <v>0</v>
      </c>
      <c r="V126" s="107">
        <v>0</v>
      </c>
      <c r="W126" s="107">
        <v>0</v>
      </c>
      <c r="X126" s="107">
        <v>0</v>
      </c>
      <c r="Y126" s="107">
        <v>0.57988649681600535</v>
      </c>
      <c r="Z126" s="107">
        <v>1.8414228559739148</v>
      </c>
      <c r="AA126" s="107">
        <v>3.2008645038418329</v>
      </c>
      <c r="AB126" s="107">
        <v>4.3691461437628032</v>
      </c>
      <c r="AC126" s="107">
        <v>4.3055855298411778</v>
      </c>
      <c r="AD126" s="107">
        <v>3.1348548371324987</v>
      </c>
      <c r="AE126" s="99"/>
      <c r="AT126" s="99"/>
      <c r="AV126" s="108"/>
      <c r="AW126" s="99"/>
      <c r="AX126" s="99"/>
      <c r="AY126" s="99"/>
      <c r="AZ126" s="99"/>
      <c r="BA126" s="99"/>
      <c r="BB126" s="99"/>
      <c r="BC126" s="99"/>
      <c r="BD126" s="99"/>
      <c r="BE126" s="99"/>
      <c r="BF126" s="99"/>
      <c r="BG126" s="99"/>
      <c r="BH126" s="99"/>
      <c r="BI126" s="99"/>
      <c r="BJ126" s="108"/>
      <c r="BK126" s="99"/>
      <c r="BL126" s="99"/>
      <c r="BM126" s="99"/>
      <c r="BN126" s="99"/>
      <c r="BO126" s="99"/>
      <c r="BP126" s="99"/>
      <c r="BQ126" s="99"/>
      <c r="BR126" s="99"/>
      <c r="BS126" s="99"/>
      <c r="BT126" s="99"/>
      <c r="BU126" s="99"/>
      <c r="BV126" s="99"/>
      <c r="BW126" s="99"/>
      <c r="BX126" s="99"/>
      <c r="BY126" s="99"/>
      <c r="BZ126" s="159">
        <v>0</v>
      </c>
      <c r="CA126" s="159">
        <v>0</v>
      </c>
      <c r="CB126" s="159">
        <v>0</v>
      </c>
      <c r="CC126" s="159">
        <v>0</v>
      </c>
      <c r="CD126" s="159">
        <v>0</v>
      </c>
      <c r="CE126" s="159">
        <v>0</v>
      </c>
      <c r="CF126" s="159">
        <v>0</v>
      </c>
      <c r="CG126" s="159">
        <v>0</v>
      </c>
      <c r="CH126" s="159">
        <v>0</v>
      </c>
      <c r="CI126" s="159">
        <v>0</v>
      </c>
      <c r="CJ126" s="159">
        <v>0</v>
      </c>
      <c r="CK126" s="159">
        <v>0</v>
      </c>
      <c r="CL126" s="108"/>
      <c r="CM126" s="99"/>
      <c r="CN126" s="59">
        <v>0</v>
      </c>
      <c r="CO126" s="59">
        <v>0</v>
      </c>
      <c r="CP126" s="59">
        <v>0</v>
      </c>
      <c r="CQ126" s="59">
        <v>0</v>
      </c>
      <c r="CR126" s="59">
        <v>0</v>
      </c>
      <c r="CS126" s="59">
        <v>0</v>
      </c>
      <c r="CT126" s="59">
        <v>0</v>
      </c>
      <c r="CU126" s="59">
        <v>0</v>
      </c>
      <c r="CV126" s="59">
        <v>0</v>
      </c>
      <c r="CW126" s="59">
        <v>0</v>
      </c>
      <c r="CX126" s="59">
        <v>0</v>
      </c>
      <c r="CY126" s="59">
        <v>0</v>
      </c>
    </row>
    <row r="127" spans="1:103" ht="12" customHeight="1" x14ac:dyDescent="0.2">
      <c r="A127" s="108">
        <v>5</v>
      </c>
      <c r="B127" s="108" t="s">
        <v>16</v>
      </c>
      <c r="C127" s="173">
        <v>0.14683992279880442</v>
      </c>
      <c r="D127" s="173">
        <v>0.15546271544599222</v>
      </c>
      <c r="E127" s="173">
        <v>0.18846689003200368</v>
      </c>
      <c r="F127" s="173">
        <v>0.20076805745139836</v>
      </c>
      <c r="G127" s="173">
        <v>0.21848292274435721</v>
      </c>
      <c r="H127" s="173">
        <v>0.28117431653123504</v>
      </c>
      <c r="I127" s="173">
        <v>0.27774541920049955</v>
      </c>
      <c r="J127" s="173">
        <v>0.22876934367201329</v>
      </c>
      <c r="K127" s="173">
        <v>0.19488385453718138</v>
      </c>
      <c r="L127" s="173">
        <v>0.14750125307455164</v>
      </c>
      <c r="M127" s="173">
        <v>0.13288000716394777</v>
      </c>
      <c r="N127" s="173">
        <v>0.12864534711015096</v>
      </c>
      <c r="O127" s="167">
        <f t="shared" si="16"/>
        <v>2.3016200497621355</v>
      </c>
      <c r="Q127" s="108">
        <v>5</v>
      </c>
      <c r="R127" s="109" t="s">
        <v>16</v>
      </c>
      <c r="S127" s="107">
        <v>1.5198745906556375</v>
      </c>
      <c r="T127" s="107">
        <v>0</v>
      </c>
      <c r="U127" s="107">
        <v>0</v>
      </c>
      <c r="V127" s="107">
        <v>0</v>
      </c>
      <c r="W127" s="107">
        <v>0</v>
      </c>
      <c r="X127" s="107">
        <v>0</v>
      </c>
      <c r="Y127" s="107">
        <v>0.62867618309490636</v>
      </c>
      <c r="Z127" s="107">
        <v>1.9802764104938575</v>
      </c>
      <c r="AA127" s="107">
        <v>3.436870790206533</v>
      </c>
      <c r="AB127" s="107">
        <v>4.6899304704419045</v>
      </c>
      <c r="AC127" s="107">
        <v>4.6237148262800485</v>
      </c>
      <c r="AD127" s="107">
        <v>3.3699069757277331</v>
      </c>
      <c r="AE127" s="99"/>
      <c r="AT127" s="99"/>
      <c r="AV127" s="108"/>
      <c r="AW127" s="99"/>
      <c r="AX127" s="99"/>
      <c r="AY127" s="99"/>
      <c r="AZ127" s="99"/>
      <c r="BA127" s="99"/>
      <c r="BB127" s="99"/>
      <c r="BC127" s="99"/>
      <c r="BD127" s="99"/>
      <c r="BE127" s="99"/>
      <c r="BF127" s="99"/>
      <c r="BG127" s="99"/>
      <c r="BH127" s="99"/>
      <c r="BI127" s="99"/>
      <c r="BJ127" s="108"/>
      <c r="BK127" s="99"/>
      <c r="BL127" s="99"/>
      <c r="BM127" s="99"/>
      <c r="BN127" s="99"/>
      <c r="BO127" s="99"/>
      <c r="BP127" s="99"/>
      <c r="BQ127" s="99"/>
      <c r="BR127" s="99"/>
      <c r="BS127" s="99"/>
      <c r="BT127" s="99"/>
      <c r="BU127" s="99"/>
      <c r="BV127" s="99"/>
      <c r="BW127" s="99"/>
      <c r="BX127" s="99"/>
      <c r="BY127" s="99"/>
      <c r="BZ127" s="171">
        <v>552.58936201234928</v>
      </c>
      <c r="CA127" s="172">
        <v>535.34355075115866</v>
      </c>
      <c r="CB127" s="172">
        <v>536.9990894025766</v>
      </c>
      <c r="CC127" s="172">
        <v>537.39950439259565</v>
      </c>
      <c r="CD127" s="172">
        <v>536.94004351315925</v>
      </c>
      <c r="CE127" s="172">
        <v>537.50925073673898</v>
      </c>
      <c r="CF127" s="172">
        <v>542.94043159679472</v>
      </c>
      <c r="CG127" s="172">
        <v>531.53722325987439</v>
      </c>
      <c r="CH127" s="172">
        <v>547.07638615845042</v>
      </c>
      <c r="CI127" s="172">
        <v>552.36237700492507</v>
      </c>
      <c r="CJ127" s="172">
        <v>552.79518290983219</v>
      </c>
      <c r="CK127" s="172">
        <v>551.51067044996262</v>
      </c>
      <c r="CL127" s="108"/>
      <c r="CM127" s="99"/>
      <c r="CN127" s="60">
        <v>180.95176141561672</v>
      </c>
      <c r="CO127" s="60">
        <v>182.89525132421895</v>
      </c>
      <c r="CP127" s="60">
        <v>240.75454788164228</v>
      </c>
      <c r="CQ127" s="60">
        <v>241.40009891210894</v>
      </c>
      <c r="CR127" s="60">
        <v>218.03879901738867</v>
      </c>
      <c r="CS127" s="60">
        <v>241.40009891210894</v>
      </c>
      <c r="CT127" s="60">
        <v>233.61299894720219</v>
      </c>
      <c r="CU127" s="60">
        <v>241.40009891210894</v>
      </c>
      <c r="CV127" s="60">
        <v>181.93859373421557</v>
      </c>
      <c r="CW127" s="60">
        <v>125.50854220070352</v>
      </c>
      <c r="CX127" s="60">
        <v>126.14671630955324</v>
      </c>
      <c r="CY127" s="60">
        <v>137.82099367767637</v>
      </c>
    </row>
    <row r="128" spans="1:103" ht="12" customHeight="1" x14ac:dyDescent="0.2">
      <c r="A128" s="104">
        <v>6</v>
      </c>
      <c r="B128" s="104" t="s">
        <v>18</v>
      </c>
      <c r="C128" s="173">
        <v>0</v>
      </c>
      <c r="D128" s="173">
        <v>0</v>
      </c>
      <c r="E128" s="173">
        <v>0</v>
      </c>
      <c r="F128" s="173">
        <v>0</v>
      </c>
      <c r="G128" s="173">
        <v>0</v>
      </c>
      <c r="H128" s="173">
        <v>0</v>
      </c>
      <c r="I128" s="173">
        <v>0</v>
      </c>
      <c r="J128" s="173">
        <v>0</v>
      </c>
      <c r="K128" s="173">
        <v>0</v>
      </c>
      <c r="L128" s="173">
        <v>0</v>
      </c>
      <c r="M128" s="173">
        <v>0</v>
      </c>
      <c r="N128" s="173">
        <v>0</v>
      </c>
      <c r="O128" s="167">
        <f t="shared" si="16"/>
        <v>0</v>
      </c>
      <c r="Q128" s="104">
        <v>6</v>
      </c>
      <c r="R128" s="97" t="s">
        <v>18</v>
      </c>
      <c r="S128" s="105">
        <v>0</v>
      </c>
      <c r="T128" s="105">
        <v>0</v>
      </c>
      <c r="U128" s="105">
        <v>0</v>
      </c>
      <c r="V128" s="105">
        <v>0</v>
      </c>
      <c r="W128" s="105">
        <v>0</v>
      </c>
      <c r="X128" s="105">
        <v>0</v>
      </c>
      <c r="Y128" s="105">
        <v>0</v>
      </c>
      <c r="Z128" s="105">
        <v>0</v>
      </c>
      <c r="AA128" s="105">
        <v>0</v>
      </c>
      <c r="AB128" s="105">
        <v>0</v>
      </c>
      <c r="AC128" s="105">
        <v>0</v>
      </c>
      <c r="AD128" s="105">
        <v>0</v>
      </c>
      <c r="AE128" s="99"/>
      <c r="AT128" s="99"/>
      <c r="AV128" s="104"/>
      <c r="AW128" s="99"/>
      <c r="AX128" s="99"/>
      <c r="AY128" s="99"/>
      <c r="AZ128" s="99"/>
      <c r="BA128" s="99"/>
      <c r="BB128" s="99"/>
      <c r="BC128" s="99"/>
      <c r="BD128" s="99"/>
      <c r="BE128" s="99"/>
      <c r="BF128" s="99"/>
      <c r="BG128" s="99"/>
      <c r="BH128" s="99"/>
      <c r="BI128" s="99"/>
      <c r="BJ128" s="104"/>
      <c r="BK128" s="99"/>
      <c r="BL128" s="99"/>
      <c r="BM128" s="99"/>
      <c r="BN128" s="99"/>
      <c r="BO128" s="99"/>
      <c r="BP128" s="99"/>
      <c r="BQ128" s="99"/>
      <c r="BR128" s="99"/>
      <c r="BS128" s="99"/>
      <c r="BT128" s="99"/>
      <c r="BU128" s="99"/>
      <c r="BV128" s="99"/>
      <c r="BW128" s="99"/>
      <c r="BX128" s="99"/>
      <c r="BY128" s="99"/>
      <c r="BZ128" s="171">
        <v>8.498684644098077</v>
      </c>
      <c r="CA128" s="172">
        <v>8.498684644098077</v>
      </c>
      <c r="CB128" s="172">
        <v>8.498684644098077</v>
      </c>
      <c r="CC128" s="172">
        <v>8.498684644098077</v>
      </c>
      <c r="CD128" s="172">
        <v>8.498684644098077</v>
      </c>
      <c r="CE128" s="172">
        <v>8.498684644098077</v>
      </c>
      <c r="CF128" s="172">
        <v>8.498684644098077</v>
      </c>
      <c r="CG128" s="172">
        <v>8.498684644098077</v>
      </c>
      <c r="CH128" s="172">
        <v>8.498684644098077</v>
      </c>
      <c r="CI128" s="172">
        <v>8.498684644098077</v>
      </c>
      <c r="CJ128" s="172">
        <v>8.498684644098077</v>
      </c>
      <c r="CK128" s="172">
        <v>8.498684644098077</v>
      </c>
      <c r="CL128" s="104"/>
      <c r="CM128" s="99"/>
      <c r="CN128" s="60">
        <v>8.498684644098077</v>
      </c>
      <c r="CO128" s="60">
        <v>8.498684644098077</v>
      </c>
      <c r="CP128" s="60">
        <v>8.498684644098077</v>
      </c>
      <c r="CQ128" s="60">
        <v>8.498684644098077</v>
      </c>
      <c r="CR128" s="60">
        <v>8.498684644098077</v>
      </c>
      <c r="CS128" s="60">
        <v>8.498684644098077</v>
      </c>
      <c r="CT128" s="60">
        <v>8.498684644098077</v>
      </c>
      <c r="CU128" s="60">
        <v>8.498684644098077</v>
      </c>
      <c r="CV128" s="60">
        <v>8.498684644098077</v>
      </c>
      <c r="CW128" s="60">
        <v>8.498684644098077</v>
      </c>
      <c r="CX128" s="60">
        <v>8.498684644098077</v>
      </c>
      <c r="CY128" s="60">
        <v>8.498684644098077</v>
      </c>
    </row>
    <row r="129" spans="1:103" ht="12" customHeight="1" x14ac:dyDescent="0.2">
      <c r="A129" s="108">
        <v>7</v>
      </c>
      <c r="B129" s="108" t="s">
        <v>19</v>
      </c>
      <c r="C129" s="173">
        <v>-10.433023304421928</v>
      </c>
      <c r="D129" s="173">
        <v>-8.7195336225343336</v>
      </c>
      <c r="E129" s="173">
        <v>-5.4824527936555247</v>
      </c>
      <c r="F129" s="173">
        <v>-4.5206371501656522</v>
      </c>
      <c r="G129" s="173">
        <v>-1.9392179721357876</v>
      </c>
      <c r="H129" s="173">
        <v>-1.2199444641987602</v>
      </c>
      <c r="I129" s="173">
        <v>-4.432264545389728</v>
      </c>
      <c r="J129" s="173">
        <v>0.72341550248985165</v>
      </c>
      <c r="K129" s="173">
        <v>13.818540828960554</v>
      </c>
      <c r="L129" s="173">
        <v>24.600529651184594</v>
      </c>
      <c r="M129" s="173">
        <v>22.991693612382946</v>
      </c>
      <c r="N129" s="173">
        <v>-1.7825424438705626</v>
      </c>
      <c r="O129" s="167">
        <f t="shared" si="16"/>
        <v>23.604563298645669</v>
      </c>
      <c r="Q129" s="108">
        <v>7</v>
      </c>
      <c r="R129" s="109" t="s">
        <v>19</v>
      </c>
      <c r="S129" s="107">
        <v>5.0955726442690246</v>
      </c>
      <c r="T129" s="107">
        <v>0.70603871085131753</v>
      </c>
      <c r="U129" s="107">
        <v>0</v>
      </c>
      <c r="V129" s="107">
        <v>0</v>
      </c>
      <c r="W129" s="107">
        <v>0</v>
      </c>
      <c r="X129" s="107">
        <v>0</v>
      </c>
      <c r="Y129" s="107">
        <v>4.9092483595342546</v>
      </c>
      <c r="Z129" s="107">
        <v>8.7556779763696788</v>
      </c>
      <c r="AA129" s="107">
        <v>13.28868952242728</v>
      </c>
      <c r="AB129" s="107">
        <v>18.139586343241213</v>
      </c>
      <c r="AC129" s="107">
        <v>16.841902512690567</v>
      </c>
      <c r="AD129" s="107">
        <v>11.508960303984708</v>
      </c>
      <c r="AE129" s="99"/>
      <c r="AT129" s="99"/>
      <c r="AV129" s="108"/>
      <c r="AW129" s="99"/>
      <c r="AX129" s="99"/>
      <c r="AY129" s="99"/>
      <c r="AZ129" s="99"/>
      <c r="BA129" s="99"/>
      <c r="BB129" s="99"/>
      <c r="BC129" s="99"/>
      <c r="BD129" s="99"/>
      <c r="BE129" s="99"/>
      <c r="BF129" s="99"/>
      <c r="BG129" s="99"/>
      <c r="BH129" s="99"/>
      <c r="BI129" s="99"/>
      <c r="BJ129" s="108"/>
      <c r="BK129" s="99"/>
      <c r="BL129" s="99"/>
      <c r="BM129" s="99"/>
      <c r="BN129" s="99"/>
      <c r="BO129" s="99"/>
      <c r="BP129" s="99"/>
      <c r="BQ129" s="99"/>
      <c r="BR129" s="99"/>
      <c r="BS129" s="99"/>
      <c r="BT129" s="99"/>
      <c r="BU129" s="99"/>
      <c r="BV129" s="99"/>
      <c r="BW129" s="99"/>
      <c r="BX129" s="99"/>
      <c r="BY129" s="99"/>
      <c r="BZ129" s="175">
        <v>0</v>
      </c>
      <c r="CA129" s="175">
        <v>0</v>
      </c>
      <c r="CB129" s="175">
        <v>0</v>
      </c>
      <c r="CC129" s="175">
        <v>0</v>
      </c>
      <c r="CD129" s="175">
        <v>0</v>
      </c>
      <c r="CE129" s="175">
        <v>0</v>
      </c>
      <c r="CF129" s="175">
        <v>0</v>
      </c>
      <c r="CG129" s="175">
        <v>0</v>
      </c>
      <c r="CH129" s="175">
        <v>0</v>
      </c>
      <c r="CI129" s="175">
        <v>0</v>
      </c>
      <c r="CJ129" s="175">
        <v>0</v>
      </c>
      <c r="CK129" s="175">
        <v>0</v>
      </c>
      <c r="CL129" s="108"/>
      <c r="CM129" s="99"/>
      <c r="CN129" s="59">
        <v>0</v>
      </c>
      <c r="CO129" s="59">
        <v>0</v>
      </c>
      <c r="CP129" s="59">
        <v>0</v>
      </c>
      <c r="CQ129" s="59">
        <v>0</v>
      </c>
      <c r="CR129" s="59">
        <v>0</v>
      </c>
      <c r="CS129" s="59">
        <v>0</v>
      </c>
      <c r="CT129" s="59">
        <v>0</v>
      </c>
      <c r="CU129" s="59">
        <v>0</v>
      </c>
      <c r="CV129" s="59">
        <v>0</v>
      </c>
      <c r="CW129" s="59">
        <v>0</v>
      </c>
      <c r="CX129" s="59">
        <v>0</v>
      </c>
      <c r="CY129" s="59">
        <v>0</v>
      </c>
    </row>
    <row r="130" spans="1:103" ht="12" customHeight="1" x14ac:dyDescent="0.2">
      <c r="A130" s="108">
        <v>8</v>
      </c>
      <c r="B130" s="108" t="s">
        <v>23</v>
      </c>
      <c r="C130" s="173">
        <v>2.1343351134790396</v>
      </c>
      <c r="D130" s="173">
        <v>0.60918715491072817</v>
      </c>
      <c r="E130" s="173">
        <v>-1.1001769316041248</v>
      </c>
      <c r="F130" s="173">
        <v>-2.266286496057603</v>
      </c>
      <c r="G130" s="173">
        <v>-0.42468673313561567</v>
      </c>
      <c r="H130" s="173">
        <v>-2.3776883807622653</v>
      </c>
      <c r="I130" s="173">
        <v>-3.2303345988748333</v>
      </c>
      <c r="J130" s="173">
        <v>-1.2767442989416793</v>
      </c>
      <c r="K130" s="173">
        <v>1.4004818804371837</v>
      </c>
      <c r="L130" s="173">
        <v>2.3103623430112634</v>
      </c>
      <c r="M130" s="173">
        <v>2.3957023950947871</v>
      </c>
      <c r="N130" s="173">
        <v>2.4145013894899705</v>
      </c>
      <c r="O130" s="167">
        <f t="shared" si="16"/>
        <v>0.58865283704685112</v>
      </c>
      <c r="Q130" s="108">
        <v>8</v>
      </c>
      <c r="R130" s="109" t="s">
        <v>23</v>
      </c>
      <c r="S130" s="107">
        <v>6.1036304591257364</v>
      </c>
      <c r="T130" s="107">
        <v>0.71257262355282813</v>
      </c>
      <c r="U130" s="107">
        <v>0</v>
      </c>
      <c r="V130" s="107">
        <v>0</v>
      </c>
      <c r="W130" s="107">
        <v>0</v>
      </c>
      <c r="X130" s="107">
        <v>0</v>
      </c>
      <c r="Y130" s="107">
        <v>5.9150953570879388</v>
      </c>
      <c r="Z130" s="107">
        <v>10.612839771871235</v>
      </c>
      <c r="AA130" s="107">
        <v>16.07733398554338</v>
      </c>
      <c r="AB130" s="107">
        <v>21.84062029493062</v>
      </c>
      <c r="AC130" s="107">
        <v>20.359445880688071</v>
      </c>
      <c r="AD130" s="107">
        <v>13.937347094908308</v>
      </c>
      <c r="AE130" s="99"/>
      <c r="AT130" s="99"/>
      <c r="AV130" s="108"/>
      <c r="AW130" s="99"/>
      <c r="AX130" s="99"/>
      <c r="AY130" s="99"/>
      <c r="AZ130" s="99"/>
      <c r="BA130" s="99"/>
      <c r="BB130" s="99"/>
      <c r="BC130" s="99"/>
      <c r="BD130" s="99"/>
      <c r="BE130" s="99"/>
      <c r="BF130" s="99"/>
      <c r="BG130" s="99"/>
      <c r="BH130" s="99"/>
      <c r="BI130" s="99"/>
      <c r="BJ130" s="108"/>
      <c r="BK130" s="99"/>
      <c r="BL130" s="99"/>
      <c r="BM130" s="99"/>
      <c r="BN130" s="99"/>
      <c r="BO130" s="99"/>
      <c r="BP130" s="99"/>
      <c r="BQ130" s="99"/>
      <c r="BR130" s="99"/>
      <c r="BS130" s="99"/>
      <c r="BT130" s="99"/>
      <c r="BU130" s="99"/>
      <c r="BV130" s="99"/>
      <c r="BW130" s="99"/>
      <c r="BX130" s="99"/>
      <c r="BY130" s="99"/>
      <c r="BZ130" s="171">
        <v>606.28912172181742</v>
      </c>
      <c r="CA130" s="172">
        <v>627.54498310916165</v>
      </c>
      <c r="CB130" s="172">
        <v>646.89982467350887</v>
      </c>
      <c r="CC130" s="172">
        <v>647.47457225230846</v>
      </c>
      <c r="CD130" s="172">
        <v>659.85912514059987</v>
      </c>
      <c r="CE130" s="172">
        <v>714.22034280036507</v>
      </c>
      <c r="CF130" s="172">
        <v>741.78722469805757</v>
      </c>
      <c r="CG130" s="172">
        <v>677.52400844426484</v>
      </c>
      <c r="CH130" s="172">
        <v>601.65933163740806</v>
      </c>
      <c r="CI130" s="172">
        <v>571.84876664672061</v>
      </c>
      <c r="CJ130" s="172">
        <v>570.26014040827363</v>
      </c>
      <c r="CK130" s="172">
        <v>595.93374049996135</v>
      </c>
      <c r="CL130" s="108"/>
      <c r="CM130" s="99"/>
      <c r="CN130" s="60">
        <v>602.77617694939056</v>
      </c>
      <c r="CO130" s="60">
        <v>602.77617694939056</v>
      </c>
      <c r="CP130" s="60">
        <v>602.77617694939056</v>
      </c>
      <c r="CQ130" s="60">
        <v>602.77617694939056</v>
      </c>
      <c r="CR130" s="60">
        <v>602.77617694939056</v>
      </c>
      <c r="CS130" s="60">
        <v>602.77617694939056</v>
      </c>
      <c r="CT130" s="60">
        <v>602.77617694939056</v>
      </c>
      <c r="CU130" s="60">
        <v>602.77617694939056</v>
      </c>
      <c r="CV130" s="60">
        <v>602.77617694939056</v>
      </c>
      <c r="CW130" s="60">
        <v>602.77617694939056</v>
      </c>
      <c r="CX130" s="60">
        <v>602.77617694939056</v>
      </c>
      <c r="CY130" s="60">
        <v>602.77617694939056</v>
      </c>
    </row>
    <row r="131" spans="1:103" ht="12" customHeight="1" x14ac:dyDescent="0.2">
      <c r="A131" s="108">
        <v>9</v>
      </c>
      <c r="B131" s="108" t="s">
        <v>24</v>
      </c>
      <c r="C131" s="173">
        <v>0.64340757348998068</v>
      </c>
      <c r="D131" s="173">
        <v>0.76946019193960069</v>
      </c>
      <c r="E131" s="173">
        <v>1.1205588620329934</v>
      </c>
      <c r="F131" s="173">
        <v>1.1942817802362811</v>
      </c>
      <c r="G131" s="173">
        <v>1.4105273400875262</v>
      </c>
      <c r="H131" s="173">
        <v>2.1098799114234907</v>
      </c>
      <c r="I131" s="173">
        <v>2.2272111513898949</v>
      </c>
      <c r="J131" s="173">
        <v>1.5102790061254723</v>
      </c>
      <c r="K131" s="173">
        <v>0.98059236607630851</v>
      </c>
      <c r="L131" s="173">
        <v>0.67216375927097261</v>
      </c>
      <c r="M131" s="173">
        <v>0.59589345334168797</v>
      </c>
      <c r="N131" s="173">
        <v>0.56462827469133003</v>
      </c>
      <c r="O131" s="167">
        <f t="shared" si="16"/>
        <v>13.798883670105539</v>
      </c>
      <c r="Q131" s="108">
        <v>9</v>
      </c>
      <c r="R131" s="109" t="s">
        <v>24</v>
      </c>
      <c r="S131" s="107">
        <v>6.2767148747175678</v>
      </c>
      <c r="T131" s="107">
        <v>0.75353490988041461</v>
      </c>
      <c r="U131" s="107">
        <v>0</v>
      </c>
      <c r="V131" s="107">
        <v>0</v>
      </c>
      <c r="W131" s="107">
        <v>0</v>
      </c>
      <c r="X131" s="107">
        <v>0</v>
      </c>
      <c r="Y131" s="107">
        <v>6.0911232654212721</v>
      </c>
      <c r="Z131" s="107">
        <v>10.996419341871235</v>
      </c>
      <c r="AA131" s="107">
        <v>16.665060984052555</v>
      </c>
      <c r="AB131" s="107">
        <v>22.586801225518098</v>
      </c>
      <c r="AC131" s="107">
        <v>21.046614691387983</v>
      </c>
      <c r="AD131" s="107">
        <v>14.391158626949489</v>
      </c>
      <c r="AE131" s="99"/>
      <c r="AT131" s="99"/>
      <c r="AV131" s="108"/>
      <c r="AW131" s="99"/>
      <c r="AX131" s="99"/>
      <c r="AY131" s="99"/>
      <c r="AZ131" s="99"/>
      <c r="BA131" s="99"/>
      <c r="BB131" s="99"/>
      <c r="BC131" s="99"/>
      <c r="BD131" s="99"/>
      <c r="BE131" s="99"/>
      <c r="BF131" s="99"/>
      <c r="BG131" s="99"/>
      <c r="BH131" s="99"/>
      <c r="BI131" s="99"/>
      <c r="BJ131" s="108"/>
      <c r="BK131" s="99"/>
      <c r="BL131" s="99"/>
      <c r="BM131" s="99"/>
      <c r="BN131" s="99"/>
      <c r="BO131" s="99"/>
      <c r="BP131" s="99"/>
      <c r="BQ131" s="99"/>
      <c r="BR131" s="99"/>
      <c r="BS131" s="99"/>
      <c r="BT131" s="99"/>
      <c r="BU131" s="99"/>
      <c r="BV131" s="99"/>
      <c r="BW131" s="99"/>
      <c r="BX131" s="99"/>
      <c r="BY131" s="99"/>
      <c r="BZ131" s="171">
        <v>192.35153328153456</v>
      </c>
      <c r="CA131" s="172">
        <v>193.37636489222837</v>
      </c>
      <c r="CB131" s="172">
        <v>197.13143761107216</v>
      </c>
      <c r="CC131" s="172">
        <v>200.41384172972423</v>
      </c>
      <c r="CD131" s="172">
        <v>203.94381795491731</v>
      </c>
      <c r="CE131" s="172">
        <v>214.27222936557058</v>
      </c>
      <c r="CF131" s="172">
        <v>214.55013033096455</v>
      </c>
      <c r="CG131" s="172">
        <v>205.13019332152868</v>
      </c>
      <c r="CH131" s="172">
        <v>197.26340089682205</v>
      </c>
      <c r="CI131" s="172">
        <v>193.0969854612288</v>
      </c>
      <c r="CJ131" s="172">
        <v>191.93995637219689</v>
      </c>
      <c r="CK131" s="172">
        <v>191.05647365814295</v>
      </c>
      <c r="CL131" s="108"/>
      <c r="CM131" s="99"/>
      <c r="CN131" s="60">
        <v>189.33480933322141</v>
      </c>
      <c r="CO131" s="60">
        <v>189.33480933322141</v>
      </c>
      <c r="CP131" s="60">
        <v>189.33480933322141</v>
      </c>
      <c r="CQ131" s="60">
        <v>189.33480933322141</v>
      </c>
      <c r="CR131" s="60">
        <v>189.33480933322141</v>
      </c>
      <c r="CS131" s="60">
        <v>189.33480933322141</v>
      </c>
      <c r="CT131" s="60">
        <v>189.33480933322141</v>
      </c>
      <c r="CU131" s="60">
        <v>189.33480933322141</v>
      </c>
      <c r="CV131" s="60">
        <v>189.33480933322141</v>
      </c>
      <c r="CW131" s="60">
        <v>189.33480933322141</v>
      </c>
      <c r="CX131" s="60">
        <v>189.33480933322141</v>
      </c>
      <c r="CY131" s="60">
        <v>189.33480933322141</v>
      </c>
    </row>
    <row r="132" spans="1:103" ht="12" customHeight="1" x14ac:dyDescent="0.2">
      <c r="A132" s="104">
        <v>10</v>
      </c>
      <c r="B132" s="104" t="s">
        <v>25</v>
      </c>
      <c r="C132" s="173">
        <v>-2.8710633162338297</v>
      </c>
      <c r="D132" s="173">
        <v>-27.122506789913984</v>
      </c>
      <c r="E132" s="173">
        <v>-39.974645981431252</v>
      </c>
      <c r="F132" s="173">
        <v>-36.301601742506449</v>
      </c>
      <c r="G132" s="173">
        <v>-28.0611967533236</v>
      </c>
      <c r="H132" s="173">
        <v>-39.425200293797502</v>
      </c>
      <c r="I132" s="173">
        <v>-24.547041429809667</v>
      </c>
      <c r="J132" s="173">
        <v>0.68063555822703847</v>
      </c>
      <c r="K132" s="173">
        <v>8.0208328720798647</v>
      </c>
      <c r="L132" s="173">
        <v>39.51571825368741</v>
      </c>
      <c r="M132" s="173">
        <v>46.013242391626719</v>
      </c>
      <c r="N132" s="173">
        <v>19.603469213403585</v>
      </c>
      <c r="O132" s="167">
        <f t="shared" si="16"/>
        <v>-84.469358017991652</v>
      </c>
      <c r="Q132" s="104">
        <v>10</v>
      </c>
      <c r="R132" s="97" t="s">
        <v>25</v>
      </c>
      <c r="S132" s="105">
        <v>6.2767148747175678</v>
      </c>
      <c r="T132" s="105">
        <v>0.75353490988041461</v>
      </c>
      <c r="U132" s="105">
        <v>0</v>
      </c>
      <c r="V132" s="105">
        <v>0</v>
      </c>
      <c r="W132" s="105">
        <v>0</v>
      </c>
      <c r="X132" s="105">
        <v>0</v>
      </c>
      <c r="Y132" s="105">
        <v>6.0911232654212721</v>
      </c>
      <c r="Z132" s="105">
        <v>10.996419341871235</v>
      </c>
      <c r="AA132" s="105">
        <v>16.665060984052555</v>
      </c>
      <c r="AB132" s="105">
        <v>22.586801225518098</v>
      </c>
      <c r="AC132" s="105">
        <v>21.046614691387983</v>
      </c>
      <c r="AD132" s="105">
        <v>14.391158626949489</v>
      </c>
      <c r="AE132" s="99"/>
      <c r="AT132" s="99"/>
      <c r="AV132" s="104"/>
      <c r="AW132" s="99"/>
      <c r="AX132" s="99"/>
      <c r="AY132" s="99"/>
      <c r="AZ132" s="99"/>
      <c r="BA132" s="99"/>
      <c r="BB132" s="99"/>
      <c r="BC132" s="99"/>
      <c r="BD132" s="99"/>
      <c r="BE132" s="99"/>
      <c r="BF132" s="99"/>
      <c r="BG132" s="99"/>
      <c r="BH132" s="99"/>
      <c r="BI132" s="99"/>
      <c r="BJ132" s="104"/>
      <c r="BK132" s="99"/>
      <c r="BL132" s="99"/>
      <c r="BM132" s="99"/>
      <c r="BN132" s="99"/>
      <c r="BO132" s="99"/>
      <c r="BP132" s="99"/>
      <c r="BQ132" s="99"/>
      <c r="BR132" s="99"/>
      <c r="BS132" s="99"/>
      <c r="BT132" s="99"/>
      <c r="BU132" s="99"/>
      <c r="BV132" s="99"/>
      <c r="BW132" s="99"/>
      <c r="BX132" s="99"/>
      <c r="BY132" s="99"/>
      <c r="BZ132" s="171">
        <v>4.1495861365163194</v>
      </c>
      <c r="CA132" s="172">
        <v>4.1495861365163194</v>
      </c>
      <c r="CB132" s="172">
        <v>4.1495861365163194</v>
      </c>
      <c r="CC132" s="172">
        <v>4.1495861365163194</v>
      </c>
      <c r="CD132" s="172">
        <v>4.1495861365163194</v>
      </c>
      <c r="CE132" s="172">
        <v>4.1495861365163194</v>
      </c>
      <c r="CF132" s="172">
        <v>4.1495861365163194</v>
      </c>
      <c r="CG132" s="172">
        <v>4.1495861365163194</v>
      </c>
      <c r="CH132" s="172">
        <v>4.1495861365163194</v>
      </c>
      <c r="CI132" s="172">
        <v>4.1495861365163194</v>
      </c>
      <c r="CJ132" s="172">
        <v>4.1495861365163194</v>
      </c>
      <c r="CK132" s="172">
        <v>4.1495861365163194</v>
      </c>
      <c r="CL132" s="104"/>
      <c r="CM132" s="99"/>
      <c r="CN132" s="60">
        <v>4.1495861365163194</v>
      </c>
      <c r="CO132" s="60">
        <v>4.1495861365163194</v>
      </c>
      <c r="CP132" s="60">
        <v>4.1495861365163194</v>
      </c>
      <c r="CQ132" s="60">
        <v>4.1495861365163194</v>
      </c>
      <c r="CR132" s="60">
        <v>4.1495861365163194</v>
      </c>
      <c r="CS132" s="60">
        <v>4.1495861365163194</v>
      </c>
      <c r="CT132" s="60">
        <v>4.1495861365163194</v>
      </c>
      <c r="CU132" s="60">
        <v>4.1495861365163194</v>
      </c>
      <c r="CV132" s="60">
        <v>4.1495861365163194</v>
      </c>
      <c r="CW132" s="60">
        <v>4.1495861365163194</v>
      </c>
      <c r="CX132" s="60">
        <v>4.1495861365163194</v>
      </c>
      <c r="CY132" s="60">
        <v>4.1495861365163194</v>
      </c>
    </row>
    <row r="133" spans="1:103" ht="12" customHeight="1" x14ac:dyDescent="0.2">
      <c r="A133" s="104">
        <v>11</v>
      </c>
      <c r="B133" s="104" t="s">
        <v>26</v>
      </c>
      <c r="C133" s="173">
        <v>0</v>
      </c>
      <c r="D133" s="173">
        <v>0</v>
      </c>
      <c r="E133" s="173">
        <v>0</v>
      </c>
      <c r="F133" s="173">
        <v>0</v>
      </c>
      <c r="G133" s="173">
        <v>0</v>
      </c>
      <c r="H133" s="173">
        <v>0</v>
      </c>
      <c r="I133" s="173">
        <v>0</v>
      </c>
      <c r="J133" s="173">
        <v>0</v>
      </c>
      <c r="K133" s="173">
        <v>0</v>
      </c>
      <c r="L133" s="173">
        <v>0</v>
      </c>
      <c r="M133" s="173">
        <v>0</v>
      </c>
      <c r="N133" s="173">
        <v>0</v>
      </c>
      <c r="O133" s="167">
        <f t="shared" si="16"/>
        <v>0</v>
      </c>
      <c r="Q133" s="104">
        <v>11</v>
      </c>
      <c r="R133" s="97" t="s">
        <v>26</v>
      </c>
      <c r="S133" s="105">
        <v>0</v>
      </c>
      <c r="T133" s="105">
        <v>0</v>
      </c>
      <c r="U133" s="105">
        <v>0</v>
      </c>
      <c r="V133" s="105">
        <v>0</v>
      </c>
      <c r="W133" s="105">
        <v>0</v>
      </c>
      <c r="X133" s="105">
        <v>0</v>
      </c>
      <c r="Y133" s="105">
        <v>0</v>
      </c>
      <c r="Z133" s="105">
        <v>0</v>
      </c>
      <c r="AA133" s="105">
        <v>0</v>
      </c>
      <c r="AB133" s="105">
        <v>0</v>
      </c>
      <c r="AC133" s="105">
        <v>0</v>
      </c>
      <c r="AD133" s="105">
        <v>0</v>
      </c>
      <c r="AE133" s="99"/>
      <c r="AT133" s="99"/>
      <c r="AV133" s="104"/>
      <c r="AW133" s="99"/>
      <c r="AX133" s="99"/>
      <c r="AY133" s="99"/>
      <c r="AZ133" s="99"/>
      <c r="BA133" s="99"/>
      <c r="BB133" s="99"/>
      <c r="BC133" s="99"/>
      <c r="BD133" s="99"/>
      <c r="BE133" s="99"/>
      <c r="BF133" s="99"/>
      <c r="BG133" s="99"/>
      <c r="BH133" s="99"/>
      <c r="BI133" s="99"/>
      <c r="BJ133" s="104"/>
      <c r="BK133" s="99"/>
      <c r="BL133" s="99"/>
      <c r="BM133" s="99"/>
      <c r="BN133" s="99"/>
      <c r="BO133" s="99"/>
      <c r="BP133" s="99"/>
      <c r="BQ133" s="99"/>
      <c r="BR133" s="99"/>
      <c r="BS133" s="99"/>
      <c r="BT133" s="99"/>
      <c r="BU133" s="99"/>
      <c r="BV133" s="99"/>
      <c r="BW133" s="99"/>
      <c r="BX133" s="99"/>
      <c r="BY133" s="99"/>
      <c r="BZ133" s="159">
        <v>0</v>
      </c>
      <c r="CA133" s="159">
        <v>0</v>
      </c>
      <c r="CB133" s="159">
        <v>0</v>
      </c>
      <c r="CC133" s="159">
        <v>0</v>
      </c>
      <c r="CD133" s="159">
        <v>0</v>
      </c>
      <c r="CE133" s="159">
        <v>0</v>
      </c>
      <c r="CF133" s="159">
        <v>0</v>
      </c>
      <c r="CG133" s="159">
        <v>0</v>
      </c>
      <c r="CH133" s="159">
        <v>0</v>
      </c>
      <c r="CI133" s="159">
        <v>0</v>
      </c>
      <c r="CJ133" s="159">
        <v>0</v>
      </c>
      <c r="CK133" s="159">
        <v>0</v>
      </c>
      <c r="CL133" s="104"/>
      <c r="CM133" s="99"/>
      <c r="CN133" s="59">
        <v>0</v>
      </c>
      <c r="CO133" s="59">
        <v>0</v>
      </c>
      <c r="CP133" s="59">
        <v>0</v>
      </c>
      <c r="CQ133" s="59">
        <v>0</v>
      </c>
      <c r="CR133" s="59">
        <v>0</v>
      </c>
      <c r="CS133" s="59">
        <v>0</v>
      </c>
      <c r="CT133" s="59">
        <v>0</v>
      </c>
      <c r="CU133" s="59">
        <v>0</v>
      </c>
      <c r="CV133" s="59">
        <v>0</v>
      </c>
      <c r="CW133" s="59">
        <v>0</v>
      </c>
      <c r="CX133" s="59">
        <v>0</v>
      </c>
      <c r="CY133" s="59">
        <v>0</v>
      </c>
    </row>
    <row r="134" spans="1:103" ht="12" customHeight="1" x14ac:dyDescent="0.2">
      <c r="A134" s="104">
        <v>12</v>
      </c>
      <c r="B134" s="104" t="s">
        <v>27</v>
      </c>
      <c r="C134" s="173">
        <v>0</v>
      </c>
      <c r="D134" s="173">
        <v>0</v>
      </c>
      <c r="E134" s="173">
        <v>0</v>
      </c>
      <c r="F134" s="173">
        <v>0</v>
      </c>
      <c r="G134" s="173">
        <v>0</v>
      </c>
      <c r="H134" s="173">
        <v>0</v>
      </c>
      <c r="I134" s="173">
        <v>0</v>
      </c>
      <c r="J134" s="173">
        <v>0</v>
      </c>
      <c r="K134" s="173">
        <v>0</v>
      </c>
      <c r="L134" s="173">
        <v>0</v>
      </c>
      <c r="M134" s="173">
        <v>0</v>
      </c>
      <c r="N134" s="173">
        <v>0</v>
      </c>
      <c r="O134" s="167">
        <f t="shared" si="16"/>
        <v>0</v>
      </c>
      <c r="Q134" s="104">
        <v>12</v>
      </c>
      <c r="R134" s="97" t="s">
        <v>27</v>
      </c>
      <c r="S134" s="105">
        <v>6.2767148747175678</v>
      </c>
      <c r="T134" s="105">
        <v>0.75353490988041461</v>
      </c>
      <c r="U134" s="105">
        <v>0</v>
      </c>
      <c r="V134" s="105">
        <v>0</v>
      </c>
      <c r="W134" s="105">
        <v>0</v>
      </c>
      <c r="X134" s="105">
        <v>0</v>
      </c>
      <c r="Y134" s="105">
        <v>6.0911232654212721</v>
      </c>
      <c r="Z134" s="105">
        <v>10.996419341871235</v>
      </c>
      <c r="AA134" s="105">
        <v>16.665060984052555</v>
      </c>
      <c r="AB134" s="105">
        <v>22.586801225518098</v>
      </c>
      <c r="AC134" s="105">
        <v>21.046614691387983</v>
      </c>
      <c r="AD134" s="105">
        <v>14.391158626949489</v>
      </c>
      <c r="AE134" s="99"/>
      <c r="AT134" s="99"/>
      <c r="AV134" s="104"/>
      <c r="AW134" s="99"/>
      <c r="AX134" s="99"/>
      <c r="AY134" s="99"/>
      <c r="AZ134" s="99"/>
      <c r="BA134" s="99"/>
      <c r="BB134" s="99"/>
      <c r="BC134" s="99"/>
      <c r="BD134" s="99"/>
      <c r="BE134" s="99"/>
      <c r="BF134" s="99"/>
      <c r="BG134" s="99"/>
      <c r="BH134" s="99"/>
      <c r="BI134" s="99"/>
      <c r="BJ134" s="104"/>
      <c r="BK134" s="99"/>
      <c r="BL134" s="99"/>
      <c r="BM134" s="99"/>
      <c r="BN134" s="99"/>
      <c r="BO134" s="99"/>
      <c r="BP134" s="99"/>
      <c r="BQ134" s="99"/>
      <c r="BR134" s="99"/>
      <c r="BS134" s="99"/>
      <c r="BT134" s="99"/>
      <c r="BU134" s="99"/>
      <c r="BV134" s="99"/>
      <c r="BW134" s="99"/>
      <c r="BX134" s="99"/>
      <c r="BY134" s="99"/>
      <c r="BZ134" s="159">
        <v>0</v>
      </c>
      <c r="CA134" s="159">
        <v>0</v>
      </c>
      <c r="CB134" s="159">
        <v>0</v>
      </c>
      <c r="CC134" s="159">
        <v>0</v>
      </c>
      <c r="CD134" s="159">
        <v>0</v>
      </c>
      <c r="CE134" s="159">
        <v>0</v>
      </c>
      <c r="CF134" s="159">
        <v>0</v>
      </c>
      <c r="CG134" s="159">
        <v>0</v>
      </c>
      <c r="CH134" s="159">
        <v>0</v>
      </c>
      <c r="CI134" s="159">
        <v>0</v>
      </c>
      <c r="CJ134" s="159">
        <v>0</v>
      </c>
      <c r="CK134" s="159">
        <v>0</v>
      </c>
      <c r="CL134" s="104"/>
      <c r="CM134" s="99"/>
      <c r="CN134" s="59">
        <v>0</v>
      </c>
      <c r="CO134" s="59">
        <v>0</v>
      </c>
      <c r="CP134" s="59">
        <v>0</v>
      </c>
      <c r="CQ134" s="59">
        <v>0</v>
      </c>
      <c r="CR134" s="59">
        <v>0</v>
      </c>
      <c r="CS134" s="59">
        <v>0</v>
      </c>
      <c r="CT134" s="59">
        <v>0</v>
      </c>
      <c r="CU134" s="59">
        <v>0</v>
      </c>
      <c r="CV134" s="59">
        <v>0</v>
      </c>
      <c r="CW134" s="59">
        <v>0</v>
      </c>
      <c r="CX134" s="59">
        <v>0</v>
      </c>
      <c r="CY134" s="59">
        <v>0</v>
      </c>
    </row>
    <row r="135" spans="1:103" ht="12" customHeight="1" x14ac:dyDescent="0.2">
      <c r="A135" s="104">
        <v>13</v>
      </c>
      <c r="B135" s="104" t="s">
        <v>28</v>
      </c>
      <c r="C135" s="173">
        <v>-1.4953232761097865</v>
      </c>
      <c r="D135" s="173">
        <v>-1.7821219117225837</v>
      </c>
      <c r="E135" s="173">
        <v>-2.1396459801674155</v>
      </c>
      <c r="F135" s="173">
        <v>-9.8349103845180252E-2</v>
      </c>
      <c r="G135" s="173">
        <v>2.5897077914022475</v>
      </c>
      <c r="H135" s="173">
        <v>3.2277625910569441</v>
      </c>
      <c r="I135" s="173">
        <v>6.3235138193999774</v>
      </c>
      <c r="J135" s="173">
        <v>7.2992025952323729</v>
      </c>
      <c r="K135" s="173">
        <v>6.942453521121422</v>
      </c>
      <c r="L135" s="173">
        <v>7.7601498345711093</v>
      </c>
      <c r="M135" s="173">
        <v>2.8654050016696146</v>
      </c>
      <c r="N135" s="173">
        <v>1.2920938743100407</v>
      </c>
      <c r="O135" s="167">
        <f t="shared" si="16"/>
        <v>32.784848756918763</v>
      </c>
      <c r="Q135" s="104">
        <v>13</v>
      </c>
      <c r="R135" s="97" t="s">
        <v>28</v>
      </c>
      <c r="S135" s="105">
        <v>6.2767148747175678</v>
      </c>
      <c r="T135" s="105">
        <v>0.75353490988041461</v>
      </c>
      <c r="U135" s="105">
        <v>0</v>
      </c>
      <c r="V135" s="105">
        <v>0</v>
      </c>
      <c r="W135" s="105">
        <v>0</v>
      </c>
      <c r="X135" s="105">
        <v>0</v>
      </c>
      <c r="Y135" s="105">
        <v>6.0911232654212721</v>
      </c>
      <c r="Z135" s="105">
        <v>10.996419341871235</v>
      </c>
      <c r="AA135" s="105">
        <v>16.665060984052555</v>
      </c>
      <c r="AB135" s="105">
        <v>22.586801225518098</v>
      </c>
      <c r="AC135" s="105">
        <v>21.046614691387983</v>
      </c>
      <c r="AD135" s="105">
        <v>14.391158626949489</v>
      </c>
      <c r="AE135" s="99"/>
      <c r="AT135" s="99"/>
      <c r="AV135" s="104"/>
      <c r="AW135" s="99"/>
      <c r="AX135" s="99"/>
      <c r="AY135" s="99"/>
      <c r="AZ135" s="99"/>
      <c r="BA135" s="99"/>
      <c r="BB135" s="99"/>
      <c r="BC135" s="99"/>
      <c r="BD135" s="99"/>
      <c r="BE135" s="99"/>
      <c r="BF135" s="99"/>
      <c r="BG135" s="99"/>
      <c r="BH135" s="99"/>
      <c r="BI135" s="99"/>
      <c r="BJ135" s="104"/>
      <c r="BK135" s="99"/>
      <c r="BL135" s="99"/>
      <c r="BM135" s="99"/>
      <c r="BN135" s="99"/>
      <c r="BO135" s="99"/>
      <c r="BP135" s="99"/>
      <c r="BQ135" s="99"/>
      <c r="BR135" s="99"/>
      <c r="BS135" s="99"/>
      <c r="BT135" s="99"/>
      <c r="BU135" s="99"/>
      <c r="BV135" s="99"/>
      <c r="BW135" s="99"/>
      <c r="BX135" s="99"/>
      <c r="BY135" s="99"/>
      <c r="BZ135" s="159">
        <v>0</v>
      </c>
      <c r="CA135" s="159">
        <v>0</v>
      </c>
      <c r="CB135" s="159">
        <v>0</v>
      </c>
      <c r="CC135" s="159">
        <v>0</v>
      </c>
      <c r="CD135" s="159">
        <v>0</v>
      </c>
      <c r="CE135" s="159">
        <v>0</v>
      </c>
      <c r="CF135" s="159">
        <v>0</v>
      </c>
      <c r="CG135" s="159">
        <v>0</v>
      </c>
      <c r="CH135" s="159">
        <v>0</v>
      </c>
      <c r="CI135" s="159">
        <v>0</v>
      </c>
      <c r="CJ135" s="159">
        <v>0</v>
      </c>
      <c r="CK135" s="159">
        <v>0</v>
      </c>
      <c r="CL135" s="104"/>
      <c r="CM135" s="99"/>
      <c r="CN135" s="59">
        <v>0</v>
      </c>
      <c r="CO135" s="59">
        <v>0</v>
      </c>
      <c r="CP135" s="59">
        <v>0</v>
      </c>
      <c r="CQ135" s="59">
        <v>0</v>
      </c>
      <c r="CR135" s="59">
        <v>0</v>
      </c>
      <c r="CS135" s="59">
        <v>0</v>
      </c>
      <c r="CT135" s="59">
        <v>0</v>
      </c>
      <c r="CU135" s="59">
        <v>0</v>
      </c>
      <c r="CV135" s="59">
        <v>0</v>
      </c>
      <c r="CW135" s="59">
        <v>0</v>
      </c>
      <c r="CX135" s="59">
        <v>0</v>
      </c>
      <c r="CY135" s="59">
        <v>0</v>
      </c>
    </row>
    <row r="136" spans="1:103" ht="12" customHeight="1" x14ac:dyDescent="0.2">
      <c r="C136" s="97"/>
      <c r="D136" s="97"/>
      <c r="E136" s="97"/>
      <c r="F136" s="97"/>
      <c r="G136" s="97"/>
      <c r="H136" s="97"/>
      <c r="I136" s="97"/>
      <c r="J136" s="97"/>
      <c r="K136" s="97"/>
      <c r="L136" s="97"/>
      <c r="M136" s="97"/>
      <c r="N136" s="97"/>
      <c r="O136" s="99"/>
      <c r="AE136" s="99"/>
      <c r="AT136" s="99"/>
      <c r="AW136" s="99"/>
      <c r="AX136" s="99"/>
      <c r="AY136" s="99"/>
      <c r="AZ136" s="99"/>
      <c r="BA136" s="99"/>
      <c r="BB136" s="99"/>
      <c r="BC136" s="99"/>
      <c r="BD136" s="99"/>
      <c r="BE136" s="99"/>
      <c r="BF136" s="99"/>
      <c r="BG136" s="99"/>
      <c r="BH136" s="99"/>
      <c r="BI136" s="99"/>
      <c r="BK136" s="99"/>
      <c r="BL136" s="99"/>
      <c r="BM136" s="99"/>
      <c r="BN136" s="99"/>
      <c r="BO136" s="99"/>
      <c r="BP136" s="99"/>
      <c r="BQ136" s="99"/>
      <c r="BR136" s="99"/>
      <c r="BS136" s="99"/>
      <c r="BT136" s="99"/>
      <c r="BU136" s="99"/>
      <c r="BV136" s="99"/>
      <c r="BW136" s="99"/>
      <c r="BX136" s="99"/>
      <c r="BY136" s="99"/>
      <c r="BZ136" s="159">
        <v>0</v>
      </c>
      <c r="CA136" s="159">
        <v>0</v>
      </c>
      <c r="CB136" s="159">
        <v>0</v>
      </c>
      <c r="CC136" s="159">
        <v>0</v>
      </c>
      <c r="CD136" s="159">
        <v>0</v>
      </c>
      <c r="CE136" s="159">
        <v>0</v>
      </c>
      <c r="CF136" s="159">
        <v>0</v>
      </c>
      <c r="CG136" s="159">
        <v>0</v>
      </c>
      <c r="CH136" s="159">
        <v>0</v>
      </c>
      <c r="CI136" s="159">
        <v>0</v>
      </c>
      <c r="CJ136" s="159">
        <v>0</v>
      </c>
      <c r="CK136" s="159">
        <v>0</v>
      </c>
      <c r="CM136" s="99"/>
      <c r="CN136" s="59">
        <v>0</v>
      </c>
      <c r="CO136" s="59">
        <v>0</v>
      </c>
      <c r="CP136" s="59">
        <v>0</v>
      </c>
      <c r="CQ136" s="59">
        <v>0</v>
      </c>
      <c r="CR136" s="59">
        <v>0</v>
      </c>
      <c r="CS136" s="59">
        <v>0</v>
      </c>
      <c r="CT136" s="59">
        <v>0</v>
      </c>
      <c r="CU136" s="59">
        <v>0</v>
      </c>
      <c r="CV136" s="59">
        <v>0</v>
      </c>
      <c r="CW136" s="59">
        <v>0</v>
      </c>
      <c r="CX136" s="59">
        <v>0</v>
      </c>
      <c r="CY136" s="59">
        <v>0</v>
      </c>
    </row>
    <row r="137" spans="1:103" ht="12" customHeight="1" x14ac:dyDescent="0.2">
      <c r="B137" s="176" t="s">
        <v>37</v>
      </c>
      <c r="C137" s="102" t="s">
        <v>1</v>
      </c>
      <c r="D137" s="102" t="s">
        <v>2</v>
      </c>
      <c r="E137" s="102" t="s">
        <v>3</v>
      </c>
      <c r="F137" s="102" t="s">
        <v>4</v>
      </c>
      <c r="G137" s="102" t="s">
        <v>5</v>
      </c>
      <c r="H137" s="102" t="s">
        <v>6</v>
      </c>
      <c r="I137" s="102" t="s">
        <v>7</v>
      </c>
      <c r="J137" s="102" t="s">
        <v>8</v>
      </c>
      <c r="K137" s="102" t="s">
        <v>9</v>
      </c>
      <c r="L137" s="102" t="s">
        <v>10</v>
      </c>
      <c r="M137" s="102" t="s">
        <v>11</v>
      </c>
      <c r="N137" s="102" t="s">
        <v>12</v>
      </c>
      <c r="O137" s="99"/>
      <c r="R137" s="174" t="s">
        <v>31</v>
      </c>
      <c r="S137" s="102" t="s">
        <v>1</v>
      </c>
      <c r="T137" s="102" t="s">
        <v>2</v>
      </c>
      <c r="U137" s="102" t="s">
        <v>3</v>
      </c>
      <c r="V137" s="102" t="s">
        <v>4</v>
      </c>
      <c r="W137" s="102" t="s">
        <v>5</v>
      </c>
      <c r="X137" s="102" t="s">
        <v>6</v>
      </c>
      <c r="Y137" s="102" t="s">
        <v>7</v>
      </c>
      <c r="Z137" s="102" t="s">
        <v>8</v>
      </c>
      <c r="AA137" s="102" t="s">
        <v>9</v>
      </c>
      <c r="AB137" s="102" t="s">
        <v>10</v>
      </c>
      <c r="AC137" s="102" t="s">
        <v>11</v>
      </c>
      <c r="AD137" s="102" t="s">
        <v>12</v>
      </c>
      <c r="AE137" s="99"/>
      <c r="AT137" s="99"/>
      <c r="AW137" s="99"/>
      <c r="AX137" s="99"/>
      <c r="AY137" s="99"/>
      <c r="AZ137" s="99"/>
      <c r="BA137" s="99"/>
      <c r="BB137" s="99"/>
      <c r="BC137" s="99"/>
      <c r="BD137" s="99"/>
      <c r="BE137" s="99"/>
      <c r="BF137" s="99"/>
      <c r="BG137" s="99"/>
      <c r="BH137" s="99"/>
      <c r="BI137" s="99"/>
      <c r="BK137" s="99"/>
      <c r="BL137" s="99"/>
      <c r="BM137" s="99"/>
      <c r="BN137" s="99"/>
      <c r="BO137" s="99"/>
      <c r="BP137" s="99"/>
      <c r="BQ137" s="99"/>
      <c r="BR137" s="99"/>
      <c r="BS137" s="99"/>
      <c r="BT137" s="99"/>
      <c r="BU137" s="99"/>
      <c r="BV137" s="99"/>
      <c r="BW137" s="99"/>
      <c r="BX137" s="99"/>
      <c r="BY137" s="99"/>
      <c r="BZ137" s="99"/>
      <c r="CA137" s="99"/>
      <c r="CB137" s="99"/>
      <c r="CC137" s="99"/>
      <c r="CD137" s="99"/>
      <c r="CE137" s="99"/>
      <c r="CF137" s="99"/>
      <c r="CG137" s="99"/>
      <c r="CH137" s="99"/>
      <c r="CI137" s="99"/>
      <c r="CJ137" s="99"/>
      <c r="CK137" s="99"/>
      <c r="CM137" s="99"/>
      <c r="CN137" s="99"/>
      <c r="CO137" s="99"/>
      <c r="CP137" s="99"/>
      <c r="CQ137" s="99"/>
      <c r="CR137" s="99"/>
      <c r="CS137" s="99"/>
      <c r="CT137" s="99"/>
      <c r="CU137" s="99"/>
      <c r="CV137" s="99"/>
      <c r="CW137" s="99"/>
      <c r="CX137" s="99"/>
    </row>
    <row r="138" spans="1:103" ht="12" customHeight="1" x14ac:dyDescent="0.2">
      <c r="A138" s="104">
        <v>1</v>
      </c>
      <c r="B138" s="104" t="s">
        <v>21</v>
      </c>
      <c r="C138" s="176">
        <f t="array" ref="C138:N150">MMULT(C18:O30,C93:N105)</f>
        <v>62.527943830521835</v>
      </c>
      <c r="D138" s="176">
        <v>71.057918299249579</v>
      </c>
      <c r="E138" s="176">
        <v>85.467505635250831</v>
      </c>
      <c r="F138" s="176">
        <v>90.288872169027258</v>
      </c>
      <c r="G138" s="176">
        <v>92.961838135638899</v>
      </c>
      <c r="H138" s="176">
        <v>111.57645295467177</v>
      </c>
      <c r="I138" s="176">
        <v>104.31037456132718</v>
      </c>
      <c r="J138" s="176">
        <v>93.561788557938499</v>
      </c>
      <c r="K138" s="176">
        <v>89.790349711390576</v>
      </c>
      <c r="L138" s="176">
        <v>65.542476502025664</v>
      </c>
      <c r="M138" s="176">
        <v>58.473100114267176</v>
      </c>
      <c r="N138" s="176">
        <v>53.425223669383392</v>
      </c>
      <c r="O138" s="99"/>
      <c r="Q138" s="104">
        <v>1</v>
      </c>
      <c r="R138" s="97" t="s">
        <v>21</v>
      </c>
      <c r="S138" s="105">
        <v>0</v>
      </c>
      <c r="T138" s="105">
        <v>0</v>
      </c>
      <c r="U138" s="105">
        <v>0</v>
      </c>
      <c r="V138" s="105">
        <v>0</v>
      </c>
      <c r="W138" s="105">
        <v>0</v>
      </c>
      <c r="X138" s="105">
        <v>0</v>
      </c>
      <c r="Y138" s="105">
        <v>0</v>
      </c>
      <c r="Z138" s="105">
        <v>0</v>
      </c>
      <c r="AA138" s="105">
        <v>0</v>
      </c>
      <c r="AB138" s="105">
        <v>0</v>
      </c>
      <c r="AC138" s="105">
        <v>0</v>
      </c>
      <c r="AD138" s="105">
        <v>0</v>
      </c>
      <c r="AE138" s="99"/>
      <c r="AT138" s="99"/>
      <c r="AV138" s="104"/>
      <c r="AW138" s="99"/>
      <c r="AX138" s="99"/>
      <c r="AY138" s="99"/>
      <c r="AZ138" s="99"/>
      <c r="BA138" s="99"/>
      <c r="BB138" s="99"/>
      <c r="BC138" s="99"/>
      <c r="BD138" s="99"/>
      <c r="BE138" s="99"/>
      <c r="BF138" s="99"/>
      <c r="BG138" s="99"/>
      <c r="BH138" s="99"/>
      <c r="BI138" s="99"/>
      <c r="BJ138" s="104"/>
      <c r="BK138" s="99"/>
      <c r="BL138" s="99"/>
      <c r="BM138" s="99"/>
      <c r="BN138" s="99"/>
      <c r="BO138" s="99"/>
      <c r="BP138" s="99"/>
      <c r="BQ138" s="99"/>
      <c r="BR138" s="99"/>
      <c r="BS138" s="99"/>
      <c r="BT138" s="99"/>
      <c r="BU138" s="99"/>
      <c r="BV138" s="99"/>
      <c r="BW138" s="99"/>
      <c r="BX138" s="99"/>
      <c r="BY138" s="99"/>
      <c r="BZ138" s="99"/>
      <c r="CA138" s="99"/>
      <c r="CB138" s="99"/>
      <c r="CC138" s="99"/>
      <c r="CD138" s="99"/>
      <c r="CE138" s="99"/>
      <c r="CF138" s="99"/>
      <c r="CG138" s="99"/>
      <c r="CH138" s="99"/>
      <c r="CI138" s="99"/>
      <c r="CJ138" s="99"/>
      <c r="CK138" s="99"/>
      <c r="CL138" s="104"/>
      <c r="CM138" s="99"/>
      <c r="CN138" s="99"/>
      <c r="CO138" s="99"/>
      <c r="CP138" s="99"/>
      <c r="CQ138" s="99"/>
      <c r="CR138" s="99"/>
      <c r="CS138" s="99"/>
      <c r="CT138" s="99"/>
      <c r="CU138" s="99"/>
      <c r="CV138" s="99"/>
      <c r="CW138" s="99"/>
      <c r="CX138" s="99"/>
    </row>
    <row r="139" spans="1:103" ht="12" customHeight="1" x14ac:dyDescent="0.2">
      <c r="A139" s="104">
        <v>2</v>
      </c>
      <c r="B139" s="104" t="s">
        <v>22</v>
      </c>
      <c r="C139" s="176">
        <v>29.307271791094792</v>
      </c>
      <c r="D139" s="176">
        <v>41.543402465058783</v>
      </c>
      <c r="E139" s="176">
        <v>40.563148145247013</v>
      </c>
      <c r="F139" s="176">
        <v>41.663895445362805</v>
      </c>
      <c r="G139" s="176">
        <v>45.977497970882766</v>
      </c>
      <c r="H139" s="176">
        <v>50.808757149003767</v>
      </c>
      <c r="I139" s="176">
        <v>52.971507885629471</v>
      </c>
      <c r="J139" s="176">
        <v>56.606691212723561</v>
      </c>
      <c r="K139" s="176">
        <v>36.831747448704867</v>
      </c>
      <c r="L139" s="176">
        <v>31.523526052208219</v>
      </c>
      <c r="M139" s="176">
        <v>29.899797663106675</v>
      </c>
      <c r="N139" s="176">
        <v>30.156098088261061</v>
      </c>
      <c r="O139" s="99"/>
      <c r="Q139" s="104">
        <v>2</v>
      </c>
      <c r="R139" s="97" t="s">
        <v>22</v>
      </c>
      <c r="S139" s="105">
        <v>0</v>
      </c>
      <c r="T139" s="105">
        <v>0</v>
      </c>
      <c r="U139" s="105">
        <v>0</v>
      </c>
      <c r="V139" s="105">
        <v>0</v>
      </c>
      <c r="W139" s="105">
        <v>0</v>
      </c>
      <c r="X139" s="105">
        <v>0</v>
      </c>
      <c r="Y139" s="105">
        <v>0</v>
      </c>
      <c r="Z139" s="105">
        <v>0</v>
      </c>
      <c r="AA139" s="105">
        <v>0</v>
      </c>
      <c r="AB139" s="105">
        <v>0</v>
      </c>
      <c r="AC139" s="105">
        <v>0</v>
      </c>
      <c r="AD139" s="105">
        <v>0</v>
      </c>
      <c r="AE139" s="99"/>
      <c r="AT139" s="99"/>
      <c r="AV139" s="104"/>
      <c r="AW139" s="99"/>
      <c r="AX139" s="99"/>
      <c r="AY139" s="99"/>
      <c r="AZ139" s="99"/>
      <c r="BA139" s="99"/>
      <c r="BB139" s="99"/>
      <c r="BC139" s="99"/>
      <c r="BD139" s="99"/>
      <c r="BE139" s="99"/>
      <c r="BF139" s="99"/>
      <c r="BG139" s="99"/>
      <c r="BH139" s="99"/>
      <c r="BI139" s="99"/>
      <c r="BJ139" s="104"/>
      <c r="BK139" s="99"/>
      <c r="BL139" s="99"/>
      <c r="BM139" s="99"/>
      <c r="BN139" s="99"/>
      <c r="BO139" s="99"/>
      <c r="BP139" s="99"/>
      <c r="BQ139" s="99"/>
      <c r="BR139" s="99"/>
      <c r="BS139" s="99"/>
      <c r="BT139" s="99"/>
      <c r="BU139" s="99"/>
      <c r="BV139" s="99"/>
      <c r="BW139" s="99"/>
      <c r="BX139" s="99"/>
      <c r="BY139" s="99"/>
      <c r="BZ139" s="99"/>
      <c r="CA139" s="99"/>
      <c r="CB139" s="99"/>
      <c r="CC139" s="99"/>
      <c r="CD139" s="99"/>
      <c r="CE139" s="99"/>
      <c r="CF139" s="99"/>
      <c r="CG139" s="99"/>
      <c r="CH139" s="99"/>
      <c r="CI139" s="99"/>
      <c r="CJ139" s="99"/>
      <c r="CK139" s="99"/>
      <c r="CL139" s="104"/>
      <c r="CM139" s="99"/>
      <c r="CN139" s="99"/>
      <c r="CO139" s="99"/>
      <c r="CP139" s="99"/>
      <c r="CQ139" s="99"/>
      <c r="CR139" s="99"/>
      <c r="CS139" s="99"/>
      <c r="CT139" s="99"/>
      <c r="CU139" s="99"/>
      <c r="CV139" s="99"/>
      <c r="CW139" s="99"/>
      <c r="CX139" s="99"/>
    </row>
    <row r="140" spans="1:103" ht="12" customHeight="1" x14ac:dyDescent="0.2">
      <c r="A140" s="104">
        <v>3</v>
      </c>
      <c r="B140" s="104" t="s">
        <v>17</v>
      </c>
      <c r="C140" s="176">
        <v>13.184141802638532</v>
      </c>
      <c r="D140" s="176">
        <v>16.826514346760916</v>
      </c>
      <c r="E140" s="176">
        <v>29.15711036859344</v>
      </c>
      <c r="F140" s="176">
        <v>33.052751281035228</v>
      </c>
      <c r="G140" s="176">
        <v>41.240791771743559</v>
      </c>
      <c r="H140" s="176">
        <v>69.30136165665904</v>
      </c>
      <c r="I140" s="176">
        <v>66.125237737199555</v>
      </c>
      <c r="J140" s="176">
        <v>43.959055344749245</v>
      </c>
      <c r="K140" s="176">
        <v>23.818728748737094</v>
      </c>
      <c r="L140" s="176">
        <v>8.7296848931652669</v>
      </c>
      <c r="M140" s="176">
        <v>4.8446021620574795</v>
      </c>
      <c r="N140" s="176">
        <v>7.4030996903167328</v>
      </c>
      <c r="O140" s="99"/>
      <c r="Q140" s="104">
        <v>3</v>
      </c>
      <c r="R140" s="97" t="s">
        <v>17</v>
      </c>
      <c r="S140" s="105">
        <v>0</v>
      </c>
      <c r="T140" s="105">
        <v>0</v>
      </c>
      <c r="U140" s="105">
        <v>0</v>
      </c>
      <c r="V140" s="105">
        <v>0</v>
      </c>
      <c r="W140" s="105">
        <v>0</v>
      </c>
      <c r="X140" s="105">
        <v>0</v>
      </c>
      <c r="Y140" s="105">
        <v>0</v>
      </c>
      <c r="Z140" s="105">
        <v>0</v>
      </c>
      <c r="AA140" s="105">
        <v>0</v>
      </c>
      <c r="AB140" s="105">
        <v>0</v>
      </c>
      <c r="AC140" s="105">
        <v>0</v>
      </c>
      <c r="AD140" s="105">
        <v>0</v>
      </c>
      <c r="AE140" s="99"/>
      <c r="AT140" s="99"/>
      <c r="AV140" s="104"/>
      <c r="AW140" s="99"/>
      <c r="AX140" s="99"/>
      <c r="AY140" s="99"/>
      <c r="AZ140" s="99"/>
      <c r="BA140" s="99"/>
      <c r="BB140" s="99"/>
      <c r="BC140" s="99"/>
      <c r="BD140" s="99"/>
      <c r="BE140" s="99"/>
      <c r="BF140" s="99"/>
      <c r="BG140" s="99"/>
      <c r="BH140" s="99"/>
      <c r="BI140" s="99"/>
      <c r="BJ140" s="104"/>
      <c r="BK140" s="99"/>
      <c r="BL140" s="99"/>
      <c r="BM140" s="99"/>
      <c r="BN140" s="99"/>
      <c r="BO140" s="99"/>
      <c r="BP140" s="99"/>
      <c r="BQ140" s="99"/>
      <c r="BR140" s="99"/>
      <c r="BS140" s="99"/>
      <c r="BT140" s="99"/>
      <c r="BU140" s="99"/>
      <c r="BV140" s="99"/>
      <c r="BW140" s="99"/>
      <c r="BX140" s="99"/>
      <c r="BY140" s="99"/>
      <c r="BZ140" s="177">
        <v>48.694918378261441</v>
      </c>
      <c r="CA140" s="177">
        <v>58.249833828181394</v>
      </c>
      <c r="CB140" s="177">
        <v>67.838781737684556</v>
      </c>
      <c r="CC140" s="177">
        <v>70.357114264309416</v>
      </c>
      <c r="CD140" s="177">
        <v>69.382996633435241</v>
      </c>
      <c r="CE140" s="177">
        <v>83.389926140901579</v>
      </c>
      <c r="CF140" s="177">
        <v>78.610552612358816</v>
      </c>
      <c r="CG140" s="177">
        <v>54.113914209092513</v>
      </c>
      <c r="CH140" s="177">
        <v>32.000135129873485</v>
      </c>
      <c r="CI140" s="177">
        <v>11.716828610665459</v>
      </c>
      <c r="CJ140" s="177">
        <v>11.700899136968633</v>
      </c>
      <c r="CK140" s="177">
        <v>26.480241673026836</v>
      </c>
      <c r="CL140" s="104"/>
      <c r="CM140" s="99" t="s">
        <v>155</v>
      </c>
      <c r="CN140" s="59">
        <v>0</v>
      </c>
      <c r="CO140" s="59">
        <v>0</v>
      </c>
      <c r="CP140" s="59">
        <v>0</v>
      </c>
      <c r="CQ140" s="59">
        <v>0</v>
      </c>
      <c r="CR140" s="59">
        <v>0</v>
      </c>
      <c r="CS140" s="59">
        <v>0</v>
      </c>
      <c r="CT140" s="59">
        <v>0</v>
      </c>
      <c r="CU140" s="59">
        <v>0</v>
      </c>
      <c r="CV140" s="59">
        <v>0</v>
      </c>
      <c r="CW140" s="59">
        <v>0</v>
      </c>
      <c r="CX140" s="59">
        <v>0</v>
      </c>
      <c r="CY140" s="59">
        <v>0</v>
      </c>
    </row>
    <row r="141" spans="1:103" ht="12" customHeight="1" x14ac:dyDescent="0.2">
      <c r="A141" s="108">
        <v>4</v>
      </c>
      <c r="B141" s="108" t="s">
        <v>0</v>
      </c>
      <c r="C141" s="176">
        <v>121.97502920487422</v>
      </c>
      <c r="D141" s="176">
        <v>129.13769563049769</v>
      </c>
      <c r="E141" s="176">
        <v>156.55316331993768</v>
      </c>
      <c r="F141" s="176">
        <v>166.77133305629067</v>
      </c>
      <c r="G141" s="176">
        <v>181.48648115969419</v>
      </c>
      <c r="H141" s="176">
        <v>233.56213226534325</v>
      </c>
      <c r="I141" s="176">
        <v>230.71386154922067</v>
      </c>
      <c r="J141" s="176">
        <v>190.03106814355544</v>
      </c>
      <c r="K141" s="176">
        <v>161.88352183555273</v>
      </c>
      <c r="L141" s="176">
        <v>122.52437422059396</v>
      </c>
      <c r="M141" s="176">
        <v>110.3789926175333</v>
      </c>
      <c r="N141" s="176">
        <v>106.86140166619349</v>
      </c>
      <c r="O141" s="99"/>
      <c r="Q141" s="108">
        <v>4</v>
      </c>
      <c r="R141" s="109" t="s">
        <v>0</v>
      </c>
      <c r="S141" s="107">
        <v>1.4097694115956154</v>
      </c>
      <c r="T141" s="107">
        <v>0</v>
      </c>
      <c r="U141" s="107">
        <v>0</v>
      </c>
      <c r="V141" s="107">
        <v>0</v>
      </c>
      <c r="W141" s="107">
        <v>0</v>
      </c>
      <c r="X141" s="107">
        <v>0</v>
      </c>
      <c r="Y141" s="107">
        <v>0.57988649681600535</v>
      </c>
      <c r="Z141" s="107">
        <v>1.8414228559739148</v>
      </c>
      <c r="AA141" s="107">
        <v>3.2008645038418329</v>
      </c>
      <c r="AB141" s="107">
        <v>4.3691461437628032</v>
      </c>
      <c r="AC141" s="107">
        <v>4.3055855298411778</v>
      </c>
      <c r="AD141" s="107">
        <v>3.1348548371324987</v>
      </c>
      <c r="AE141" s="99"/>
      <c r="AT141" s="99"/>
      <c r="AV141" s="108"/>
      <c r="AW141" s="99"/>
      <c r="AX141" s="99"/>
      <c r="AY141" s="99"/>
      <c r="AZ141" s="99"/>
      <c r="BA141" s="99"/>
      <c r="BB141" s="99"/>
      <c r="BC141" s="99"/>
      <c r="BD141" s="99"/>
      <c r="BE141" s="99"/>
      <c r="BF141" s="99"/>
      <c r="BG141" s="99"/>
      <c r="BH141" s="99"/>
      <c r="BI141" s="99"/>
      <c r="BJ141" s="108"/>
      <c r="BK141" s="99"/>
      <c r="BL141" s="99"/>
      <c r="BM141" s="99"/>
      <c r="BN141" s="99"/>
      <c r="BO141" s="99"/>
      <c r="BP141" s="99"/>
      <c r="BQ141" s="99"/>
      <c r="BR141" s="99"/>
      <c r="BS141" s="99"/>
      <c r="BT141" s="99"/>
      <c r="BU141" s="99"/>
      <c r="BV141" s="99"/>
      <c r="BW141" s="99"/>
      <c r="BX141" s="99"/>
      <c r="BY141" s="99"/>
      <c r="BZ141" s="177">
        <v>16.208668361318598</v>
      </c>
      <c r="CA141" s="177">
        <v>27.857309039108063</v>
      </c>
      <c r="CB141" s="177">
        <v>18.614088764360012</v>
      </c>
      <c r="CC141" s="177">
        <v>20.671799569966083</v>
      </c>
      <c r="CD141" s="177">
        <v>12.534248740453449</v>
      </c>
      <c r="CE141" s="177">
        <v>3.6150072215695204</v>
      </c>
      <c r="CF141" s="177">
        <v>17.833957801609564</v>
      </c>
      <c r="CG141" s="177">
        <v>24.268247167048965</v>
      </c>
      <c r="CH141" s="177">
        <v>8.1493572591436596</v>
      </c>
      <c r="CI141" s="177">
        <v>9.3248627345430606</v>
      </c>
      <c r="CJ141" s="177">
        <v>9.658064999714945</v>
      </c>
      <c r="CK141" s="177">
        <v>17.632211186073544</v>
      </c>
      <c r="CL141" s="108"/>
      <c r="CM141" s="99"/>
      <c r="CN141" s="59">
        <v>0</v>
      </c>
      <c r="CO141" s="59">
        <v>0</v>
      </c>
      <c r="CP141" s="59">
        <v>0</v>
      </c>
      <c r="CQ141" s="59">
        <v>0</v>
      </c>
      <c r="CR141" s="59">
        <v>0</v>
      </c>
      <c r="CS141" s="59">
        <v>0</v>
      </c>
      <c r="CT141" s="59">
        <v>0</v>
      </c>
      <c r="CU141" s="59">
        <v>0</v>
      </c>
      <c r="CV141" s="59">
        <v>0</v>
      </c>
      <c r="CW141" s="59">
        <v>0</v>
      </c>
      <c r="CX141" s="59">
        <v>0</v>
      </c>
      <c r="CY141" s="59">
        <v>0</v>
      </c>
    </row>
    <row r="142" spans="1:103" ht="12" customHeight="1" x14ac:dyDescent="0.2">
      <c r="A142" s="108">
        <v>5</v>
      </c>
      <c r="B142" s="108" t="s">
        <v>16</v>
      </c>
      <c r="C142" s="176">
        <v>122.12186912767302</v>
      </c>
      <c r="D142" s="176">
        <v>129.29315834594368</v>
      </c>
      <c r="E142" s="176">
        <v>156.74163020996968</v>
      </c>
      <c r="F142" s="176">
        <v>166.97210111374207</v>
      </c>
      <c r="G142" s="176">
        <v>181.70496408243855</v>
      </c>
      <c r="H142" s="176">
        <v>233.84330658187449</v>
      </c>
      <c r="I142" s="176">
        <v>230.99160696842117</v>
      </c>
      <c r="J142" s="176">
        <v>190.25983748722746</v>
      </c>
      <c r="K142" s="176">
        <v>162.07840569008991</v>
      </c>
      <c r="L142" s="176">
        <v>122.67187547366851</v>
      </c>
      <c r="M142" s="176">
        <v>110.51187262469725</v>
      </c>
      <c r="N142" s="176">
        <v>106.99004701330364</v>
      </c>
      <c r="O142" s="99"/>
      <c r="Q142" s="108">
        <v>5</v>
      </c>
      <c r="R142" s="109" t="s">
        <v>16</v>
      </c>
      <c r="S142" s="107">
        <v>0.11010517906002197</v>
      </c>
      <c r="T142" s="107">
        <v>0</v>
      </c>
      <c r="U142" s="107">
        <v>0</v>
      </c>
      <c r="V142" s="107">
        <v>0</v>
      </c>
      <c r="W142" s="107">
        <v>0</v>
      </c>
      <c r="X142" s="107">
        <v>0</v>
      </c>
      <c r="Y142" s="107">
        <v>4.8789686278901019E-2</v>
      </c>
      <c r="Z142" s="107">
        <v>0.13885355451994266</v>
      </c>
      <c r="AA142" s="107">
        <v>0.23600628636470028</v>
      </c>
      <c r="AB142" s="107">
        <v>0.32078432667910167</v>
      </c>
      <c r="AC142" s="107">
        <v>0.31812929643887045</v>
      </c>
      <c r="AD142" s="107">
        <v>0.2350521385952343</v>
      </c>
      <c r="AE142" s="99"/>
      <c r="AT142" s="99"/>
      <c r="AV142" s="108"/>
      <c r="AW142" s="99"/>
      <c r="AX142" s="99"/>
      <c r="AY142" s="99"/>
      <c r="AZ142" s="99"/>
      <c r="BA142" s="99"/>
      <c r="BB142" s="99"/>
      <c r="BC142" s="99"/>
      <c r="BD142" s="99"/>
      <c r="BE142" s="99"/>
      <c r="BF142" s="99"/>
      <c r="BG142" s="99"/>
      <c r="BH142" s="99"/>
      <c r="BI142" s="99"/>
      <c r="BJ142" s="108"/>
      <c r="BK142" s="99"/>
      <c r="BL142" s="99"/>
      <c r="BM142" s="99"/>
      <c r="BN142" s="99"/>
      <c r="BO142" s="99"/>
      <c r="BP142" s="99"/>
      <c r="BQ142" s="99"/>
      <c r="BR142" s="99"/>
      <c r="BS142" s="99"/>
      <c r="BT142" s="99"/>
      <c r="BU142" s="99"/>
      <c r="BV142" s="99"/>
      <c r="BW142" s="99"/>
      <c r="BX142" s="99"/>
      <c r="BY142" s="99"/>
      <c r="BZ142" s="177">
        <v>35.632183018646856</v>
      </c>
      <c r="CA142" s="177">
        <v>35.788408952816681</v>
      </c>
      <c r="CB142" s="177">
        <v>37.953086094226073</v>
      </c>
      <c r="CC142" s="177">
        <v>42.486243803698017</v>
      </c>
      <c r="CD142" s="177">
        <v>45.396573959933079</v>
      </c>
      <c r="CE142" s="177">
        <v>62.007027446515806</v>
      </c>
      <c r="CF142" s="177">
        <v>65.806574703082916</v>
      </c>
      <c r="CG142" s="177">
        <v>48.396207868708231</v>
      </c>
      <c r="CH142" s="177">
        <v>31.025567611578545</v>
      </c>
      <c r="CI142" s="177">
        <v>24.620758226144151</v>
      </c>
      <c r="CJ142" s="177">
        <v>25.63202768879486</v>
      </c>
      <c r="CK142" s="177">
        <v>32.061400029658401</v>
      </c>
      <c r="CL142" s="108"/>
      <c r="CM142" s="99"/>
      <c r="CN142" s="59">
        <v>0</v>
      </c>
      <c r="CO142" s="59">
        <v>0</v>
      </c>
      <c r="CP142" s="59">
        <v>0</v>
      </c>
      <c r="CQ142" s="59">
        <v>0</v>
      </c>
      <c r="CR142" s="59">
        <v>0</v>
      </c>
      <c r="CS142" s="59">
        <v>0</v>
      </c>
      <c r="CT142" s="59">
        <v>0</v>
      </c>
      <c r="CU142" s="59">
        <v>0</v>
      </c>
      <c r="CV142" s="59">
        <v>0</v>
      </c>
      <c r="CW142" s="59">
        <v>0</v>
      </c>
      <c r="CX142" s="59">
        <v>0</v>
      </c>
      <c r="CY142" s="59">
        <v>0</v>
      </c>
    </row>
    <row r="143" spans="1:103" ht="12" customHeight="1" x14ac:dyDescent="0.2">
      <c r="A143" s="104">
        <v>6</v>
      </c>
      <c r="B143" s="104" t="s">
        <v>18</v>
      </c>
      <c r="C143" s="176">
        <v>23.81048692611186</v>
      </c>
      <c r="D143" s="176">
        <v>23.3641681687198</v>
      </c>
      <c r="E143" s="176">
        <v>50.335189827392298</v>
      </c>
      <c r="F143" s="176">
        <v>52.668607990812639</v>
      </c>
      <c r="G143" s="176">
        <v>65.821354620534123</v>
      </c>
      <c r="H143" s="176">
        <v>106.99173025017549</v>
      </c>
      <c r="I143" s="176">
        <v>112.58273629432922</v>
      </c>
      <c r="J143" s="176">
        <v>57.192820556416791</v>
      </c>
      <c r="K143" s="176">
        <v>32.74378013487371</v>
      </c>
      <c r="L143" s="176">
        <v>26.276006691130881</v>
      </c>
      <c r="M143" s="176">
        <v>26.112632918987241</v>
      </c>
      <c r="N143" s="176">
        <v>23.843305348548899</v>
      </c>
      <c r="O143" s="99"/>
      <c r="Q143" s="104">
        <v>6</v>
      </c>
      <c r="R143" s="97" t="s">
        <v>18</v>
      </c>
      <c r="S143" s="105">
        <v>0</v>
      </c>
      <c r="T143" s="105">
        <v>0</v>
      </c>
      <c r="U143" s="105">
        <v>0</v>
      </c>
      <c r="V143" s="105">
        <v>0</v>
      </c>
      <c r="W143" s="105">
        <v>0</v>
      </c>
      <c r="X143" s="105">
        <v>0</v>
      </c>
      <c r="Y143" s="105">
        <v>0</v>
      </c>
      <c r="Z143" s="105">
        <v>0</v>
      </c>
      <c r="AA143" s="105">
        <v>0</v>
      </c>
      <c r="AB143" s="105">
        <v>0</v>
      </c>
      <c r="AC143" s="105">
        <v>0</v>
      </c>
      <c r="AD143" s="105">
        <v>0</v>
      </c>
      <c r="AE143" s="99"/>
      <c r="AT143" s="99"/>
      <c r="AV143" s="104"/>
      <c r="AW143" s="99"/>
      <c r="AX143" s="99"/>
      <c r="AY143" s="99"/>
      <c r="AZ143" s="99"/>
      <c r="BA143" s="99"/>
      <c r="BB143" s="99"/>
      <c r="BC143" s="99"/>
      <c r="BD143" s="99"/>
      <c r="BE143" s="99"/>
      <c r="BF143" s="99"/>
      <c r="BG143" s="99"/>
      <c r="BH143" s="99"/>
      <c r="BI143" s="99"/>
      <c r="BJ143" s="104"/>
      <c r="BK143" s="99"/>
      <c r="BL143" s="99"/>
      <c r="BM143" s="99"/>
      <c r="BN143" s="99"/>
      <c r="BO143" s="99"/>
      <c r="BP143" s="99"/>
      <c r="BQ143" s="99"/>
      <c r="BR143" s="99"/>
      <c r="BS143" s="99"/>
      <c r="BT143" s="99"/>
      <c r="BU143" s="99"/>
      <c r="BV143" s="99"/>
      <c r="BW143" s="99"/>
      <c r="BX143" s="99"/>
      <c r="BY143" s="99"/>
      <c r="BZ143" s="178">
        <v>117.49144153884595</v>
      </c>
      <c r="CA143" s="178">
        <v>121.60541233953455</v>
      </c>
      <c r="CB143" s="178">
        <v>125.77135576711703</v>
      </c>
      <c r="CC143" s="178">
        <v>135.28097179883889</v>
      </c>
      <c r="CD143" s="178">
        <v>128.62017261525074</v>
      </c>
      <c r="CE143" s="178">
        <v>150.88752131399556</v>
      </c>
      <c r="CF143" s="178">
        <v>169.55782648211573</v>
      </c>
      <c r="CG143" s="178">
        <v>122.68190227299384</v>
      </c>
      <c r="CH143" s="178">
        <v>82.617755927315869</v>
      </c>
      <c r="CI143" s="178">
        <v>62.391136344547476</v>
      </c>
      <c r="CJ143" s="178">
        <v>64.152484503580411</v>
      </c>
      <c r="CK143" s="178">
        <v>92.050833106991078</v>
      </c>
      <c r="CL143" s="104"/>
      <c r="CM143" s="99"/>
      <c r="CN143" s="60">
        <v>83.521780106094965</v>
      </c>
      <c r="CO143" s="60">
        <v>80.848792711420771</v>
      </c>
      <c r="CP143" s="60">
        <v>83.348839590563685</v>
      </c>
      <c r="CQ143" s="60">
        <v>82.83924105712363</v>
      </c>
      <c r="CR143" s="60">
        <v>74.374178431396217</v>
      </c>
      <c r="CS143" s="60">
        <v>82.034887598767526</v>
      </c>
      <c r="CT143" s="60">
        <v>79.230330135604092</v>
      </c>
      <c r="CU143" s="60">
        <v>82.242176753403697</v>
      </c>
      <c r="CV143" s="60">
        <v>80.954502435119466</v>
      </c>
      <c r="CW143" s="60">
        <v>86.045837866616168</v>
      </c>
      <c r="CX143" s="60">
        <v>89.114328963364088</v>
      </c>
      <c r="CY143" s="60">
        <v>88.951486246205548</v>
      </c>
    </row>
    <row r="144" spans="1:103" ht="12" customHeight="1" x14ac:dyDescent="0.2">
      <c r="A144" s="108">
        <v>7</v>
      </c>
      <c r="B144" s="108" t="s">
        <v>19</v>
      </c>
      <c r="C144" s="176">
        <v>139.01227752178974</v>
      </c>
      <c r="D144" s="176">
        <v>168.70659905190021</v>
      </c>
      <c r="E144" s="176">
        <v>245.71801496782479</v>
      </c>
      <c r="F144" s="176">
        <v>259.81846725730696</v>
      </c>
      <c r="G144" s="176">
        <v>302.67004892204613</v>
      </c>
      <c r="H144" s="176">
        <v>451.05925821882573</v>
      </c>
      <c r="I144" s="176">
        <v>478.15312646602774</v>
      </c>
      <c r="J144" s="176">
        <v>322.92390504100842</v>
      </c>
      <c r="K144" s="176">
        <v>207.52388134194169</v>
      </c>
      <c r="L144" s="176">
        <v>142.62100151331398</v>
      </c>
      <c r="M144" s="176">
        <v>127.10016261495049</v>
      </c>
      <c r="N144" s="176">
        <v>122.20837346855272</v>
      </c>
      <c r="O144" s="99"/>
      <c r="Q144" s="108">
        <v>7</v>
      </c>
      <c r="R144" s="109" t="s">
        <v>19</v>
      </c>
      <c r="S144" s="107">
        <v>3.5756980536133867</v>
      </c>
      <c r="T144" s="107">
        <v>0.70603871085131753</v>
      </c>
      <c r="U144" s="107">
        <v>0</v>
      </c>
      <c r="V144" s="107">
        <v>0</v>
      </c>
      <c r="W144" s="107">
        <v>0</v>
      </c>
      <c r="X144" s="107">
        <v>0</v>
      </c>
      <c r="Y144" s="107">
        <v>4.2805721764393487</v>
      </c>
      <c r="Z144" s="107">
        <v>6.7754015658758204</v>
      </c>
      <c r="AA144" s="107">
        <v>9.851818732220746</v>
      </c>
      <c r="AB144" s="107">
        <v>13.449655872799308</v>
      </c>
      <c r="AC144" s="107">
        <v>12.218187686410516</v>
      </c>
      <c r="AD144" s="107">
        <v>8.1390533282569741</v>
      </c>
      <c r="AE144" s="99"/>
      <c r="AT144" s="99"/>
      <c r="AV144" s="108"/>
      <c r="AW144" s="99"/>
      <c r="AX144" s="99"/>
      <c r="AY144" s="99"/>
      <c r="AZ144" s="99"/>
      <c r="BA144" s="99"/>
      <c r="BB144" s="99"/>
      <c r="BC144" s="99"/>
      <c r="BD144" s="99"/>
      <c r="BE144" s="99"/>
      <c r="BF144" s="99"/>
      <c r="BG144" s="99"/>
      <c r="BH144" s="99"/>
      <c r="BI144" s="99"/>
      <c r="BJ144" s="108"/>
      <c r="BK144" s="99"/>
      <c r="BL144" s="99"/>
      <c r="BM144" s="99"/>
      <c r="BN144" s="99"/>
      <c r="BO144" s="99"/>
      <c r="BP144" s="99"/>
      <c r="BQ144" s="99"/>
      <c r="BR144" s="99"/>
      <c r="BS144" s="99"/>
      <c r="BT144" s="99"/>
      <c r="BU144" s="99"/>
      <c r="BV144" s="99"/>
      <c r="BW144" s="99"/>
      <c r="BX144" s="99"/>
      <c r="BY144" s="99"/>
      <c r="BZ144" s="178">
        <v>117.49144153884595</v>
      </c>
      <c r="CA144" s="178">
        <v>121.60541233953455</v>
      </c>
      <c r="CB144" s="178">
        <v>125.77135576711703</v>
      </c>
      <c r="CC144" s="178">
        <v>135.28097179883889</v>
      </c>
      <c r="CD144" s="178">
        <v>128.62017261525074</v>
      </c>
      <c r="CE144" s="178">
        <v>150.88752131399556</v>
      </c>
      <c r="CF144" s="178">
        <v>169.55782648211573</v>
      </c>
      <c r="CG144" s="178">
        <v>122.68190227299384</v>
      </c>
      <c r="CH144" s="178">
        <v>82.617755927315869</v>
      </c>
      <c r="CI144" s="178">
        <v>62.391136344547476</v>
      </c>
      <c r="CJ144" s="178">
        <v>64.152484503580411</v>
      </c>
      <c r="CK144" s="178">
        <v>92.050833106991078</v>
      </c>
      <c r="CL144" s="108"/>
      <c r="CM144" s="99"/>
      <c r="CN144" s="60">
        <v>0.90931535590188162</v>
      </c>
      <c r="CO144" s="60">
        <v>0.90931535590188162</v>
      </c>
      <c r="CP144" s="60">
        <v>0.90931535590188162</v>
      </c>
      <c r="CQ144" s="60">
        <v>0.90931535590188162</v>
      </c>
      <c r="CR144" s="60">
        <v>0.90931535590188162</v>
      </c>
      <c r="CS144" s="60">
        <v>0.90931535590188162</v>
      </c>
      <c r="CT144" s="60">
        <v>0.90931535590188162</v>
      </c>
      <c r="CU144" s="60">
        <v>0.90931535590188162</v>
      </c>
      <c r="CV144" s="60">
        <v>0.90931535590188162</v>
      </c>
      <c r="CW144" s="60">
        <v>0.90931535590188162</v>
      </c>
      <c r="CX144" s="60">
        <v>0.90931535590188162</v>
      </c>
      <c r="CY144" s="60">
        <v>0.90931535590188162</v>
      </c>
    </row>
    <row r="145" spans="1:103" ht="12" customHeight="1" x14ac:dyDescent="0.2">
      <c r="A145" s="108">
        <v>8</v>
      </c>
      <c r="B145" s="108" t="s">
        <v>23</v>
      </c>
      <c r="C145" s="176">
        <v>146.01497402804449</v>
      </c>
      <c r="D145" s="176">
        <v>174.62136687677432</v>
      </c>
      <c r="E145" s="176">
        <v>254.29973142711191</v>
      </c>
      <c r="F145" s="176">
        <v>271.03041727888512</v>
      </c>
      <c r="G145" s="176">
        <v>320.1052045619611</v>
      </c>
      <c r="H145" s="176">
        <v>478.81634155743888</v>
      </c>
      <c r="I145" s="176">
        <v>505.4435039692832</v>
      </c>
      <c r="J145" s="176">
        <v>342.74285684630354</v>
      </c>
      <c r="K145" s="176">
        <v>222.53572193453374</v>
      </c>
      <c r="L145" s="176">
        <v>152.54090547953047</v>
      </c>
      <c r="M145" s="176">
        <v>135.23211522242173</v>
      </c>
      <c r="N145" s="176">
        <v>128.13679269791578</v>
      </c>
      <c r="O145" s="99"/>
      <c r="Q145" s="108">
        <v>8</v>
      </c>
      <c r="R145" s="109" t="s">
        <v>23</v>
      </c>
      <c r="S145" s="107">
        <v>1.0080578148567121</v>
      </c>
      <c r="T145" s="107">
        <v>6.5339127015105513E-3</v>
      </c>
      <c r="U145" s="107">
        <v>0</v>
      </c>
      <c r="V145" s="107">
        <v>0</v>
      </c>
      <c r="W145" s="107">
        <v>0</v>
      </c>
      <c r="X145" s="107">
        <v>0</v>
      </c>
      <c r="Y145" s="107">
        <v>1.0058469975536839</v>
      </c>
      <c r="Z145" s="107">
        <v>1.8571617955015551</v>
      </c>
      <c r="AA145" s="107">
        <v>2.7886444631161007</v>
      </c>
      <c r="AB145" s="107">
        <v>3.7010339516894075</v>
      </c>
      <c r="AC145" s="107">
        <v>3.5175433679975052</v>
      </c>
      <c r="AD145" s="107">
        <v>2.4283867909236001</v>
      </c>
      <c r="AE145" s="99"/>
      <c r="AG145" s="99"/>
      <c r="AH145" s="99"/>
      <c r="AI145" s="99"/>
      <c r="AJ145" s="99"/>
      <c r="AK145" s="99"/>
      <c r="AL145" s="99"/>
      <c r="AM145" s="99"/>
      <c r="AN145" s="99"/>
      <c r="AO145" s="99"/>
      <c r="AP145" s="99"/>
      <c r="AQ145" s="99"/>
      <c r="AR145" s="99"/>
      <c r="AS145" s="99"/>
      <c r="AT145" s="99"/>
      <c r="AV145" s="108"/>
      <c r="AW145" s="99"/>
      <c r="AX145" s="99"/>
      <c r="AY145" s="99"/>
      <c r="AZ145" s="99"/>
      <c r="BA145" s="99"/>
      <c r="BB145" s="99"/>
      <c r="BC145" s="99"/>
      <c r="BD145" s="99"/>
      <c r="BE145" s="99"/>
      <c r="BF145" s="99"/>
      <c r="BG145" s="99"/>
      <c r="BH145" s="99"/>
      <c r="BI145" s="99"/>
      <c r="BJ145" s="108"/>
      <c r="BK145" s="99"/>
      <c r="BL145" s="99"/>
      <c r="BM145" s="99"/>
      <c r="BN145" s="99"/>
      <c r="BO145" s="99"/>
      <c r="BP145" s="99"/>
      <c r="BQ145" s="99"/>
      <c r="BR145" s="99"/>
      <c r="BS145" s="99"/>
      <c r="BT145" s="99"/>
      <c r="BU145" s="99"/>
      <c r="BV145" s="99"/>
      <c r="BW145" s="99"/>
      <c r="BX145" s="99"/>
      <c r="BY145" s="99"/>
      <c r="BZ145" s="177">
        <v>5.3228621654855637</v>
      </c>
      <c r="CA145" s="177">
        <v>6.754678449724576</v>
      </c>
      <c r="CB145" s="177">
        <v>32.124610108015048</v>
      </c>
      <c r="CC145" s="177">
        <v>34.36116841024122</v>
      </c>
      <c r="CD145" s="177">
        <v>46.87162445368115</v>
      </c>
      <c r="CE145" s="177">
        <v>76.551673514648783</v>
      </c>
      <c r="CF145" s="177">
        <v>78.341833906458078</v>
      </c>
      <c r="CG145" s="177">
        <v>32.20759027368792</v>
      </c>
      <c r="CH145" s="177">
        <v>9.6475450572553285</v>
      </c>
      <c r="CI145" s="177">
        <v>4.2583865873032849</v>
      </c>
      <c r="CJ145" s="177">
        <v>3.2776862699741649</v>
      </c>
      <c r="CK145" s="177">
        <v>3.7413116053805311</v>
      </c>
      <c r="CL145" s="108"/>
      <c r="CM145" s="99"/>
      <c r="CN145" s="59">
        <v>0</v>
      </c>
      <c r="CO145" s="59">
        <v>0</v>
      </c>
      <c r="CP145" s="59">
        <v>0</v>
      </c>
      <c r="CQ145" s="59">
        <v>0</v>
      </c>
      <c r="CR145" s="59">
        <v>0</v>
      </c>
      <c r="CS145" s="59">
        <v>0</v>
      </c>
      <c r="CT145" s="59">
        <v>0</v>
      </c>
      <c r="CU145" s="59">
        <v>0</v>
      </c>
      <c r="CV145" s="59">
        <v>0</v>
      </c>
      <c r="CW145" s="59">
        <v>0</v>
      </c>
      <c r="CX145" s="59">
        <v>0</v>
      </c>
      <c r="CY145" s="59">
        <v>0</v>
      </c>
    </row>
    <row r="146" spans="1:103" ht="12" customHeight="1" x14ac:dyDescent="0.2">
      <c r="A146" s="108">
        <v>9</v>
      </c>
      <c r="B146" s="108" t="s">
        <v>24</v>
      </c>
      <c r="C146" s="176">
        <v>146.65838160153447</v>
      </c>
      <c r="D146" s="176">
        <v>175.39082706871392</v>
      </c>
      <c r="E146" s="176">
        <v>255.4202902891449</v>
      </c>
      <c r="F146" s="176">
        <v>272.22469905912141</v>
      </c>
      <c r="G146" s="176">
        <v>321.51573190204863</v>
      </c>
      <c r="H146" s="176">
        <v>480.92622146886237</v>
      </c>
      <c r="I146" s="176">
        <v>507.67071512067309</v>
      </c>
      <c r="J146" s="176">
        <v>344.25313585242901</v>
      </c>
      <c r="K146" s="176">
        <v>223.51631430061005</v>
      </c>
      <c r="L146" s="176">
        <v>153.21306923880144</v>
      </c>
      <c r="M146" s="176">
        <v>135.82800867576341</v>
      </c>
      <c r="N146" s="176">
        <v>128.70142097260711</v>
      </c>
      <c r="O146" s="99"/>
      <c r="Q146" s="108">
        <v>9</v>
      </c>
      <c r="R146" s="109" t="s">
        <v>24</v>
      </c>
      <c r="S146" s="107">
        <v>0.17308441559183135</v>
      </c>
      <c r="T146" s="107">
        <v>4.09622863275865E-2</v>
      </c>
      <c r="U146" s="107">
        <v>0</v>
      </c>
      <c r="V146" s="107">
        <v>0</v>
      </c>
      <c r="W146" s="107">
        <v>0</v>
      </c>
      <c r="X146" s="107">
        <v>0</v>
      </c>
      <c r="Y146" s="107">
        <v>0.17602790833333343</v>
      </c>
      <c r="Z146" s="107">
        <v>0.38357957000000026</v>
      </c>
      <c r="AA146" s="107">
        <v>0.58772699850917709</v>
      </c>
      <c r="AB146" s="107">
        <v>0.74618093058747736</v>
      </c>
      <c r="AC146" s="107">
        <v>0.68716881069991387</v>
      </c>
      <c r="AD146" s="107">
        <v>0.45381153204118124</v>
      </c>
      <c r="AE146" s="99"/>
      <c r="AG146" s="99"/>
      <c r="AH146" s="99"/>
      <c r="AI146" s="99"/>
      <c r="AJ146" s="99"/>
      <c r="AK146" s="99"/>
      <c r="AL146" s="99"/>
      <c r="AM146" s="99"/>
      <c r="AN146" s="99"/>
      <c r="AO146" s="99"/>
      <c r="AP146" s="99"/>
      <c r="AQ146" s="99"/>
      <c r="AR146" s="99"/>
      <c r="AS146" s="99"/>
      <c r="AT146" s="99"/>
      <c r="AV146" s="108"/>
      <c r="AW146" s="99"/>
      <c r="AX146" s="99"/>
      <c r="AY146" s="99"/>
      <c r="AZ146" s="99"/>
      <c r="BA146" s="99"/>
      <c r="BB146" s="99"/>
      <c r="BC146" s="99"/>
      <c r="BD146" s="99"/>
      <c r="BE146" s="99"/>
      <c r="BF146" s="99"/>
      <c r="BG146" s="99"/>
      <c r="BH146" s="99"/>
      <c r="BI146" s="99"/>
      <c r="BJ146" s="108"/>
      <c r="BK146" s="99"/>
      <c r="BL146" s="99"/>
      <c r="BM146" s="99"/>
      <c r="BN146" s="99"/>
      <c r="BO146" s="99"/>
      <c r="BP146" s="99"/>
      <c r="BQ146" s="99"/>
      <c r="BR146" s="99"/>
      <c r="BS146" s="99"/>
      <c r="BT146" s="99"/>
      <c r="BU146" s="99"/>
      <c r="BV146" s="99"/>
      <c r="BW146" s="99"/>
      <c r="BX146" s="99"/>
      <c r="BY146" s="99"/>
      <c r="BZ146" s="178">
        <v>126.32724847675831</v>
      </c>
      <c r="CA146" s="178">
        <v>153.12889694903018</v>
      </c>
      <c r="CB146" s="178">
        <v>202.01961359925039</v>
      </c>
      <c r="CC146" s="178">
        <v>214.34053551199804</v>
      </c>
      <c r="CD146" s="178">
        <v>232.57474526014113</v>
      </c>
      <c r="CE146" s="178">
        <v>338.88336067961887</v>
      </c>
      <c r="CF146" s="178">
        <v>386.91070813724087</v>
      </c>
      <c r="CG146" s="178">
        <v>229.6373240415561</v>
      </c>
      <c r="CH146" s="178">
        <v>91.148455672588724</v>
      </c>
      <c r="CI146" s="178">
        <v>35.722112629180764</v>
      </c>
      <c r="CJ146" s="178">
        <v>34.914134232437647</v>
      </c>
      <c r="CK146" s="178">
        <v>88.949708262942352</v>
      </c>
      <c r="CL146" s="108"/>
      <c r="CM146" s="99"/>
      <c r="CN146" s="60">
        <v>216.64255325060935</v>
      </c>
      <c r="CO146" s="60">
        <v>216.64255325060935</v>
      </c>
      <c r="CP146" s="60">
        <v>216.64255325060935</v>
      </c>
      <c r="CQ146" s="60">
        <v>216.64255325060935</v>
      </c>
      <c r="CR146" s="60">
        <v>216.64255325060935</v>
      </c>
      <c r="CS146" s="60">
        <v>216.64255325060935</v>
      </c>
      <c r="CT146" s="60">
        <v>216.64255325060935</v>
      </c>
      <c r="CU146" s="60">
        <v>216.64255325060935</v>
      </c>
      <c r="CV146" s="60">
        <v>216.64255325060935</v>
      </c>
      <c r="CW146" s="60">
        <v>216.64255325060935</v>
      </c>
      <c r="CX146" s="60">
        <v>216.64255325060935</v>
      </c>
      <c r="CY146" s="60">
        <v>216.64255325060935</v>
      </c>
    </row>
    <row r="147" spans="1:103" ht="12" customHeight="1" x14ac:dyDescent="0.2">
      <c r="A147" s="104">
        <v>10</v>
      </c>
      <c r="B147" s="104" t="s">
        <v>25</v>
      </c>
      <c r="C147" s="176">
        <v>197.39618156865188</v>
      </c>
      <c r="D147" s="176">
        <v>218.9893454236404</v>
      </c>
      <c r="E147" s="176">
        <v>288.85394383008742</v>
      </c>
      <c r="F147" s="176">
        <v>344.87337543446608</v>
      </c>
      <c r="G147" s="176">
        <v>340.76271562330987</v>
      </c>
      <c r="H147" s="176">
        <v>424.07125788217525</v>
      </c>
      <c r="I147" s="176">
        <v>404.63562827270556</v>
      </c>
      <c r="J147" s="176">
        <v>305.59801746747803</v>
      </c>
      <c r="K147" s="176">
        <v>264.40768772635738</v>
      </c>
      <c r="L147" s="176">
        <v>272.57099642908207</v>
      </c>
      <c r="M147" s="176">
        <v>253.49412419091723</v>
      </c>
      <c r="N147" s="176">
        <v>204.75947332406514</v>
      </c>
      <c r="O147" s="99"/>
      <c r="Q147" s="104">
        <v>10</v>
      </c>
      <c r="R147" s="97" t="s">
        <v>25</v>
      </c>
      <c r="S147" s="105">
        <v>0</v>
      </c>
      <c r="T147" s="105">
        <v>0</v>
      </c>
      <c r="U147" s="105">
        <v>0</v>
      </c>
      <c r="V147" s="105">
        <v>0</v>
      </c>
      <c r="W147" s="105">
        <v>0</v>
      </c>
      <c r="X147" s="105">
        <v>0</v>
      </c>
      <c r="Y147" s="105">
        <v>0</v>
      </c>
      <c r="Z147" s="105">
        <v>0</v>
      </c>
      <c r="AA147" s="105">
        <v>0</v>
      </c>
      <c r="AB147" s="105">
        <v>0</v>
      </c>
      <c r="AC147" s="105">
        <v>0</v>
      </c>
      <c r="AD147" s="105">
        <v>0</v>
      </c>
      <c r="AE147" s="99"/>
      <c r="AG147" s="99"/>
      <c r="AH147" s="99"/>
      <c r="AI147" s="99"/>
      <c r="AJ147" s="99"/>
      <c r="AK147" s="99"/>
      <c r="AL147" s="99"/>
      <c r="AM147" s="99"/>
      <c r="AN147" s="99"/>
      <c r="AO147" s="99"/>
      <c r="AP147" s="99"/>
      <c r="AQ147" s="99"/>
      <c r="AR147" s="99"/>
      <c r="AS147" s="99"/>
      <c r="AT147" s="99"/>
      <c r="AV147" s="104"/>
      <c r="AW147" s="99"/>
      <c r="AX147" s="99"/>
      <c r="AY147" s="99"/>
      <c r="AZ147" s="99"/>
      <c r="BA147" s="99"/>
      <c r="BB147" s="99"/>
      <c r="BC147" s="99"/>
      <c r="BD147" s="99"/>
      <c r="BE147" s="99"/>
      <c r="BF147" s="99"/>
      <c r="BG147" s="99"/>
      <c r="BH147" s="99"/>
      <c r="BI147" s="99"/>
      <c r="BJ147" s="104"/>
      <c r="BK147" s="99"/>
      <c r="BL147" s="99"/>
      <c r="BM147" s="99"/>
      <c r="BN147" s="99"/>
      <c r="BO147" s="99"/>
      <c r="BP147" s="99"/>
      <c r="BQ147" s="99"/>
      <c r="BR147" s="99"/>
      <c r="BS147" s="99"/>
      <c r="BT147" s="99"/>
      <c r="BU147" s="99"/>
      <c r="BV147" s="99"/>
      <c r="BW147" s="99"/>
      <c r="BX147" s="99"/>
      <c r="BY147" s="99"/>
      <c r="BZ147" s="178">
        <v>129.34397242507146</v>
      </c>
      <c r="CA147" s="178">
        <v>157.17045250803713</v>
      </c>
      <c r="CB147" s="178">
        <v>209.81624187710113</v>
      </c>
      <c r="CC147" s="178">
        <v>225.41956790850085</v>
      </c>
      <c r="CD147" s="178">
        <v>247.18375388183702</v>
      </c>
      <c r="CE147" s="178">
        <v>363.82078071196804</v>
      </c>
      <c r="CF147" s="178">
        <v>412.12602913498398</v>
      </c>
      <c r="CG147" s="178">
        <v>245.43270802986336</v>
      </c>
      <c r="CH147" s="178">
        <v>99.077047236189358</v>
      </c>
      <c r="CI147" s="178">
        <v>39.484288757188139</v>
      </c>
      <c r="CJ147" s="178">
        <v>37.519281271413135</v>
      </c>
      <c r="CK147" s="178">
        <v>90.671372587863871</v>
      </c>
      <c r="CL147" s="104"/>
      <c r="CM147" s="99"/>
      <c r="CN147" s="60">
        <v>32.463857333445276</v>
      </c>
      <c r="CO147" s="60">
        <v>32.463857333445276</v>
      </c>
      <c r="CP147" s="60">
        <v>32.463857333445276</v>
      </c>
      <c r="CQ147" s="60">
        <v>32.463857333445276</v>
      </c>
      <c r="CR147" s="60">
        <v>32.463857333445276</v>
      </c>
      <c r="CS147" s="60">
        <v>32.463857333445276</v>
      </c>
      <c r="CT147" s="60">
        <v>32.463857333445276</v>
      </c>
      <c r="CU147" s="60">
        <v>32.463857333445276</v>
      </c>
      <c r="CV147" s="60">
        <v>32.463857333445276</v>
      </c>
      <c r="CW147" s="60">
        <v>32.463857333445276</v>
      </c>
      <c r="CX147" s="60">
        <v>32.463857333445276</v>
      </c>
      <c r="CY147" s="60">
        <v>32.463857333445276</v>
      </c>
    </row>
    <row r="148" spans="1:103" ht="12" customHeight="1" x14ac:dyDescent="0.2">
      <c r="A148" s="104">
        <v>11</v>
      </c>
      <c r="B148" s="104" t="s">
        <v>26</v>
      </c>
      <c r="C148" s="176">
        <v>18.032250845858346</v>
      </c>
      <c r="D148" s="176">
        <v>26.504547286353571</v>
      </c>
      <c r="E148" s="176">
        <v>54.90066272430991</v>
      </c>
      <c r="F148" s="176">
        <v>64.264576855644748</v>
      </c>
      <c r="G148" s="176">
        <v>77.162890730479631</v>
      </c>
      <c r="H148" s="176">
        <v>108.9324487949075</v>
      </c>
      <c r="I148" s="176">
        <v>120.89369774394639</v>
      </c>
      <c r="J148" s="176">
        <v>84.234095899193349</v>
      </c>
      <c r="K148" s="176">
        <v>44.901987885135945</v>
      </c>
      <c r="L148" s="176">
        <v>23.490770851844669</v>
      </c>
      <c r="M148" s="176">
        <v>16.145777963578077</v>
      </c>
      <c r="N148" s="176">
        <v>10.119919409788936</v>
      </c>
      <c r="O148" s="99"/>
      <c r="Q148" s="104">
        <v>11</v>
      </c>
      <c r="R148" s="97" t="s">
        <v>26</v>
      </c>
      <c r="S148" s="105">
        <v>0</v>
      </c>
      <c r="T148" s="105">
        <v>0</v>
      </c>
      <c r="U148" s="105">
        <v>0</v>
      </c>
      <c r="V148" s="105">
        <v>0</v>
      </c>
      <c r="W148" s="105">
        <v>0</v>
      </c>
      <c r="X148" s="105">
        <v>0</v>
      </c>
      <c r="Y148" s="105">
        <v>0</v>
      </c>
      <c r="Z148" s="105">
        <v>0</v>
      </c>
      <c r="AA148" s="105">
        <v>0</v>
      </c>
      <c r="AB148" s="105">
        <v>0</v>
      </c>
      <c r="AC148" s="105">
        <v>0</v>
      </c>
      <c r="AD148" s="105">
        <v>0</v>
      </c>
      <c r="AE148" s="99"/>
      <c r="AG148" s="99"/>
      <c r="AH148" s="99"/>
      <c r="AI148" s="99"/>
      <c r="AJ148" s="99"/>
      <c r="AK148" s="99"/>
      <c r="AL148" s="99"/>
      <c r="AM148" s="99"/>
      <c r="AN148" s="99"/>
      <c r="AO148" s="99"/>
      <c r="AP148" s="99"/>
      <c r="AQ148" s="99"/>
      <c r="AR148" s="99"/>
      <c r="AS148" s="99"/>
      <c r="AT148" s="99"/>
      <c r="AV148" s="104"/>
      <c r="AW148" s="99"/>
      <c r="AX148" s="99"/>
      <c r="AY148" s="99"/>
      <c r="AZ148" s="99"/>
      <c r="BA148" s="99"/>
      <c r="BB148" s="99"/>
      <c r="BC148" s="99"/>
      <c r="BD148" s="99"/>
      <c r="BE148" s="99"/>
      <c r="BF148" s="99"/>
      <c r="BG148" s="99"/>
      <c r="BH148" s="99"/>
      <c r="BI148" s="99"/>
      <c r="BJ148" s="104"/>
      <c r="BK148" s="99"/>
      <c r="BL148" s="99"/>
      <c r="BM148" s="99"/>
      <c r="BN148" s="99"/>
      <c r="BO148" s="99"/>
      <c r="BP148" s="99"/>
      <c r="BQ148" s="99"/>
      <c r="BR148" s="99"/>
      <c r="BS148" s="99"/>
      <c r="BT148" s="99"/>
      <c r="BU148" s="99"/>
      <c r="BV148" s="99"/>
      <c r="BW148" s="99"/>
      <c r="BX148" s="99"/>
      <c r="BY148" s="99"/>
      <c r="BZ148" s="178">
        <v>129.34397242507146</v>
      </c>
      <c r="CA148" s="178">
        <v>157.17045250803713</v>
      </c>
      <c r="CB148" s="178">
        <v>209.81624187710113</v>
      </c>
      <c r="CC148" s="178">
        <v>225.41956790850085</v>
      </c>
      <c r="CD148" s="178">
        <v>247.18375388183702</v>
      </c>
      <c r="CE148" s="178">
        <v>363.82078071196804</v>
      </c>
      <c r="CF148" s="178">
        <v>412.12602913498398</v>
      </c>
      <c r="CG148" s="178">
        <v>245.43270802986336</v>
      </c>
      <c r="CH148" s="178">
        <v>99.077047236189358</v>
      </c>
      <c r="CI148" s="178">
        <v>39.484288757188139</v>
      </c>
      <c r="CJ148" s="178">
        <v>37.519281271413135</v>
      </c>
      <c r="CK148" s="178">
        <v>90.671372587863871</v>
      </c>
      <c r="CL148" s="104"/>
      <c r="CM148" s="99"/>
      <c r="CN148" s="60">
        <v>0.18441386348376909</v>
      </c>
      <c r="CO148" s="60">
        <v>0.18441386348376909</v>
      </c>
      <c r="CP148" s="60">
        <v>0.18441386348376909</v>
      </c>
      <c r="CQ148" s="60">
        <v>0.18441386348376909</v>
      </c>
      <c r="CR148" s="60">
        <v>0.18441386348376909</v>
      </c>
      <c r="CS148" s="60">
        <v>0.18441386348376909</v>
      </c>
      <c r="CT148" s="60">
        <v>0.18441386348376909</v>
      </c>
      <c r="CU148" s="60">
        <v>0.18441386348376909</v>
      </c>
      <c r="CV148" s="60">
        <v>0.18441386348376909</v>
      </c>
      <c r="CW148" s="60">
        <v>0.18441386348376909</v>
      </c>
      <c r="CX148" s="60">
        <v>0.18441386348376909</v>
      </c>
      <c r="CY148" s="60">
        <v>0.18441386348376909</v>
      </c>
    </row>
    <row r="149" spans="1:103" ht="12" customHeight="1" x14ac:dyDescent="0.2">
      <c r="A149" s="104">
        <v>12</v>
      </c>
      <c r="B149" s="104" t="s">
        <v>27</v>
      </c>
      <c r="C149" s="176">
        <v>217.42233323843601</v>
      </c>
      <c r="D149" s="176">
        <v>247.70590630013177</v>
      </c>
      <c r="E149" s="176">
        <v>346.67232315874168</v>
      </c>
      <c r="F149" s="176">
        <v>412.62152173894384</v>
      </c>
      <c r="G149" s="176">
        <v>421.36765398634816</v>
      </c>
      <c r="H149" s="176">
        <v>537.28725473649865</v>
      </c>
      <c r="I149" s="176">
        <v>529.61655458506311</v>
      </c>
      <c r="J149" s="176">
        <v>392.91896202795903</v>
      </c>
      <c r="K149" s="176">
        <v>311.98046033600201</v>
      </c>
      <c r="L149" s="176">
        <v>298.81500966909931</v>
      </c>
      <c r="M149" s="176">
        <v>272.20044886349444</v>
      </c>
      <c r="N149" s="176">
        <v>216.94767024217796</v>
      </c>
      <c r="O149" s="99"/>
      <c r="Q149" s="104">
        <v>12</v>
      </c>
      <c r="R149" s="97" t="s">
        <v>27</v>
      </c>
      <c r="S149" s="105">
        <v>0</v>
      </c>
      <c r="T149" s="105">
        <v>0</v>
      </c>
      <c r="U149" s="105">
        <v>0</v>
      </c>
      <c r="V149" s="105">
        <v>0</v>
      </c>
      <c r="W149" s="105">
        <v>0</v>
      </c>
      <c r="X149" s="105">
        <v>0</v>
      </c>
      <c r="Y149" s="105">
        <v>0</v>
      </c>
      <c r="Z149" s="105">
        <v>0</v>
      </c>
      <c r="AA149" s="105">
        <v>0</v>
      </c>
      <c r="AB149" s="105">
        <v>0</v>
      </c>
      <c r="AC149" s="105">
        <v>0</v>
      </c>
      <c r="AD149" s="105">
        <v>0</v>
      </c>
      <c r="AE149" s="99"/>
      <c r="AG149" s="99"/>
      <c r="AH149" s="99"/>
      <c r="AI149" s="99"/>
      <c r="AJ149" s="99"/>
      <c r="AK149" s="99"/>
      <c r="AL149" s="99"/>
      <c r="AM149" s="99"/>
      <c r="AN149" s="99"/>
      <c r="AO149" s="99"/>
      <c r="AP149" s="99"/>
      <c r="AQ149" s="99"/>
      <c r="AR149" s="99"/>
      <c r="AS149" s="99"/>
      <c r="AT149" s="99"/>
      <c r="AV149" s="104"/>
      <c r="AW149" s="99"/>
      <c r="AX149" s="99"/>
      <c r="AY149" s="99"/>
      <c r="AZ149" s="99"/>
      <c r="BA149" s="99"/>
      <c r="BB149" s="99"/>
      <c r="BC149" s="99"/>
      <c r="BD149" s="99"/>
      <c r="BE149" s="99"/>
      <c r="BF149" s="99"/>
      <c r="BG149" s="99"/>
      <c r="BH149" s="99"/>
      <c r="BI149" s="99"/>
      <c r="BJ149" s="104"/>
      <c r="BK149" s="99"/>
      <c r="BL149" s="99"/>
      <c r="BM149" s="99"/>
      <c r="BN149" s="99"/>
      <c r="BO149" s="99"/>
      <c r="BP149" s="99"/>
      <c r="BQ149" s="99"/>
      <c r="BR149" s="99"/>
      <c r="BS149" s="99"/>
      <c r="BT149" s="99"/>
      <c r="BU149" s="99"/>
      <c r="BV149" s="99"/>
      <c r="BW149" s="99"/>
      <c r="BX149" s="99"/>
      <c r="BY149" s="99"/>
      <c r="BZ149" s="177">
        <v>177.66706138738144</v>
      </c>
      <c r="CA149" s="177">
        <v>224.55483942610192</v>
      </c>
      <c r="CB149" s="177">
        <v>277.83428101992109</v>
      </c>
      <c r="CC149" s="177">
        <v>327.52094187005127</v>
      </c>
      <c r="CD149" s="177">
        <v>284.53475055855478</v>
      </c>
      <c r="CE149" s="177">
        <v>322.14027733017923</v>
      </c>
      <c r="CF149" s="177">
        <v>309.35583085583391</v>
      </c>
      <c r="CG149" s="177">
        <v>186.37720368154694</v>
      </c>
      <c r="CH149" s="177">
        <v>106.12893899883942</v>
      </c>
      <c r="CI149" s="177">
        <v>97.777447332280033</v>
      </c>
      <c r="CJ149" s="177">
        <v>91.493560804102287</v>
      </c>
      <c r="CK149" s="177">
        <v>141.47108984485294</v>
      </c>
      <c r="CL149" s="104"/>
      <c r="CM149" s="99"/>
      <c r="CN149" s="59">
        <v>0</v>
      </c>
      <c r="CO149" s="59">
        <v>0</v>
      </c>
      <c r="CP149" s="59">
        <v>0</v>
      </c>
      <c r="CQ149" s="59">
        <v>0</v>
      </c>
      <c r="CR149" s="59">
        <v>0</v>
      </c>
      <c r="CS149" s="59">
        <v>0</v>
      </c>
      <c r="CT149" s="59">
        <v>0</v>
      </c>
      <c r="CU149" s="59">
        <v>0</v>
      </c>
      <c r="CV149" s="59">
        <v>0</v>
      </c>
      <c r="CW149" s="59">
        <v>0</v>
      </c>
      <c r="CX149" s="59">
        <v>0</v>
      </c>
      <c r="CY149" s="59">
        <v>0</v>
      </c>
    </row>
    <row r="150" spans="1:103" ht="12" customHeight="1" x14ac:dyDescent="0.2">
      <c r="A150" s="104">
        <v>13</v>
      </c>
      <c r="B150" s="104" t="s">
        <v>28</v>
      </c>
      <c r="C150" s="176">
        <v>319.72157140254905</v>
      </c>
      <c r="D150" s="176">
        <v>384.0956176195694</v>
      </c>
      <c r="E150" s="176">
        <v>574.23996266948393</v>
      </c>
      <c r="F150" s="176">
        <v>686.28615267367968</v>
      </c>
      <c r="G150" s="176">
        <v>701.49354009134959</v>
      </c>
      <c r="H150" s="176">
        <v>875.73500686962859</v>
      </c>
      <c r="I150" s="176">
        <v>814.39305016620688</v>
      </c>
      <c r="J150" s="176">
        <v>583.36986216282173</v>
      </c>
      <c r="K150" s="176">
        <v>448.58138776801741</v>
      </c>
      <c r="L150" s="176">
        <v>425.0768536412582</v>
      </c>
      <c r="M150" s="176">
        <v>374.06566370683333</v>
      </c>
      <c r="N150" s="176">
        <v>299.35198502184687</v>
      </c>
      <c r="O150" s="99"/>
      <c r="Q150" s="104">
        <v>13</v>
      </c>
      <c r="R150" s="97" t="s">
        <v>28</v>
      </c>
      <c r="S150" s="105">
        <v>0</v>
      </c>
      <c r="T150" s="105">
        <v>0</v>
      </c>
      <c r="U150" s="105">
        <v>0</v>
      </c>
      <c r="V150" s="105">
        <v>0</v>
      </c>
      <c r="W150" s="105">
        <v>0</v>
      </c>
      <c r="X150" s="105">
        <v>0</v>
      </c>
      <c r="Y150" s="105">
        <v>0</v>
      </c>
      <c r="Z150" s="105">
        <v>0</v>
      </c>
      <c r="AA150" s="105">
        <v>0</v>
      </c>
      <c r="AB150" s="105">
        <v>0</v>
      </c>
      <c r="AC150" s="105">
        <v>0</v>
      </c>
      <c r="AD150" s="105">
        <v>0</v>
      </c>
      <c r="AE150" s="99"/>
      <c r="AG150" s="99"/>
      <c r="AH150" s="99"/>
      <c r="AI150" s="99"/>
      <c r="AJ150" s="99"/>
      <c r="AK150" s="99"/>
      <c r="AL150" s="99"/>
      <c r="AM150" s="99"/>
      <c r="AN150" s="99"/>
      <c r="AO150" s="99"/>
      <c r="AP150" s="99"/>
      <c r="AQ150" s="99"/>
      <c r="AR150" s="99"/>
      <c r="AS150" s="99"/>
      <c r="AT150" s="99"/>
      <c r="AV150" s="104"/>
      <c r="AW150" s="99"/>
      <c r="AX150" s="99"/>
      <c r="AY150" s="99"/>
      <c r="AZ150" s="99"/>
      <c r="BA150" s="99"/>
      <c r="BB150" s="99"/>
      <c r="BC150" s="99"/>
      <c r="BD150" s="99"/>
      <c r="BE150" s="99"/>
      <c r="BF150" s="99"/>
      <c r="BG150" s="99"/>
      <c r="BH150" s="99"/>
      <c r="BI150" s="99"/>
      <c r="BJ150" s="104"/>
      <c r="BK150" s="99"/>
      <c r="BL150" s="99"/>
      <c r="BM150" s="99"/>
      <c r="BN150" s="99"/>
      <c r="BO150" s="99"/>
      <c r="BP150" s="99"/>
      <c r="BQ150" s="99"/>
      <c r="BR150" s="99"/>
      <c r="BS150" s="99"/>
      <c r="BT150" s="99"/>
      <c r="BU150" s="99"/>
      <c r="BV150" s="99"/>
      <c r="BW150" s="99"/>
      <c r="BX150" s="99"/>
      <c r="BY150" s="99"/>
      <c r="BZ150" s="177">
        <v>14.873059469327117</v>
      </c>
      <c r="CA150" s="177">
        <v>22.946168782003426</v>
      </c>
      <c r="CB150" s="177">
        <v>48.404137031741037</v>
      </c>
      <c r="CC150" s="177">
        <v>55.638421037827896</v>
      </c>
      <c r="CD150" s="177">
        <v>67.658005615442406</v>
      </c>
      <c r="CE150" s="177">
        <v>92.295418841619707</v>
      </c>
      <c r="CF150" s="177">
        <v>98.593329642144269</v>
      </c>
      <c r="CG150" s="177">
        <v>69.530170597748878</v>
      </c>
      <c r="CH150" s="177">
        <v>33.034045228244686</v>
      </c>
      <c r="CI150" s="177">
        <v>11.49709142269036</v>
      </c>
      <c r="CJ150" s="177">
        <v>7.0199605328356078</v>
      </c>
      <c r="CK150" s="177">
        <v>6.8220132976069792</v>
      </c>
      <c r="CL150" s="104"/>
      <c r="CM150" s="99"/>
      <c r="CN150" s="59">
        <v>0</v>
      </c>
      <c r="CO150" s="59">
        <v>0</v>
      </c>
      <c r="CP150" s="59">
        <v>0</v>
      </c>
      <c r="CQ150" s="59">
        <v>0</v>
      </c>
      <c r="CR150" s="59">
        <v>0</v>
      </c>
      <c r="CS150" s="59">
        <v>0</v>
      </c>
      <c r="CT150" s="59">
        <v>0</v>
      </c>
      <c r="CU150" s="59">
        <v>0</v>
      </c>
      <c r="CV150" s="59">
        <v>0</v>
      </c>
      <c r="CW150" s="59">
        <v>0</v>
      </c>
      <c r="CX150" s="59">
        <v>0</v>
      </c>
      <c r="CY150" s="59">
        <v>0</v>
      </c>
    </row>
    <row r="151" spans="1:103" ht="12" customHeight="1" x14ac:dyDescent="0.25">
      <c r="A151"/>
      <c r="B151"/>
      <c r="C151"/>
      <c r="D151"/>
      <c r="E151"/>
      <c r="F151"/>
      <c r="G151"/>
      <c r="H151"/>
      <c r="I151"/>
      <c r="J151"/>
      <c r="K151"/>
      <c r="L151"/>
      <c r="M151"/>
      <c r="N151"/>
      <c r="O151"/>
      <c r="P151" s="99"/>
      <c r="Q151" s="99"/>
      <c r="R151" s="99"/>
      <c r="S151" s="99"/>
      <c r="T151" s="99"/>
      <c r="U151" s="99"/>
      <c r="V151" s="99"/>
      <c r="W151" s="99"/>
      <c r="X151" s="99"/>
      <c r="Y151" s="99"/>
      <c r="Z151" s="99"/>
      <c r="AA151" s="99"/>
      <c r="AB151" s="99"/>
      <c r="AC151" s="99"/>
      <c r="AD151" s="99"/>
      <c r="AE151" s="99"/>
      <c r="AF151" s="99"/>
      <c r="AG151" s="99"/>
      <c r="AH151" s="99"/>
      <c r="AI151" s="99"/>
      <c r="AJ151" s="99"/>
      <c r="AK151" s="99"/>
      <c r="AL151" s="99"/>
      <c r="AM151" s="99"/>
      <c r="AN151" s="99"/>
      <c r="AO151" s="99"/>
      <c r="AP151" s="99"/>
      <c r="AQ151" s="99"/>
      <c r="AR151" s="99"/>
      <c r="AS151" s="99"/>
      <c r="AT151" s="99"/>
      <c r="AW151" s="99"/>
      <c r="AX151" s="99"/>
      <c r="AY151" s="99"/>
      <c r="AZ151" s="99"/>
      <c r="BA151" s="99"/>
      <c r="BB151" s="99"/>
      <c r="BC151" s="99"/>
      <c r="BD151" s="99"/>
      <c r="BE151" s="99"/>
      <c r="BF151" s="99"/>
      <c r="BG151" s="99"/>
      <c r="BH151" s="99"/>
      <c r="BI151" s="99"/>
      <c r="BK151" s="99"/>
      <c r="BL151" s="99"/>
      <c r="BM151" s="99"/>
      <c r="BN151" s="99"/>
      <c r="BO151" s="99"/>
      <c r="BP151" s="99"/>
      <c r="BQ151" s="99"/>
      <c r="BR151" s="99"/>
      <c r="BS151" s="99"/>
      <c r="BT151" s="99"/>
      <c r="BU151" s="99"/>
      <c r="BV151" s="99"/>
      <c r="BW151" s="99"/>
      <c r="BX151" s="99"/>
      <c r="BY151" s="99"/>
      <c r="BZ151" s="177">
        <v>194.38648247243074</v>
      </c>
      <c r="CA151" s="177">
        <v>249.54943875450508</v>
      </c>
      <c r="CB151" s="177">
        <v>328.78236014612349</v>
      </c>
      <c r="CC151" s="177">
        <v>386.10519589614313</v>
      </c>
      <c r="CD151" s="177">
        <v>355.15005411009656</v>
      </c>
      <c r="CE151" s="177">
        <v>417.95838044937659</v>
      </c>
      <c r="CF151" s="177">
        <v>411.30178059590673</v>
      </c>
      <c r="CG151" s="177">
        <v>258.50306886769073</v>
      </c>
      <c r="CH151" s="177">
        <v>133.64328737963606</v>
      </c>
      <c r="CI151" s="177">
        <v>96.734573822282343</v>
      </c>
      <c r="CJ151" s="177">
        <v>88.423339886810709</v>
      </c>
      <c r="CK151" s="177">
        <v>146.46151883760015</v>
      </c>
      <c r="CM151" s="99"/>
      <c r="CN151" s="59">
        <v>0</v>
      </c>
      <c r="CO151" s="59">
        <v>0</v>
      </c>
      <c r="CP151" s="59">
        <v>0</v>
      </c>
      <c r="CQ151" s="59">
        <v>0</v>
      </c>
      <c r="CR151" s="59">
        <v>0</v>
      </c>
      <c r="CS151" s="59">
        <v>0</v>
      </c>
      <c r="CT151" s="59">
        <v>0</v>
      </c>
      <c r="CU151" s="59">
        <v>0</v>
      </c>
      <c r="CV151" s="59">
        <v>0</v>
      </c>
      <c r="CW151" s="59">
        <v>0</v>
      </c>
      <c r="CX151" s="59">
        <v>0</v>
      </c>
      <c r="CY151" s="59">
        <v>0</v>
      </c>
    </row>
    <row r="152" spans="1:103" ht="12" customHeight="1" x14ac:dyDescent="0.25">
      <c r="A152"/>
      <c r="B152"/>
      <c r="C152"/>
      <c r="D152"/>
      <c r="E152"/>
      <c r="F152"/>
      <c r="G152"/>
      <c r="H152"/>
      <c r="I152"/>
      <c r="J152"/>
      <c r="K152"/>
      <c r="L152"/>
      <c r="M152"/>
      <c r="N152"/>
      <c r="O152"/>
      <c r="P152" s="99"/>
      <c r="Q152" s="99"/>
      <c r="R152" s="99"/>
      <c r="S152" s="99"/>
      <c r="T152" s="99"/>
      <c r="U152" s="99"/>
      <c r="V152" s="99"/>
      <c r="W152" s="99"/>
      <c r="X152" s="99"/>
      <c r="Y152" s="99"/>
      <c r="Z152" s="99"/>
      <c r="AA152" s="99"/>
      <c r="AB152" s="99"/>
      <c r="AC152" s="99"/>
      <c r="AD152" s="99"/>
      <c r="AE152" s="99"/>
      <c r="AF152" s="99"/>
      <c r="AG152" s="99"/>
      <c r="AH152" s="99"/>
      <c r="AI152" s="99"/>
      <c r="AJ152" s="99"/>
      <c r="AK152" s="99"/>
      <c r="AL152" s="99"/>
      <c r="AM152" s="99"/>
      <c r="AN152" s="99"/>
      <c r="AO152" s="99"/>
      <c r="AP152" s="99"/>
      <c r="AQ152" s="99"/>
      <c r="AR152" s="99"/>
      <c r="AS152" s="99"/>
      <c r="AT152" s="99"/>
      <c r="AW152" s="99"/>
      <c r="AX152" s="99"/>
      <c r="AY152" s="99"/>
      <c r="AZ152" s="99"/>
      <c r="BA152" s="99"/>
      <c r="BB152" s="99"/>
      <c r="BC152" s="99"/>
      <c r="BD152" s="99"/>
      <c r="BE152" s="99"/>
      <c r="BF152" s="99"/>
      <c r="BG152" s="99"/>
      <c r="BH152" s="99"/>
      <c r="BI152" s="99"/>
      <c r="BK152" s="99"/>
      <c r="BL152" s="99"/>
      <c r="BM152" s="99"/>
      <c r="BN152" s="99"/>
      <c r="BO152" s="99"/>
      <c r="BP152" s="99"/>
      <c r="BQ152" s="99"/>
      <c r="BR152" s="99"/>
      <c r="BS152" s="99"/>
      <c r="BT152" s="99"/>
      <c r="BU152" s="99"/>
      <c r="BV152" s="99"/>
      <c r="BW152" s="99"/>
      <c r="BX152" s="99"/>
      <c r="BY152" s="99"/>
      <c r="BZ152" s="177">
        <v>282.68051705245296</v>
      </c>
      <c r="CA152" s="177">
        <v>364.6968451490373</v>
      </c>
      <c r="CB152" s="177">
        <v>531.07017519862234</v>
      </c>
      <c r="CC152" s="177">
        <v>630.73946847479954</v>
      </c>
      <c r="CD152" s="177">
        <v>609.89248084635017</v>
      </c>
      <c r="CE152" s="177">
        <v>731.2889975436949</v>
      </c>
      <c r="CF152" s="177">
        <v>677.39517518532716</v>
      </c>
      <c r="CG152" s="177">
        <v>423.97618489529714</v>
      </c>
      <c r="CH152" s="177">
        <v>240.02791920199553</v>
      </c>
      <c r="CI152" s="177">
        <v>187.14339698655692</v>
      </c>
      <c r="CJ152" s="177">
        <v>158.44465249205206</v>
      </c>
      <c r="CK152" s="177">
        <v>209.05412596263878</v>
      </c>
      <c r="CM152" s="99"/>
      <c r="CN152" s="59">
        <v>0</v>
      </c>
      <c r="CO152" s="59">
        <v>0</v>
      </c>
      <c r="CP152" s="59">
        <v>0</v>
      </c>
      <c r="CQ152" s="59">
        <v>0</v>
      </c>
      <c r="CR152" s="59">
        <v>0</v>
      </c>
      <c r="CS152" s="59">
        <v>0</v>
      </c>
      <c r="CT152" s="59">
        <v>0</v>
      </c>
      <c r="CU152" s="59">
        <v>0</v>
      </c>
      <c r="CV152" s="59">
        <v>0</v>
      </c>
      <c r="CW152" s="59">
        <v>0</v>
      </c>
      <c r="CX152" s="59">
        <v>0</v>
      </c>
      <c r="CY152" s="59">
        <v>0</v>
      </c>
    </row>
    <row r="153" spans="1:103" ht="12" customHeight="1" x14ac:dyDescent="0.2">
      <c r="B153" s="179" t="s">
        <v>188</v>
      </c>
      <c r="C153" s="102" t="s">
        <v>1</v>
      </c>
      <c r="D153" s="102" t="s">
        <v>2</v>
      </c>
      <c r="E153" s="102" t="s">
        <v>3</v>
      </c>
      <c r="F153" s="102" t="s">
        <v>4</v>
      </c>
      <c r="G153" s="102" t="s">
        <v>5</v>
      </c>
      <c r="H153" s="102" t="s">
        <v>6</v>
      </c>
      <c r="I153" s="102" t="s">
        <v>7</v>
      </c>
      <c r="J153" s="102" t="s">
        <v>8</v>
      </c>
      <c r="K153" s="102" t="s">
        <v>9</v>
      </c>
      <c r="L153" s="102" t="s">
        <v>10</v>
      </c>
      <c r="M153" s="102" t="s">
        <v>11</v>
      </c>
      <c r="N153" s="102" t="s">
        <v>12</v>
      </c>
      <c r="O153" s="99"/>
      <c r="P153" s="99"/>
      <c r="Q153" s="99"/>
      <c r="R153" s="99"/>
      <c r="S153" s="99"/>
      <c r="T153" s="99"/>
      <c r="U153" s="99"/>
      <c r="V153" s="99"/>
      <c r="W153" s="99"/>
      <c r="X153" s="99"/>
      <c r="Y153" s="99"/>
      <c r="Z153" s="99"/>
      <c r="AA153" s="99"/>
      <c r="AB153" s="99"/>
      <c r="AC153" s="99"/>
      <c r="AD153" s="99"/>
      <c r="AE153" s="99"/>
      <c r="AF153" s="99"/>
      <c r="AG153" s="99"/>
      <c r="AH153" s="99"/>
      <c r="AI153" s="99"/>
      <c r="AJ153" s="99"/>
      <c r="AK153" s="99"/>
      <c r="AL153" s="99"/>
      <c r="AM153" s="99"/>
      <c r="AN153" s="99"/>
      <c r="AO153" s="99"/>
      <c r="AP153" s="99"/>
      <c r="AQ153" s="99"/>
      <c r="AR153" s="99"/>
      <c r="AS153" s="99"/>
      <c r="AT153" s="99"/>
      <c r="AW153" s="99"/>
      <c r="AX153" s="99"/>
      <c r="AY153" s="99"/>
      <c r="AZ153" s="99"/>
      <c r="BA153" s="99"/>
      <c r="BB153" s="99"/>
      <c r="BC153" s="99"/>
      <c r="BD153" s="99"/>
      <c r="BE153" s="99"/>
      <c r="BF153" s="99"/>
      <c r="BG153" s="99"/>
      <c r="BH153" s="99"/>
      <c r="BI153" s="99"/>
      <c r="BK153" s="99"/>
      <c r="BL153" s="99"/>
      <c r="BM153" s="99"/>
      <c r="BN153" s="99"/>
      <c r="BO153" s="99"/>
      <c r="BP153" s="99"/>
      <c r="BQ153" s="99"/>
      <c r="BR153" s="99"/>
      <c r="BS153" s="99"/>
      <c r="BT153" s="99"/>
      <c r="BU153" s="99"/>
      <c r="BV153" s="99"/>
      <c r="BW153" s="99"/>
      <c r="BX153" s="99"/>
      <c r="BY153" s="99"/>
      <c r="BZ153" s="99"/>
      <c r="CA153" s="99"/>
      <c r="CB153" s="99"/>
      <c r="CC153" s="99"/>
      <c r="CD153" s="99"/>
      <c r="CE153" s="99"/>
      <c r="CF153" s="99"/>
      <c r="CG153" s="99"/>
      <c r="CH153" s="99"/>
      <c r="CI153" s="99"/>
      <c r="CJ153" s="99"/>
      <c r="CK153" s="99"/>
      <c r="CM153" s="99"/>
      <c r="CN153" s="99"/>
      <c r="CO153" s="99"/>
      <c r="CP153" s="99"/>
      <c r="CQ153" s="99"/>
      <c r="CR153" s="99"/>
      <c r="CS153" s="99"/>
      <c r="CT153" s="99"/>
      <c r="CU153" s="99"/>
      <c r="CV153" s="99"/>
      <c r="CW153" s="99"/>
      <c r="CX153" s="99"/>
    </row>
    <row r="154" spans="1:103" ht="12" customHeight="1" x14ac:dyDescent="0.2">
      <c r="A154" s="104">
        <v>1</v>
      </c>
      <c r="B154" s="104" t="s">
        <v>21</v>
      </c>
      <c r="C154" s="124">
        <v>1.2248972958766697</v>
      </c>
      <c r="D154" s="124">
        <v>0.11424616720439514</v>
      </c>
      <c r="E154" s="124">
        <v>0</v>
      </c>
      <c r="F154" s="124">
        <v>0</v>
      </c>
      <c r="G154" s="124">
        <v>0</v>
      </c>
      <c r="H154" s="124">
        <v>1.7684378049107601E-2</v>
      </c>
      <c r="I154" s="124">
        <v>0.4171667821993249</v>
      </c>
      <c r="J154" s="124">
        <v>1.8453205488619684</v>
      </c>
      <c r="K154" s="124">
        <v>3.7815138568614279</v>
      </c>
      <c r="L154" s="124">
        <v>5.4422825496963902</v>
      </c>
      <c r="M154" s="124">
        <v>5.0207909218029352</v>
      </c>
      <c r="N154" s="124">
        <v>3.2861316488239205</v>
      </c>
      <c r="O154" s="167">
        <f>SUM(C154:N154)</f>
        <v>21.15003414937614</v>
      </c>
      <c r="P154" s="99"/>
      <c r="Q154" s="99"/>
      <c r="R154" s="99"/>
      <c r="S154" s="99"/>
      <c r="T154" s="99"/>
      <c r="U154" s="99"/>
      <c r="V154" s="99"/>
      <c r="W154" s="99"/>
      <c r="X154" s="99"/>
      <c r="Y154" s="99"/>
      <c r="Z154" s="99"/>
      <c r="AA154" s="99"/>
      <c r="AB154" s="99"/>
      <c r="AC154" s="99"/>
      <c r="AD154" s="99"/>
      <c r="AE154" s="99"/>
      <c r="AF154" s="99"/>
      <c r="AG154" s="99"/>
      <c r="AH154" s="99"/>
      <c r="AI154" s="99"/>
      <c r="AJ154" s="99"/>
      <c r="AK154" s="99"/>
      <c r="AL154" s="99"/>
      <c r="AM154" s="99"/>
      <c r="AN154" s="99"/>
      <c r="AO154" s="99"/>
      <c r="AP154" s="99"/>
      <c r="AQ154" s="99"/>
      <c r="AR154" s="99"/>
      <c r="AS154" s="99"/>
      <c r="AT154" s="99"/>
      <c r="AW154" s="99"/>
      <c r="AX154" s="99"/>
      <c r="AY154" s="99"/>
      <c r="AZ154" s="99"/>
      <c r="BA154" s="99"/>
      <c r="BB154" s="99"/>
      <c r="BC154" s="99"/>
      <c r="BD154" s="99"/>
      <c r="BE154" s="99"/>
      <c r="BF154" s="99"/>
      <c r="BG154" s="99"/>
      <c r="BH154" s="99"/>
      <c r="BI154" s="99"/>
      <c r="BK154" s="99"/>
      <c r="BL154" s="99"/>
      <c r="BM154" s="99"/>
      <c r="BN154" s="99"/>
      <c r="BO154" s="99"/>
      <c r="BP154" s="99"/>
      <c r="BQ154" s="99"/>
      <c r="BR154" s="99"/>
      <c r="BS154" s="99"/>
      <c r="BT154" s="99"/>
      <c r="BU154" s="99"/>
      <c r="BV154" s="99"/>
      <c r="BW154" s="99"/>
      <c r="BX154" s="99"/>
      <c r="BY154" s="99"/>
      <c r="BZ154" s="99"/>
      <c r="CA154" s="99"/>
      <c r="CB154" s="99"/>
      <c r="CC154" s="99"/>
      <c r="CD154" s="99"/>
      <c r="CE154" s="99"/>
      <c r="CF154" s="99"/>
      <c r="CG154" s="99"/>
      <c r="CH154" s="99"/>
      <c r="CI154" s="99"/>
      <c r="CJ154" s="99"/>
      <c r="CK154" s="99"/>
      <c r="CM154" s="99"/>
      <c r="CN154" s="99"/>
      <c r="CO154" s="99"/>
      <c r="CP154" s="99"/>
      <c r="CQ154" s="99"/>
      <c r="CR154" s="99"/>
      <c r="CS154" s="99"/>
      <c r="CT154" s="99"/>
      <c r="CU154" s="99"/>
      <c r="CV154" s="99"/>
      <c r="CW154" s="99"/>
      <c r="CX154" s="99"/>
    </row>
    <row r="155" spans="1:103" ht="12" customHeight="1" x14ac:dyDescent="0.2">
      <c r="A155" s="104">
        <v>2</v>
      </c>
      <c r="B155" s="104" t="s">
        <v>22</v>
      </c>
      <c r="C155" s="124">
        <v>0.92734128700158958</v>
      </c>
      <c r="D155" s="124">
        <v>1.0008159857453121</v>
      </c>
      <c r="E155" s="124">
        <v>1.5382217359843253</v>
      </c>
      <c r="F155" s="124">
        <v>1.8960577505636391</v>
      </c>
      <c r="G155" s="124">
        <v>2.4315800907248062</v>
      </c>
      <c r="H155" s="124">
        <v>3.3031309776230713</v>
      </c>
      <c r="I155" s="124">
        <v>3.1514841725302496</v>
      </c>
      <c r="J155" s="124">
        <v>2.2826209066734235</v>
      </c>
      <c r="K155" s="124">
        <v>1.3540003439718855</v>
      </c>
      <c r="L155" s="124">
        <v>0.75968880413383177</v>
      </c>
      <c r="M155" s="124">
        <v>0.63528385419760314</v>
      </c>
      <c r="N155" s="124">
        <v>0.66746147546734569</v>
      </c>
      <c r="O155" s="167">
        <f t="shared" ref="O155:O166" si="17">SUM(C155:N155)</f>
        <v>19.94768738461708</v>
      </c>
      <c r="P155" s="99"/>
      <c r="Q155" s="99"/>
      <c r="R155" s="99"/>
      <c r="S155" s="99"/>
      <c r="T155" s="99"/>
      <c r="U155" s="99"/>
      <c r="V155" s="99"/>
      <c r="W155" s="99"/>
      <c r="X155" s="99"/>
      <c r="Y155" s="99"/>
      <c r="Z155" s="99"/>
      <c r="AA155" s="99"/>
      <c r="AB155" s="99"/>
      <c r="AC155" s="99"/>
      <c r="AD155" s="99"/>
      <c r="AE155" s="99"/>
      <c r="AF155" s="99"/>
      <c r="AG155" s="99"/>
      <c r="AH155" s="99"/>
      <c r="AI155" s="99"/>
      <c r="AJ155" s="99"/>
      <c r="AK155" s="99"/>
      <c r="AL155" s="99"/>
      <c r="AM155" s="99"/>
      <c r="AN155" s="99"/>
      <c r="AO155" s="99"/>
      <c r="AP155" s="99"/>
      <c r="AQ155" s="99"/>
      <c r="AR155" s="99"/>
      <c r="AS155" s="99"/>
      <c r="AT155" s="99"/>
      <c r="AW155" s="99"/>
      <c r="AX155" s="99"/>
      <c r="AY155" s="99"/>
      <c r="AZ155" s="99"/>
      <c r="BA155" s="99"/>
      <c r="BB155" s="99"/>
      <c r="BC155" s="99"/>
      <c r="BD155" s="99"/>
      <c r="BE155" s="99"/>
      <c r="BF155" s="99"/>
      <c r="BG155" s="99"/>
      <c r="BH155" s="99"/>
      <c r="BI155" s="99"/>
      <c r="BK155" s="99"/>
      <c r="BL155" s="99"/>
      <c r="BM155" s="99"/>
      <c r="BN155" s="99"/>
      <c r="BO155" s="99"/>
      <c r="BP155" s="99"/>
      <c r="BQ155" s="99"/>
      <c r="BR155" s="99"/>
      <c r="BS155" s="99"/>
      <c r="BT155" s="99"/>
      <c r="BU155" s="99"/>
      <c r="BV155" s="99"/>
      <c r="BW155" s="99"/>
      <c r="BX155" s="99"/>
      <c r="BY155" s="99"/>
      <c r="BZ155" s="99"/>
      <c r="CA155" s="99"/>
      <c r="CB155" s="99"/>
      <c r="CC155" s="99"/>
      <c r="CD155" s="99"/>
      <c r="CE155" s="99"/>
      <c r="CF155" s="99"/>
      <c r="CG155" s="99"/>
      <c r="CH155" s="99"/>
      <c r="CI155" s="99"/>
      <c r="CJ155" s="99"/>
      <c r="CK155" s="99"/>
      <c r="CM155" s="99"/>
      <c r="CN155" s="99"/>
      <c r="CO155" s="99"/>
      <c r="CP155" s="99"/>
      <c r="CQ155" s="99"/>
      <c r="CR155" s="99"/>
      <c r="CS155" s="99"/>
      <c r="CT155" s="99"/>
      <c r="CU155" s="99"/>
      <c r="CV155" s="99"/>
      <c r="CW155" s="99"/>
      <c r="CX155" s="99"/>
    </row>
    <row r="156" spans="1:103" ht="12" customHeight="1" x14ac:dyDescent="0.2">
      <c r="A156" s="104">
        <v>3</v>
      </c>
      <c r="B156" s="104" t="s">
        <v>17</v>
      </c>
      <c r="C156" s="124">
        <v>0.68568589743589747</v>
      </c>
      <c r="D156" s="124">
        <v>0.21875</v>
      </c>
      <c r="E156" s="124">
        <v>0</v>
      </c>
      <c r="F156" s="124">
        <v>0</v>
      </c>
      <c r="G156" s="124">
        <v>0</v>
      </c>
      <c r="H156" s="124">
        <v>0</v>
      </c>
      <c r="I156" s="124">
        <v>0.27939999999999998</v>
      </c>
      <c r="J156" s="124">
        <v>0.6973999999999998</v>
      </c>
      <c r="K156" s="124">
        <v>1.1773282051282052</v>
      </c>
      <c r="L156" s="124">
        <v>1.6415846153846148</v>
      </c>
      <c r="M156" s="124">
        <v>1.7748871794871794</v>
      </c>
      <c r="N156" s="124">
        <v>1.192994871794872</v>
      </c>
      <c r="O156" s="167">
        <f t="shared" si="17"/>
        <v>7.6680307692307696</v>
      </c>
      <c r="P156" s="99"/>
      <c r="Q156" s="99"/>
      <c r="R156" s="99"/>
      <c r="S156" s="99"/>
      <c r="T156" s="99"/>
      <c r="U156" s="99"/>
      <c r="V156" s="99"/>
      <c r="W156" s="99"/>
      <c r="X156" s="99"/>
      <c r="Y156" s="99"/>
      <c r="Z156" s="99"/>
      <c r="AA156" s="99"/>
      <c r="AB156" s="99"/>
      <c r="AC156" s="99"/>
      <c r="AD156" s="99"/>
      <c r="AE156" s="99"/>
      <c r="AF156" s="99"/>
      <c r="AG156" s="99"/>
      <c r="AH156" s="99"/>
      <c r="AI156" s="99"/>
      <c r="AJ156" s="99"/>
      <c r="AK156" s="99"/>
      <c r="AL156" s="99"/>
      <c r="AM156" s="99"/>
      <c r="AN156" s="99"/>
      <c r="AO156" s="99"/>
      <c r="AP156" s="99"/>
      <c r="AQ156" s="99"/>
      <c r="AR156" s="99"/>
      <c r="AS156" s="99"/>
      <c r="AT156" s="99"/>
      <c r="AW156" s="99"/>
      <c r="AX156" s="99"/>
      <c r="AY156" s="99"/>
      <c r="AZ156" s="99"/>
      <c r="BA156" s="99"/>
      <c r="BB156" s="99"/>
      <c r="BC156" s="99"/>
      <c r="BD156" s="99"/>
      <c r="BE156" s="99"/>
      <c r="BF156" s="99"/>
      <c r="BG156" s="99"/>
      <c r="BH156" s="99"/>
      <c r="BI156" s="99"/>
      <c r="BK156" s="99"/>
      <c r="BL156" s="99"/>
      <c r="BM156" s="99"/>
      <c r="BN156" s="99"/>
      <c r="BO156" s="99"/>
      <c r="BP156" s="99"/>
      <c r="BQ156" s="99"/>
      <c r="BR156" s="99"/>
      <c r="BS156" s="99"/>
      <c r="BT156" s="99"/>
      <c r="BU156" s="99"/>
      <c r="BV156" s="99"/>
      <c r="BW156" s="99"/>
      <c r="BX156" s="99"/>
      <c r="BY156" s="99"/>
      <c r="BZ156" s="99"/>
      <c r="CA156" s="99"/>
      <c r="CB156" s="99"/>
      <c r="CC156" s="99"/>
      <c r="CD156" s="99"/>
      <c r="CE156" s="99"/>
      <c r="CF156" s="99"/>
      <c r="CG156" s="99"/>
      <c r="CH156" s="99"/>
      <c r="CI156" s="99"/>
      <c r="CJ156" s="99"/>
      <c r="CK156" s="99"/>
      <c r="CM156" s="99"/>
      <c r="CN156" s="99"/>
      <c r="CO156" s="99"/>
      <c r="CP156" s="99"/>
      <c r="CQ156" s="99"/>
      <c r="CR156" s="99"/>
      <c r="CS156" s="99"/>
      <c r="CT156" s="99"/>
      <c r="CU156" s="99"/>
      <c r="CV156" s="99"/>
      <c r="CW156" s="99"/>
      <c r="CX156" s="99"/>
    </row>
    <row r="157" spans="1:103" ht="12" customHeight="1" x14ac:dyDescent="0.2">
      <c r="A157" s="108">
        <v>4</v>
      </c>
      <c r="B157" s="108" t="s">
        <v>0</v>
      </c>
      <c r="C157" s="107">
        <v>1.4097694115956154</v>
      </c>
      <c r="D157" s="107">
        <v>0</v>
      </c>
      <c r="E157" s="107">
        <v>0</v>
      </c>
      <c r="F157" s="107">
        <v>0</v>
      </c>
      <c r="G157" s="107">
        <v>0</v>
      </c>
      <c r="H157" s="107">
        <v>0</v>
      </c>
      <c r="I157" s="107">
        <v>0.57988649681600535</v>
      </c>
      <c r="J157" s="107">
        <v>1.8414228559739148</v>
      </c>
      <c r="K157" s="107">
        <v>3.2008645038418329</v>
      </c>
      <c r="L157" s="107">
        <v>4.3691461437628032</v>
      </c>
      <c r="M157" s="107">
        <v>4.3055855298411778</v>
      </c>
      <c r="N157" s="107">
        <v>3.1348548371324987</v>
      </c>
      <c r="O157" s="180">
        <f t="shared" si="17"/>
        <v>18.841529778963846</v>
      </c>
      <c r="P157" s="99"/>
      <c r="Q157" s="99"/>
      <c r="R157" s="99"/>
      <c r="S157" s="99"/>
      <c r="T157" s="99"/>
      <c r="U157" s="99"/>
      <c r="V157" s="99"/>
      <c r="W157" s="99"/>
      <c r="X157" s="99"/>
      <c r="Y157" s="99"/>
      <c r="Z157" s="99"/>
      <c r="AA157" s="99"/>
      <c r="AB157" s="99"/>
      <c r="AC157" s="99"/>
      <c r="AD157" s="99"/>
      <c r="AE157" s="99"/>
      <c r="AF157" s="99"/>
      <c r="AG157" s="99"/>
      <c r="AH157" s="99"/>
      <c r="AI157" s="99"/>
      <c r="AJ157" s="99"/>
      <c r="AK157" s="99"/>
      <c r="AL157" s="99"/>
      <c r="AM157" s="99"/>
      <c r="AN157" s="99"/>
      <c r="AO157" s="99"/>
      <c r="AP157" s="99"/>
      <c r="AQ157" s="99"/>
      <c r="AR157" s="99"/>
      <c r="AS157" s="99"/>
      <c r="AT157" s="99"/>
      <c r="AW157" s="99"/>
      <c r="AX157" s="99"/>
      <c r="AY157" s="99"/>
      <c r="AZ157" s="99"/>
      <c r="BA157" s="99"/>
      <c r="BB157" s="99"/>
      <c r="BC157" s="99"/>
      <c r="BD157" s="99"/>
      <c r="BE157" s="99"/>
      <c r="BF157" s="99"/>
      <c r="BG157" s="99"/>
      <c r="BH157" s="99"/>
      <c r="BI157" s="99"/>
      <c r="BK157" s="99"/>
      <c r="BL157" s="99"/>
      <c r="BM157" s="99"/>
      <c r="BN157" s="99"/>
      <c r="BO157" s="99"/>
      <c r="BP157" s="99"/>
      <c r="BQ157" s="99"/>
      <c r="BR157" s="99"/>
      <c r="BS157" s="99"/>
      <c r="BT157" s="99"/>
      <c r="BU157" s="99"/>
      <c r="BV157" s="99"/>
      <c r="BW157" s="99"/>
      <c r="BX157" s="99"/>
      <c r="BY157" s="99"/>
      <c r="BZ157" s="99"/>
      <c r="CA157" s="99"/>
      <c r="CB157" s="99"/>
      <c r="CC157" s="99"/>
      <c r="CD157" s="99"/>
      <c r="CE157" s="99"/>
      <c r="CF157" s="99"/>
      <c r="CG157" s="99"/>
      <c r="CH157" s="99"/>
      <c r="CI157" s="99"/>
      <c r="CJ157" s="99"/>
      <c r="CK157" s="99"/>
      <c r="CM157" s="99"/>
      <c r="CN157" s="99"/>
      <c r="CO157" s="99"/>
      <c r="CP157" s="99"/>
      <c r="CQ157" s="99"/>
      <c r="CR157" s="99"/>
      <c r="CS157" s="99"/>
      <c r="CT157" s="99"/>
      <c r="CU157" s="99"/>
      <c r="CV157" s="99"/>
      <c r="CW157" s="99"/>
      <c r="CX157" s="99"/>
    </row>
    <row r="158" spans="1:103" ht="12" customHeight="1" x14ac:dyDescent="0.2">
      <c r="A158" s="108">
        <v>5</v>
      </c>
      <c r="B158" s="108" t="s">
        <v>16</v>
      </c>
      <c r="C158" s="107">
        <v>0.11010517906002197</v>
      </c>
      <c r="D158" s="107">
        <v>0</v>
      </c>
      <c r="E158" s="107">
        <v>0</v>
      </c>
      <c r="F158" s="107">
        <v>0</v>
      </c>
      <c r="G158" s="107">
        <v>0</v>
      </c>
      <c r="H158" s="107">
        <v>0</v>
      </c>
      <c r="I158" s="107">
        <v>4.8789686278901019E-2</v>
      </c>
      <c r="J158" s="107">
        <v>0.13885355451994266</v>
      </c>
      <c r="K158" s="107">
        <v>0.23600628636470028</v>
      </c>
      <c r="L158" s="107">
        <v>0.32078432667910167</v>
      </c>
      <c r="M158" s="107">
        <v>0.31812929643887045</v>
      </c>
      <c r="N158" s="107">
        <v>0.2350521385952343</v>
      </c>
      <c r="O158" s="180">
        <f t="shared" si="17"/>
        <v>1.4077204679367723</v>
      </c>
      <c r="P158" s="99"/>
      <c r="Q158" s="99"/>
      <c r="R158" s="99"/>
      <c r="S158" s="99"/>
      <c r="T158" s="99"/>
      <c r="U158" s="99"/>
      <c r="V158" s="99"/>
      <c r="W158" s="99"/>
      <c r="X158" s="99"/>
      <c r="Y158" s="99"/>
      <c r="Z158" s="99"/>
      <c r="AA158" s="99"/>
      <c r="AB158" s="99"/>
      <c r="AC158" s="99"/>
      <c r="AD158" s="99"/>
      <c r="AE158" s="99"/>
      <c r="AF158" s="99"/>
      <c r="AG158" s="99"/>
      <c r="AH158" s="99"/>
      <c r="AI158" s="99"/>
      <c r="AJ158" s="99"/>
      <c r="AK158" s="99"/>
      <c r="AL158" s="99"/>
      <c r="AM158" s="99"/>
      <c r="AN158" s="99"/>
      <c r="AO158" s="99"/>
      <c r="AP158" s="99"/>
      <c r="AQ158" s="99"/>
      <c r="AR158" s="99"/>
      <c r="AS158" s="99"/>
      <c r="AT158" s="99"/>
      <c r="AW158" s="99"/>
      <c r="AX158" s="99"/>
      <c r="AY158" s="99"/>
      <c r="AZ158" s="99"/>
      <c r="BA158" s="99"/>
      <c r="BB158" s="99"/>
      <c r="BC158" s="99"/>
      <c r="BD158" s="99"/>
      <c r="BE158" s="99"/>
      <c r="BF158" s="99"/>
      <c r="BG158" s="99"/>
      <c r="BH158" s="99"/>
      <c r="BI158" s="99"/>
      <c r="BK158" s="99"/>
      <c r="BL158" s="99"/>
      <c r="BM158" s="99"/>
      <c r="BN158" s="99"/>
      <c r="BO158" s="99"/>
      <c r="BP158" s="99"/>
      <c r="BQ158" s="99"/>
      <c r="BR158" s="99"/>
      <c r="BS158" s="99"/>
      <c r="BT158" s="99"/>
      <c r="BU158" s="99"/>
      <c r="BV158" s="99"/>
      <c r="BW158" s="99"/>
      <c r="BX158" s="99"/>
      <c r="BY158" s="99"/>
      <c r="BZ158" s="99"/>
      <c r="CA158" s="99"/>
      <c r="CB158" s="99"/>
      <c r="CC158" s="99"/>
      <c r="CD158" s="99"/>
      <c r="CE158" s="99"/>
      <c r="CF158" s="99"/>
      <c r="CG158" s="99"/>
      <c r="CH158" s="99"/>
      <c r="CI158" s="99"/>
      <c r="CJ158" s="99"/>
      <c r="CK158" s="99"/>
      <c r="CM158" s="99"/>
      <c r="CN158" s="99"/>
      <c r="CO158" s="99"/>
      <c r="CP158" s="99"/>
      <c r="CQ158" s="99"/>
      <c r="CR158" s="99"/>
      <c r="CS158" s="99"/>
      <c r="CT158" s="99"/>
      <c r="CU158" s="99"/>
      <c r="CV158" s="99"/>
      <c r="CW158" s="99"/>
      <c r="CX158" s="99"/>
    </row>
    <row r="159" spans="1:103" ht="12" customHeight="1" x14ac:dyDescent="0.2">
      <c r="A159" s="104">
        <v>6</v>
      </c>
      <c r="B159" s="104" t="s">
        <v>18</v>
      </c>
      <c r="C159" s="124">
        <v>0.37730112552699374</v>
      </c>
      <c r="D159" s="124">
        <v>0.37702857004682133</v>
      </c>
      <c r="E159" s="124">
        <v>1.3069044721432286</v>
      </c>
      <c r="F159" s="124">
        <v>1.218363268199347</v>
      </c>
      <c r="G159" s="124">
        <v>1.6181281610294507</v>
      </c>
      <c r="H159" s="124">
        <v>3.8176019061835427</v>
      </c>
      <c r="I159" s="124">
        <v>3.985532977224667</v>
      </c>
      <c r="J159" s="124">
        <v>1.6682601018029297</v>
      </c>
      <c r="K159" s="124">
        <v>0.74277930408245074</v>
      </c>
      <c r="L159" s="124">
        <v>0.565601710302162</v>
      </c>
      <c r="M159" s="124">
        <v>0.56979345318797048</v>
      </c>
      <c r="N159" s="124">
        <v>0.41587425059308641</v>
      </c>
      <c r="O159" s="167">
        <f t="shared" si="17"/>
        <v>16.66316930032265</v>
      </c>
      <c r="P159" s="99"/>
      <c r="Q159" s="99"/>
      <c r="R159" s="99"/>
      <c r="S159" s="99"/>
      <c r="T159" s="99"/>
      <c r="U159" s="99"/>
      <c r="V159" s="99"/>
      <c r="W159" s="99"/>
      <c r="X159" s="99"/>
      <c r="Y159" s="99"/>
      <c r="Z159" s="99"/>
      <c r="AA159" s="99"/>
      <c r="AB159" s="99"/>
      <c r="AC159" s="99"/>
      <c r="AD159" s="99"/>
      <c r="AE159" s="99"/>
      <c r="AF159" s="99"/>
      <c r="AG159" s="99"/>
      <c r="AH159" s="99"/>
      <c r="AI159" s="99"/>
      <c r="AJ159" s="99"/>
      <c r="AK159" s="99"/>
      <c r="AL159" s="99"/>
      <c r="AM159" s="99"/>
      <c r="AN159" s="99"/>
      <c r="AO159" s="99"/>
      <c r="AP159" s="99"/>
      <c r="AQ159" s="99"/>
      <c r="AR159" s="99"/>
      <c r="AS159" s="99"/>
      <c r="AT159" s="99"/>
      <c r="AW159" s="99"/>
      <c r="AX159" s="99"/>
      <c r="AY159" s="99"/>
      <c r="AZ159" s="99"/>
      <c r="BA159" s="99"/>
      <c r="BB159" s="99"/>
      <c r="BC159" s="99"/>
      <c r="BD159" s="99"/>
      <c r="BE159" s="99"/>
      <c r="BF159" s="99"/>
      <c r="BG159" s="99"/>
      <c r="BH159" s="99"/>
      <c r="BI159" s="99"/>
      <c r="BK159" s="99"/>
      <c r="BL159" s="99"/>
      <c r="BM159" s="99"/>
      <c r="BN159" s="99"/>
      <c r="BO159" s="99"/>
      <c r="BP159" s="99"/>
      <c r="BQ159" s="99"/>
      <c r="BR159" s="99"/>
      <c r="BS159" s="99"/>
      <c r="BT159" s="99"/>
      <c r="BU159" s="99"/>
      <c r="BV159" s="99"/>
      <c r="BW159" s="99"/>
      <c r="BX159" s="99"/>
      <c r="BY159" s="99"/>
      <c r="BZ159" s="99"/>
      <c r="CA159" s="99"/>
      <c r="CB159" s="99"/>
      <c r="CC159" s="99"/>
      <c r="CD159" s="99"/>
      <c r="CE159" s="99"/>
      <c r="CF159" s="99"/>
      <c r="CG159" s="99"/>
      <c r="CH159" s="99"/>
      <c r="CI159" s="99"/>
      <c r="CJ159" s="99"/>
      <c r="CK159" s="99"/>
      <c r="CM159" s="99"/>
      <c r="CN159" s="99"/>
      <c r="CO159" s="99"/>
      <c r="CP159" s="99"/>
      <c r="CQ159" s="99"/>
      <c r="CR159" s="99"/>
      <c r="CS159" s="99"/>
      <c r="CT159" s="99"/>
      <c r="CU159" s="99"/>
      <c r="CV159" s="99"/>
      <c r="CW159" s="99"/>
      <c r="CX159" s="99"/>
    </row>
    <row r="160" spans="1:103" ht="12" customHeight="1" x14ac:dyDescent="0.2">
      <c r="A160" s="108">
        <v>7</v>
      </c>
      <c r="B160" s="108" t="s">
        <v>19</v>
      </c>
      <c r="C160" s="107">
        <v>3.5756980536133867</v>
      </c>
      <c r="D160" s="107">
        <v>0.70603871085131753</v>
      </c>
      <c r="E160" s="107">
        <v>0</v>
      </c>
      <c r="F160" s="107">
        <v>0</v>
      </c>
      <c r="G160" s="107">
        <v>0</v>
      </c>
      <c r="H160" s="107">
        <v>0</v>
      </c>
      <c r="I160" s="107">
        <v>4.2805721764393487</v>
      </c>
      <c r="J160" s="107">
        <v>6.7754015658758204</v>
      </c>
      <c r="K160" s="107">
        <v>9.851818732220746</v>
      </c>
      <c r="L160" s="107">
        <v>13.449655872799308</v>
      </c>
      <c r="M160" s="107">
        <v>12.218187686410516</v>
      </c>
      <c r="N160" s="107">
        <v>8.1390533282569741</v>
      </c>
      <c r="O160" s="180">
        <f t="shared" si="17"/>
        <v>58.996426126467426</v>
      </c>
      <c r="P160" s="99"/>
      <c r="Q160" s="99"/>
      <c r="R160" s="99"/>
      <c r="S160" s="99"/>
      <c r="T160" s="99"/>
      <c r="U160" s="99"/>
      <c r="V160" s="99"/>
      <c r="W160" s="99"/>
      <c r="X160" s="99"/>
      <c r="Y160" s="99"/>
      <c r="Z160" s="99"/>
      <c r="AA160" s="99"/>
      <c r="AB160" s="99"/>
      <c r="AC160" s="99"/>
      <c r="AD160" s="99"/>
      <c r="AE160" s="99"/>
      <c r="AF160" s="99"/>
      <c r="AG160" s="99"/>
      <c r="AH160" s="99"/>
      <c r="AI160" s="99"/>
      <c r="AJ160" s="99"/>
      <c r="AK160" s="99"/>
      <c r="AL160" s="99"/>
      <c r="AM160" s="99"/>
      <c r="AN160" s="99"/>
      <c r="AO160" s="99"/>
      <c r="AP160" s="99"/>
      <c r="AQ160" s="99"/>
      <c r="AR160" s="99"/>
      <c r="AS160" s="99"/>
      <c r="AT160" s="99"/>
      <c r="AW160" s="99"/>
      <c r="AX160" s="99"/>
      <c r="AY160" s="99"/>
      <c r="AZ160" s="99"/>
      <c r="BA160" s="99"/>
      <c r="BB160" s="99"/>
      <c r="BC160" s="99"/>
      <c r="BD160" s="99"/>
      <c r="BE160" s="99"/>
      <c r="BF160" s="99"/>
      <c r="BG160" s="99"/>
      <c r="BH160" s="99"/>
      <c r="BI160" s="99"/>
      <c r="BK160" s="99"/>
      <c r="BL160" s="99"/>
      <c r="BM160" s="99"/>
      <c r="BN160" s="99"/>
      <c r="BO160" s="99"/>
      <c r="BP160" s="99"/>
      <c r="BQ160" s="99"/>
      <c r="BR160" s="99"/>
      <c r="BS160" s="99"/>
      <c r="BT160" s="99"/>
      <c r="BU160" s="99"/>
      <c r="BV160" s="99"/>
      <c r="BW160" s="99"/>
      <c r="CM160" s="99"/>
      <c r="CN160" s="99"/>
      <c r="CO160" s="99"/>
      <c r="CP160" s="99"/>
      <c r="CQ160" s="99"/>
      <c r="CR160" s="99"/>
      <c r="CS160" s="99"/>
      <c r="CT160" s="99"/>
      <c r="CU160" s="99"/>
      <c r="CV160" s="99"/>
      <c r="CW160" s="99"/>
      <c r="CX160" s="99"/>
    </row>
    <row r="161" spans="1:102" ht="12" customHeight="1" x14ac:dyDescent="0.2">
      <c r="A161" s="108">
        <v>8</v>
      </c>
      <c r="B161" s="108" t="s">
        <v>23</v>
      </c>
      <c r="C161" s="107">
        <v>1.0080578148567121</v>
      </c>
      <c r="D161" s="107">
        <v>6.5339127015105513E-3</v>
      </c>
      <c r="E161" s="107">
        <v>0</v>
      </c>
      <c r="F161" s="107">
        <v>0</v>
      </c>
      <c r="G161" s="107">
        <v>0</v>
      </c>
      <c r="H161" s="107">
        <v>0</v>
      </c>
      <c r="I161" s="107">
        <v>1.0058469975536839</v>
      </c>
      <c r="J161" s="107">
        <v>1.8571617955015551</v>
      </c>
      <c r="K161" s="107">
        <v>2.7886444631161007</v>
      </c>
      <c r="L161" s="107">
        <v>3.7010339516894075</v>
      </c>
      <c r="M161" s="107">
        <v>3.5175433679975052</v>
      </c>
      <c r="N161" s="107">
        <v>2.4283867909236001</v>
      </c>
      <c r="O161" s="180">
        <f t="shared" si="17"/>
        <v>16.313209094340074</v>
      </c>
      <c r="P161" s="99"/>
      <c r="Q161" s="99"/>
      <c r="R161" s="99"/>
      <c r="S161" s="99"/>
      <c r="T161" s="99"/>
      <c r="U161" s="99"/>
      <c r="V161" s="99"/>
      <c r="W161" s="99"/>
      <c r="X161" s="99"/>
      <c r="Y161" s="99"/>
      <c r="Z161" s="99"/>
      <c r="AA161" s="99"/>
      <c r="AB161" s="99"/>
      <c r="AC161" s="99"/>
      <c r="AD161" s="99"/>
      <c r="AE161" s="99"/>
      <c r="AF161" s="99"/>
      <c r="AG161" s="99"/>
      <c r="AH161" s="99"/>
      <c r="AI161" s="99"/>
      <c r="AJ161" s="99"/>
      <c r="AK161" s="99"/>
      <c r="AL161" s="99"/>
      <c r="AM161" s="99"/>
      <c r="AN161" s="99"/>
      <c r="AO161" s="99"/>
      <c r="AP161" s="99"/>
      <c r="AQ161" s="99"/>
      <c r="AR161" s="99"/>
      <c r="AS161" s="99"/>
      <c r="AT161" s="99"/>
      <c r="AW161" s="99"/>
      <c r="AX161" s="99"/>
      <c r="AY161" s="99"/>
      <c r="AZ161" s="99"/>
      <c r="BA161" s="99"/>
      <c r="BB161" s="99"/>
      <c r="BC161" s="99"/>
      <c r="BD161" s="99"/>
      <c r="BE161" s="99"/>
      <c r="BF161" s="99"/>
      <c r="BG161" s="99"/>
      <c r="BH161" s="99"/>
      <c r="BI161" s="99"/>
      <c r="BK161" s="99"/>
      <c r="BL161" s="99"/>
      <c r="BM161" s="99"/>
      <c r="BN161" s="99"/>
      <c r="BO161" s="99"/>
      <c r="BP161" s="99"/>
      <c r="BQ161" s="99"/>
      <c r="BR161" s="99"/>
      <c r="BS161" s="99"/>
      <c r="BT161" s="99"/>
      <c r="BU161" s="99"/>
      <c r="BV161" s="99"/>
      <c r="BW161" s="99"/>
      <c r="CM161" s="99"/>
      <c r="CN161" s="99"/>
      <c r="CO161" s="99"/>
      <c r="CP161" s="99"/>
      <c r="CQ161" s="99"/>
      <c r="CR161" s="99"/>
      <c r="CS161" s="99"/>
      <c r="CT161" s="99"/>
      <c r="CU161" s="99"/>
      <c r="CV161" s="99"/>
      <c r="CW161" s="99"/>
      <c r="CX161" s="99"/>
    </row>
    <row r="162" spans="1:102" ht="12" customHeight="1" x14ac:dyDescent="0.2">
      <c r="A162" s="108">
        <v>9</v>
      </c>
      <c r="B162" s="108" t="s">
        <v>24</v>
      </c>
      <c r="C162" s="107">
        <v>0.17308441559183135</v>
      </c>
      <c r="D162" s="107">
        <v>4.09622863275865E-2</v>
      </c>
      <c r="E162" s="107">
        <v>0</v>
      </c>
      <c r="F162" s="107">
        <v>0</v>
      </c>
      <c r="G162" s="107">
        <v>0</v>
      </c>
      <c r="H162" s="107">
        <v>0</v>
      </c>
      <c r="I162" s="107">
        <v>0.17602790833333343</v>
      </c>
      <c r="J162" s="107">
        <v>0.38357957000000026</v>
      </c>
      <c r="K162" s="107">
        <v>0.58772699850917709</v>
      </c>
      <c r="L162" s="107">
        <v>0.74618093058747736</v>
      </c>
      <c r="M162" s="107">
        <v>0.68716881069991387</v>
      </c>
      <c r="N162" s="107">
        <v>0.45381153204118124</v>
      </c>
      <c r="O162" s="180">
        <f t="shared" si="17"/>
        <v>3.2485424520905011</v>
      </c>
      <c r="P162" s="99"/>
      <c r="Q162" s="99"/>
      <c r="R162" s="99"/>
      <c r="S162" s="99"/>
      <c r="T162" s="99"/>
      <c r="U162" s="99"/>
      <c r="V162" s="99"/>
      <c r="W162" s="99"/>
      <c r="X162" s="99"/>
      <c r="Y162" s="99"/>
      <c r="Z162" s="99"/>
      <c r="AA162" s="99"/>
      <c r="AB162" s="99"/>
      <c r="AC162" s="99"/>
      <c r="AD162" s="99"/>
      <c r="AE162" s="99"/>
      <c r="AF162" s="99"/>
      <c r="AG162" s="99"/>
      <c r="AH162" s="99"/>
      <c r="AI162" s="99"/>
      <c r="AJ162" s="99"/>
      <c r="AK162" s="99"/>
      <c r="AL162" s="99"/>
      <c r="AM162" s="99"/>
      <c r="AN162" s="99"/>
      <c r="AO162" s="99"/>
      <c r="AP162" s="99"/>
      <c r="AQ162" s="99"/>
      <c r="AR162" s="99"/>
      <c r="AS162" s="99"/>
      <c r="AT162" s="99"/>
      <c r="AW162" s="99"/>
      <c r="AX162" s="99"/>
      <c r="AY162" s="99"/>
      <c r="AZ162" s="99"/>
      <c r="BA162" s="99"/>
      <c r="BB162" s="99"/>
      <c r="BC162" s="99"/>
      <c r="BD162" s="99"/>
      <c r="BE162" s="99"/>
      <c r="BF162" s="99"/>
      <c r="BG162" s="99"/>
      <c r="BH162" s="99"/>
      <c r="BI162" s="99"/>
      <c r="BK162" s="99"/>
      <c r="BL162" s="99"/>
      <c r="BM162" s="99"/>
      <c r="BN162" s="99"/>
      <c r="BO162" s="99"/>
      <c r="BP162" s="99"/>
      <c r="BQ162" s="99"/>
      <c r="BR162" s="99"/>
      <c r="BS162" s="99"/>
      <c r="BT162" s="99"/>
      <c r="BU162" s="99"/>
      <c r="BV162" s="99"/>
      <c r="BW162" s="99"/>
      <c r="CM162" s="99"/>
      <c r="CN162" s="99"/>
      <c r="CO162" s="99"/>
      <c r="CP162" s="99"/>
      <c r="CQ162" s="99"/>
      <c r="CR162" s="99"/>
      <c r="CS162" s="99"/>
      <c r="CT162" s="99"/>
      <c r="CU162" s="99"/>
      <c r="CV162" s="99"/>
      <c r="CW162" s="99"/>
      <c r="CX162" s="99"/>
    </row>
    <row r="163" spans="1:102" ht="12" customHeight="1" x14ac:dyDescent="0.2">
      <c r="A163" s="104">
        <v>10</v>
      </c>
      <c r="B163" s="104" t="s">
        <v>25</v>
      </c>
      <c r="C163" s="124">
        <v>0.22129883561991889</v>
      </c>
      <c r="D163" s="124">
        <v>6.7999232094175188E-2</v>
      </c>
      <c r="E163" s="124">
        <v>0.13480147104663204</v>
      </c>
      <c r="F163" s="124">
        <v>0.22701640038027032</v>
      </c>
      <c r="G163" s="124">
        <v>0.30749288505673117</v>
      </c>
      <c r="H163" s="124">
        <v>0.49004528138096382</v>
      </c>
      <c r="I163" s="124">
        <v>0.46278926001770493</v>
      </c>
      <c r="J163" s="124">
        <v>0.50533071193833146</v>
      </c>
      <c r="K163" s="124">
        <v>0.53314320594528541</v>
      </c>
      <c r="L163" s="124">
        <v>0.57188553420039534</v>
      </c>
      <c r="M163" s="124">
        <v>0.51160507912466302</v>
      </c>
      <c r="N163" s="124">
        <v>0.35022085131916714</v>
      </c>
      <c r="O163" s="167">
        <f t="shared" si="17"/>
        <v>4.3836287481242397</v>
      </c>
      <c r="P163" s="99"/>
      <c r="Q163" s="99"/>
      <c r="R163" s="99"/>
      <c r="S163" s="99"/>
      <c r="T163" s="99"/>
      <c r="U163" s="99"/>
      <c r="V163" s="99"/>
      <c r="W163" s="99"/>
      <c r="X163" s="99"/>
      <c r="Y163" s="99"/>
      <c r="Z163" s="99"/>
      <c r="AA163" s="99"/>
      <c r="AB163" s="99"/>
      <c r="AC163" s="99"/>
      <c r="AD163" s="99"/>
      <c r="AE163" s="99"/>
      <c r="AF163" s="99"/>
      <c r="AG163" s="99"/>
      <c r="AH163" s="99"/>
      <c r="AI163" s="99"/>
      <c r="AJ163" s="99"/>
      <c r="AK163" s="99"/>
      <c r="AL163" s="99"/>
      <c r="AM163" s="99"/>
      <c r="AN163" s="99"/>
      <c r="AO163" s="99"/>
      <c r="AP163" s="99"/>
      <c r="AQ163" s="99"/>
      <c r="AR163" s="99"/>
      <c r="AS163" s="99"/>
      <c r="AT163" s="99"/>
      <c r="AW163" s="99"/>
      <c r="AX163" s="99"/>
      <c r="AY163" s="99"/>
      <c r="AZ163" s="99"/>
      <c r="BA163" s="99"/>
      <c r="BB163" s="99"/>
      <c r="BC163" s="99"/>
      <c r="BD163" s="99"/>
      <c r="BE163" s="99"/>
      <c r="BF163" s="99"/>
      <c r="BG163" s="99"/>
      <c r="BH163" s="99"/>
      <c r="BI163" s="99"/>
      <c r="BK163" s="99"/>
      <c r="BL163" s="99"/>
      <c r="BM163" s="99"/>
      <c r="BN163" s="99"/>
      <c r="BO163" s="99"/>
      <c r="BP163" s="99"/>
      <c r="BQ163" s="99"/>
      <c r="BR163" s="99"/>
      <c r="BS163" s="99"/>
      <c r="BT163" s="99"/>
      <c r="BU163" s="99"/>
      <c r="BV163" s="99"/>
      <c r="BW163" s="99"/>
      <c r="CM163" s="99"/>
      <c r="CN163" s="99"/>
      <c r="CO163" s="99"/>
      <c r="CP163" s="99"/>
      <c r="CQ163" s="99"/>
      <c r="CR163" s="99"/>
      <c r="CS163" s="99"/>
      <c r="CT163" s="99"/>
      <c r="CU163" s="99"/>
      <c r="CV163" s="99"/>
      <c r="CW163" s="99"/>
      <c r="CX163" s="99"/>
    </row>
    <row r="164" spans="1:102" ht="12" customHeight="1" x14ac:dyDescent="0.2">
      <c r="A164" s="104">
        <v>11</v>
      </c>
      <c r="B164" s="104" t="s">
        <v>26</v>
      </c>
      <c r="C164" s="124">
        <v>9.0388145715247017E-2</v>
      </c>
      <c r="D164" s="124">
        <v>0.13393244182319403</v>
      </c>
      <c r="E164" s="124">
        <v>0.25335065061657658</v>
      </c>
      <c r="F164" s="124">
        <v>0.28705222481261905</v>
      </c>
      <c r="G164" s="124">
        <v>0.30632670412502128</v>
      </c>
      <c r="H164" s="124">
        <v>0.43882553555090048</v>
      </c>
      <c r="I164" s="124">
        <v>0.51995590566416339</v>
      </c>
      <c r="J164" s="124">
        <v>0.36494296804077409</v>
      </c>
      <c r="K164" s="124">
        <v>0.18865472611630893</v>
      </c>
      <c r="L164" s="124">
        <v>8.29442582006613E-2</v>
      </c>
      <c r="M164" s="124">
        <v>5.69320902618453E-2</v>
      </c>
      <c r="N164" s="124">
        <v>4.9067860434890691E-2</v>
      </c>
      <c r="O164" s="167">
        <f t="shared" si="17"/>
        <v>2.7723735113622023</v>
      </c>
      <c r="P164" s="99"/>
      <c r="Q164" s="99"/>
      <c r="R164" s="99"/>
      <c r="S164" s="99"/>
      <c r="T164" s="99"/>
      <c r="U164" s="99"/>
      <c r="V164" s="99"/>
      <c r="W164" s="99"/>
      <c r="X164" s="99"/>
      <c r="Y164" s="99"/>
      <c r="Z164" s="99"/>
      <c r="AA164" s="99"/>
      <c r="AB164" s="99"/>
      <c r="AC164" s="99"/>
      <c r="AD164" s="99"/>
      <c r="AE164" s="99"/>
      <c r="AF164" s="99"/>
      <c r="AG164" s="99"/>
      <c r="AH164" s="99"/>
      <c r="AI164" s="99"/>
      <c r="AJ164" s="99"/>
      <c r="AK164" s="99"/>
      <c r="AL164" s="99"/>
      <c r="AM164" s="99"/>
      <c r="AN164" s="99"/>
      <c r="AO164" s="99"/>
      <c r="AP164" s="99"/>
      <c r="AQ164" s="99"/>
      <c r="AR164" s="99"/>
      <c r="AS164" s="99"/>
      <c r="AT164" s="99"/>
      <c r="AW164" s="99"/>
      <c r="AX164" s="99"/>
      <c r="AY164" s="99"/>
      <c r="AZ164" s="99"/>
      <c r="BA164" s="99"/>
      <c r="BB164" s="99"/>
      <c r="BC164" s="99"/>
      <c r="BD164" s="99"/>
      <c r="BE164" s="99"/>
      <c r="BF164" s="99"/>
      <c r="BG164" s="99"/>
      <c r="BH164" s="99"/>
      <c r="BI164" s="99"/>
      <c r="BK164" s="99"/>
      <c r="BL164" s="99"/>
      <c r="BM164" s="99"/>
      <c r="BN164" s="99"/>
      <c r="BO164" s="99"/>
      <c r="BP164" s="99"/>
      <c r="BQ164" s="99"/>
      <c r="BR164" s="99"/>
      <c r="BS164" s="99"/>
      <c r="BT164" s="99"/>
      <c r="BU164" s="99"/>
      <c r="BV164" s="99"/>
      <c r="BW164" s="99"/>
      <c r="CM164" s="99"/>
      <c r="CN164" s="99"/>
      <c r="CO164" s="99"/>
      <c r="CP164" s="99"/>
      <c r="CQ164" s="99"/>
      <c r="CR164" s="99"/>
      <c r="CS164" s="99"/>
      <c r="CT164" s="99"/>
      <c r="CU164" s="99"/>
      <c r="CV164" s="99"/>
      <c r="CW164" s="99"/>
      <c r="CX164" s="99"/>
    </row>
    <row r="165" spans="1:102" ht="12" customHeight="1" x14ac:dyDescent="0.2">
      <c r="A165" s="104">
        <v>12</v>
      </c>
      <c r="B165" s="104" t="s">
        <v>27</v>
      </c>
      <c r="C165" s="124"/>
      <c r="D165" s="124"/>
      <c r="E165" s="124"/>
      <c r="F165" s="124"/>
      <c r="G165" s="124"/>
      <c r="H165" s="124"/>
      <c r="I165" s="124"/>
      <c r="J165" s="124"/>
      <c r="K165" s="124"/>
      <c r="L165" s="124"/>
      <c r="M165" s="124"/>
      <c r="N165" s="124"/>
      <c r="O165" s="167">
        <f t="shared" si="17"/>
        <v>0</v>
      </c>
      <c r="P165" s="99"/>
      <c r="Q165" s="99"/>
      <c r="R165" s="99"/>
      <c r="S165" s="99"/>
      <c r="T165" s="99"/>
      <c r="U165" s="99"/>
      <c r="V165" s="99"/>
      <c r="W165" s="99"/>
      <c r="X165" s="99"/>
      <c r="Y165" s="99"/>
      <c r="Z165" s="99"/>
      <c r="AA165" s="99"/>
      <c r="AB165" s="99"/>
      <c r="AC165" s="99"/>
      <c r="AD165" s="99"/>
      <c r="AE165" s="99"/>
      <c r="AF165" s="99"/>
      <c r="AG165" s="99"/>
      <c r="AH165" s="99"/>
      <c r="AI165" s="99"/>
      <c r="AJ165" s="99"/>
      <c r="AK165" s="99"/>
      <c r="AL165" s="99"/>
      <c r="AM165" s="99"/>
      <c r="AN165" s="99"/>
      <c r="AO165" s="99"/>
      <c r="AP165" s="99"/>
      <c r="AQ165" s="99"/>
      <c r="AR165" s="99"/>
      <c r="AS165" s="99"/>
      <c r="AT165" s="99"/>
      <c r="AW165" s="99"/>
      <c r="AX165" s="99"/>
      <c r="AY165" s="99"/>
      <c r="AZ165" s="99"/>
      <c r="BA165" s="99"/>
      <c r="BB165" s="99"/>
      <c r="BC165" s="99"/>
      <c r="BD165" s="99"/>
      <c r="BE165" s="99"/>
      <c r="BF165" s="99"/>
      <c r="BG165" s="99"/>
      <c r="BH165" s="99"/>
      <c r="BI165" s="99"/>
      <c r="BK165" s="99"/>
      <c r="BL165" s="99"/>
      <c r="BM165" s="99"/>
      <c r="BN165" s="99"/>
      <c r="BO165" s="99"/>
      <c r="BP165" s="99"/>
      <c r="BQ165" s="99"/>
      <c r="BR165" s="99"/>
      <c r="BS165" s="99"/>
      <c r="BT165" s="99"/>
      <c r="BU165" s="99"/>
      <c r="BV165" s="99"/>
      <c r="BW165" s="99"/>
      <c r="CM165" s="99"/>
      <c r="CN165" s="99"/>
      <c r="CO165" s="99"/>
      <c r="CP165" s="99"/>
      <c r="CQ165" s="99"/>
      <c r="CR165" s="99"/>
      <c r="CS165" s="99"/>
      <c r="CT165" s="99"/>
      <c r="CU165" s="99"/>
      <c r="CV165" s="99"/>
      <c r="CW165" s="99"/>
      <c r="CX165" s="99"/>
    </row>
    <row r="166" spans="1:102" ht="12" customHeight="1" x14ac:dyDescent="0.2">
      <c r="A166" s="104">
        <v>13</v>
      </c>
      <c r="B166" s="104" t="s">
        <v>28</v>
      </c>
      <c r="C166" s="124">
        <v>5.52111823666599E-3</v>
      </c>
      <c r="D166" s="124">
        <v>6.9726079734883E-3</v>
      </c>
      <c r="E166" s="124">
        <v>1.1917834512517335E-2</v>
      </c>
      <c r="F166" s="124">
        <v>1.8438972260173287E-2</v>
      </c>
      <c r="G166" s="124">
        <v>2.5788300100321494E-2</v>
      </c>
      <c r="H166" s="124">
        <v>4.1943734969133756E-2</v>
      </c>
      <c r="I166" s="124">
        <v>4.2218187315199968E-2</v>
      </c>
      <c r="J166" s="124">
        <v>3.4343572691372594E-2</v>
      </c>
      <c r="K166" s="124">
        <v>0.14845117173104128</v>
      </c>
      <c r="L166" s="124">
        <v>0.33807726542958816</v>
      </c>
      <c r="M166" s="124">
        <v>0.28140784353067588</v>
      </c>
      <c r="N166" s="124">
        <v>0.15044251793501423</v>
      </c>
      <c r="O166" s="167">
        <f t="shared" si="17"/>
        <v>1.1055231266851921</v>
      </c>
      <c r="P166" s="99"/>
      <c r="Q166" s="99"/>
      <c r="R166" s="99"/>
      <c r="S166" s="99"/>
      <c r="T166" s="99"/>
      <c r="U166" s="99"/>
      <c r="V166" s="99"/>
      <c r="W166" s="99"/>
      <c r="X166" s="99"/>
      <c r="Y166" s="99"/>
      <c r="Z166" s="99"/>
      <c r="AA166" s="99"/>
      <c r="AB166" s="99"/>
      <c r="AC166" s="99"/>
      <c r="AD166" s="99"/>
      <c r="AE166" s="99"/>
      <c r="AF166" s="99"/>
      <c r="AG166" s="99"/>
      <c r="AH166" s="99"/>
      <c r="AI166" s="99"/>
      <c r="AJ166" s="99"/>
      <c r="AK166" s="99"/>
      <c r="AL166" s="99"/>
      <c r="AM166" s="99"/>
      <c r="AN166" s="99"/>
      <c r="AO166" s="99"/>
      <c r="AP166" s="99"/>
      <c r="AQ166" s="99"/>
      <c r="AR166" s="99"/>
      <c r="AS166" s="99"/>
      <c r="AT166" s="99"/>
      <c r="AV166" s="99"/>
      <c r="AW166" s="99"/>
      <c r="AX166" s="99"/>
      <c r="AY166" s="99"/>
      <c r="AZ166" s="99"/>
      <c r="BA166" s="99"/>
      <c r="BB166" s="99"/>
      <c r="BC166" s="99"/>
      <c r="BD166" s="99"/>
      <c r="BE166" s="99"/>
      <c r="BF166" s="99"/>
      <c r="BG166" s="99"/>
      <c r="BH166" s="99"/>
      <c r="BI166" s="99"/>
      <c r="BJ166" s="99"/>
      <c r="BK166" s="99"/>
      <c r="BL166" s="99"/>
      <c r="BM166" s="99"/>
      <c r="BN166" s="99"/>
      <c r="BO166" s="99"/>
      <c r="BP166" s="99"/>
      <c r="BQ166" s="99"/>
      <c r="BR166" s="99"/>
      <c r="BS166" s="99"/>
      <c r="BT166" s="99"/>
      <c r="BU166" s="99"/>
      <c r="BV166" s="99"/>
      <c r="BW166" s="99"/>
      <c r="CL166" s="99"/>
      <c r="CM166" s="99"/>
      <c r="CN166" s="99"/>
      <c r="CO166" s="99"/>
      <c r="CP166" s="99"/>
      <c r="CQ166" s="99"/>
      <c r="CR166" s="99"/>
      <c r="CS166" s="99"/>
      <c r="CT166" s="99"/>
      <c r="CU166" s="99"/>
      <c r="CV166" s="99"/>
      <c r="CW166" s="99"/>
      <c r="CX166" s="99"/>
    </row>
    <row r="167" spans="1:102" ht="12" customHeight="1" x14ac:dyDescent="0.2">
      <c r="A167" s="99"/>
      <c r="B167" s="99"/>
      <c r="C167" s="99"/>
      <c r="D167" s="99"/>
      <c r="E167" s="99"/>
      <c r="F167" s="99"/>
      <c r="G167" s="99"/>
      <c r="H167" s="99"/>
      <c r="I167" s="99"/>
      <c r="J167" s="99"/>
      <c r="K167" s="99"/>
      <c r="L167" s="99"/>
      <c r="M167" s="99"/>
      <c r="N167" s="99"/>
      <c r="O167" s="99"/>
      <c r="P167" s="99"/>
      <c r="Q167" s="99"/>
      <c r="R167" s="99"/>
      <c r="S167" s="99"/>
      <c r="T167" s="99"/>
      <c r="U167" s="99"/>
      <c r="V167" s="99"/>
      <c r="W167" s="99"/>
      <c r="X167" s="99"/>
      <c r="Y167" s="99"/>
      <c r="Z167" s="99"/>
      <c r="AA167" s="99"/>
      <c r="AB167" s="99"/>
      <c r="AC167" s="99"/>
      <c r="AD167" s="99"/>
      <c r="AE167" s="99"/>
      <c r="AF167" s="99"/>
      <c r="AG167" s="99"/>
      <c r="AH167" s="99"/>
      <c r="AI167" s="99"/>
      <c r="AJ167" s="99"/>
      <c r="AK167" s="99"/>
      <c r="AL167" s="99"/>
      <c r="AM167" s="99"/>
      <c r="AN167" s="99"/>
      <c r="AO167" s="99"/>
      <c r="AP167" s="99"/>
      <c r="AQ167" s="99"/>
      <c r="AR167" s="99"/>
      <c r="AS167" s="99"/>
      <c r="AT167" s="99"/>
      <c r="AV167" s="99"/>
      <c r="AW167" s="99"/>
      <c r="AX167" s="99"/>
      <c r="AY167" s="99"/>
      <c r="AZ167" s="99"/>
      <c r="BA167" s="99"/>
      <c r="BB167" s="99"/>
      <c r="BC167" s="99"/>
      <c r="BD167" s="99"/>
      <c r="BE167" s="99"/>
      <c r="BF167" s="99"/>
      <c r="BG167" s="99"/>
      <c r="BH167" s="99"/>
      <c r="BI167" s="99"/>
      <c r="BJ167" s="99"/>
      <c r="BK167" s="99"/>
      <c r="BL167" s="99"/>
      <c r="BM167" s="99"/>
      <c r="BN167" s="99"/>
      <c r="BO167" s="99"/>
      <c r="BP167" s="99"/>
      <c r="BQ167" s="99"/>
      <c r="BR167" s="99"/>
      <c r="BS167" s="99"/>
      <c r="BT167" s="99"/>
      <c r="BU167" s="99"/>
      <c r="BV167" s="99"/>
      <c r="BW167" s="99"/>
      <c r="CL167" s="99"/>
      <c r="CM167" s="99"/>
      <c r="CN167" s="99"/>
      <c r="CO167" s="99"/>
      <c r="CP167" s="99"/>
      <c r="CQ167" s="99"/>
      <c r="CR167" s="99"/>
      <c r="CS167" s="99"/>
      <c r="CT167" s="99"/>
      <c r="CU167" s="99"/>
      <c r="CV167" s="99"/>
      <c r="CW167" s="99"/>
      <c r="CX167" s="99"/>
    </row>
    <row r="168" spans="1:102" ht="12" customHeight="1" x14ac:dyDescent="0.2">
      <c r="B168" s="181" t="s">
        <v>189</v>
      </c>
      <c r="C168" s="102" t="s">
        <v>1</v>
      </c>
      <c r="D168" s="102" t="s">
        <v>2</v>
      </c>
      <c r="E168" s="102" t="s">
        <v>3</v>
      </c>
      <c r="F168" s="102" t="s">
        <v>4</v>
      </c>
      <c r="G168" s="102" t="s">
        <v>5</v>
      </c>
      <c r="H168" s="102" t="s">
        <v>6</v>
      </c>
      <c r="I168" s="102" t="s">
        <v>7</v>
      </c>
      <c r="J168" s="102" t="s">
        <v>8</v>
      </c>
      <c r="K168" s="102" t="s">
        <v>9</v>
      </c>
      <c r="L168" s="102" t="s">
        <v>10</v>
      </c>
      <c r="M168" s="102" t="s">
        <v>11</v>
      </c>
      <c r="N168" s="102" t="s">
        <v>12</v>
      </c>
      <c r="O168" s="99" t="s">
        <v>13</v>
      </c>
      <c r="P168" s="99"/>
      <c r="Q168" s="99"/>
      <c r="R168" s="99"/>
      <c r="S168" s="99"/>
      <c r="T168" s="99"/>
      <c r="U168" s="99"/>
      <c r="V168" s="99"/>
      <c r="W168" s="99"/>
      <c r="X168" s="99"/>
      <c r="Y168" s="99"/>
      <c r="Z168" s="99"/>
      <c r="AA168" s="99"/>
      <c r="AB168" s="99"/>
      <c r="AC168" s="99"/>
      <c r="AD168" s="99"/>
      <c r="AE168" s="99"/>
      <c r="AF168" s="99"/>
      <c r="AG168" s="99"/>
      <c r="AH168" s="99"/>
      <c r="AI168" s="99"/>
      <c r="AJ168" s="99"/>
      <c r="AK168" s="99"/>
      <c r="AL168" s="99"/>
      <c r="AM168" s="99"/>
      <c r="AN168" s="99"/>
      <c r="AO168" s="99"/>
      <c r="AP168" s="99"/>
      <c r="AQ168" s="99"/>
      <c r="AR168" s="99"/>
      <c r="AS168" s="99"/>
      <c r="AT168" s="99"/>
      <c r="AV168" s="99"/>
      <c r="AW168" s="99"/>
      <c r="AX168" s="99"/>
      <c r="AY168" s="99"/>
      <c r="AZ168" s="99"/>
      <c r="BA168" s="99"/>
      <c r="BB168" s="99"/>
      <c r="BC168" s="99"/>
      <c r="BD168" s="99"/>
      <c r="BE168" s="99"/>
      <c r="BF168" s="99"/>
      <c r="BG168" s="99"/>
      <c r="BH168" s="99"/>
      <c r="BI168" s="99"/>
      <c r="BJ168" s="99"/>
      <c r="BK168" s="99"/>
      <c r="BL168" s="99"/>
      <c r="BM168" s="99"/>
      <c r="BN168" s="99"/>
      <c r="BO168" s="99"/>
      <c r="BP168" s="99"/>
      <c r="BQ168" s="99"/>
      <c r="BR168" s="99"/>
      <c r="BS168" s="99"/>
      <c r="BT168" s="99"/>
      <c r="BU168" s="99"/>
      <c r="BV168" s="99"/>
      <c r="BW168" s="99"/>
      <c r="CL168" s="99"/>
      <c r="CM168" s="99"/>
      <c r="CN168" s="99"/>
      <c r="CO168" s="99"/>
      <c r="CP168" s="99"/>
      <c r="CQ168" s="99"/>
      <c r="CR168" s="99"/>
      <c r="CS168" s="99"/>
      <c r="CT168" s="99"/>
      <c r="CU168" s="99"/>
      <c r="CV168" s="99"/>
      <c r="CW168" s="99"/>
      <c r="CX168" s="99"/>
    </row>
    <row r="169" spans="1:102" ht="12" customHeight="1" x14ac:dyDescent="0.2">
      <c r="A169" s="104">
        <v>1</v>
      </c>
      <c r="B169" s="104" t="s">
        <v>21</v>
      </c>
      <c r="C169" s="182">
        <v>3.4934797344831905</v>
      </c>
      <c r="D169" s="182">
        <v>8.7099319893820137E-2</v>
      </c>
      <c r="E169" s="182">
        <v>0</v>
      </c>
      <c r="F169" s="182">
        <v>0</v>
      </c>
      <c r="G169" s="182">
        <v>0</v>
      </c>
      <c r="H169" s="182">
        <v>0</v>
      </c>
      <c r="I169" s="182">
        <v>0.02</v>
      </c>
      <c r="J169" s="182">
        <v>27.021665611928874</v>
      </c>
      <c r="K169" s="182">
        <v>58.699978815278136</v>
      </c>
      <c r="L169" s="182">
        <v>63.52519731947698</v>
      </c>
      <c r="M169" s="182">
        <v>52.447163291246824</v>
      </c>
      <c r="N169" s="182">
        <v>19.30891900338495</v>
      </c>
      <c r="O169" s="183">
        <f>SUM(C169:N169)</f>
        <v>224.60350309569276</v>
      </c>
      <c r="Q169" s="99"/>
      <c r="R169" s="99"/>
      <c r="S169" s="99"/>
      <c r="T169" s="99"/>
      <c r="U169" s="99"/>
      <c r="V169" s="99"/>
      <c r="W169" s="99"/>
      <c r="X169" s="99"/>
      <c r="Y169" s="99"/>
      <c r="Z169" s="99"/>
      <c r="AA169" s="99"/>
      <c r="AB169" s="99"/>
      <c r="AC169" s="99"/>
      <c r="AD169" s="99"/>
      <c r="AE169" s="99"/>
      <c r="AF169" s="99"/>
      <c r="AG169" s="99"/>
      <c r="AH169" s="99"/>
      <c r="AI169" s="99"/>
      <c r="AJ169" s="99"/>
      <c r="AK169" s="99"/>
      <c r="AL169" s="99"/>
      <c r="AM169" s="99"/>
      <c r="AN169" s="99"/>
      <c r="AO169" s="99"/>
      <c r="AP169" s="99"/>
      <c r="AQ169" s="99"/>
      <c r="AR169" s="99"/>
      <c r="AS169" s="99"/>
      <c r="AT169" s="99"/>
      <c r="AV169" s="99"/>
      <c r="AW169" s="99"/>
      <c r="AX169" s="99"/>
      <c r="AY169" s="99"/>
      <c r="AZ169" s="99"/>
      <c r="BA169" s="99"/>
      <c r="BB169" s="99"/>
      <c r="BC169" s="99"/>
      <c r="BD169" s="99"/>
      <c r="BE169" s="99"/>
      <c r="BF169" s="99"/>
      <c r="BG169" s="99"/>
      <c r="BH169" s="99"/>
      <c r="BI169" s="99"/>
      <c r="BJ169" s="99"/>
      <c r="BK169" s="99"/>
      <c r="BL169" s="99"/>
      <c r="BM169" s="99"/>
      <c r="BN169" s="99"/>
      <c r="BO169" s="99"/>
      <c r="BP169" s="99"/>
      <c r="BQ169" s="99"/>
      <c r="BR169" s="99"/>
      <c r="BS169" s="99"/>
      <c r="BT169" s="99"/>
      <c r="BU169" s="99"/>
      <c r="BV169" s="99"/>
      <c r="BW169" s="99"/>
      <c r="CL169" s="99"/>
      <c r="CM169" s="99"/>
      <c r="CN169" s="99"/>
      <c r="CO169" s="99"/>
      <c r="CP169" s="99"/>
      <c r="CQ169" s="99"/>
      <c r="CR169" s="99"/>
      <c r="CS169" s="99"/>
      <c r="CT169" s="99"/>
      <c r="CU169" s="99"/>
      <c r="CV169" s="99"/>
      <c r="CW169" s="99"/>
      <c r="CX169" s="99"/>
    </row>
    <row r="170" spans="1:102" ht="12" customHeight="1" x14ac:dyDescent="0.2">
      <c r="A170" s="104">
        <v>2</v>
      </c>
      <c r="B170" s="104" t="s">
        <v>22</v>
      </c>
      <c r="C170" s="182">
        <v>9.3497543294040089</v>
      </c>
      <c r="D170" s="182">
        <v>8.7096528659775778</v>
      </c>
      <c r="E170" s="182">
        <v>10.63622596838054</v>
      </c>
      <c r="F170" s="182">
        <v>12.338407558064469</v>
      </c>
      <c r="G170" s="182">
        <v>15.380904851034188</v>
      </c>
      <c r="H170" s="182">
        <v>19.657145631617595</v>
      </c>
      <c r="I170" s="182">
        <v>19.88547168433044</v>
      </c>
      <c r="J170" s="182">
        <v>16.143351496188899</v>
      </c>
      <c r="K170" s="182">
        <v>12.787784184275345</v>
      </c>
      <c r="L170" s="182">
        <v>13.137176806164728</v>
      </c>
      <c r="M170" s="182">
        <v>12.111762994949762</v>
      </c>
      <c r="N170" s="182">
        <v>10.271551530454927</v>
      </c>
      <c r="O170" s="183">
        <f t="shared" ref="O170:O181" si="18">SUM(C170:N170)</f>
        <v>160.40918990084248</v>
      </c>
      <c r="P170" s="99"/>
      <c r="Q170" s="99"/>
      <c r="R170" s="99"/>
      <c r="S170" s="99"/>
      <c r="T170" s="99"/>
      <c r="U170" s="99"/>
      <c r="V170" s="99"/>
      <c r="W170" s="99"/>
      <c r="X170" s="99"/>
      <c r="Y170" s="99"/>
      <c r="Z170" s="99"/>
      <c r="AA170" s="99"/>
      <c r="AB170" s="99"/>
      <c r="AC170" s="99"/>
      <c r="AD170" s="99"/>
      <c r="AE170" s="99"/>
      <c r="AF170" s="99"/>
      <c r="AG170" s="99"/>
      <c r="AH170" s="99"/>
      <c r="AI170" s="99"/>
      <c r="AJ170" s="99"/>
      <c r="AK170" s="99"/>
      <c r="AL170" s="99"/>
      <c r="AM170" s="99"/>
      <c r="AN170" s="99"/>
      <c r="AO170" s="99"/>
      <c r="AP170" s="99"/>
      <c r="AQ170" s="99"/>
      <c r="AR170" s="99"/>
      <c r="AS170" s="99"/>
      <c r="AT170" s="99"/>
      <c r="AV170" s="99"/>
      <c r="AW170" s="99"/>
      <c r="AX170" s="99"/>
      <c r="AY170" s="99"/>
      <c r="AZ170" s="99"/>
      <c r="BA170" s="99"/>
      <c r="BB170" s="99"/>
      <c r="BC170" s="99"/>
      <c r="BD170" s="99"/>
      <c r="BE170" s="99"/>
      <c r="BF170" s="99"/>
      <c r="BG170" s="99"/>
      <c r="BH170" s="99"/>
      <c r="BI170" s="99"/>
      <c r="BJ170" s="99"/>
      <c r="BK170" s="99"/>
      <c r="BL170" s="99"/>
      <c r="BM170" s="99"/>
      <c r="BN170" s="99"/>
      <c r="BO170" s="99"/>
      <c r="BP170" s="99"/>
      <c r="BQ170" s="99"/>
      <c r="BR170" s="99"/>
      <c r="BS170" s="99"/>
      <c r="BT170" s="99"/>
      <c r="BU170" s="99"/>
      <c r="BV170" s="99"/>
      <c r="BW170" s="99"/>
      <c r="CL170" s="99"/>
      <c r="CM170" s="99"/>
      <c r="CN170" s="99"/>
      <c r="CO170" s="99"/>
      <c r="CP170" s="99"/>
      <c r="CQ170" s="99"/>
      <c r="CR170" s="99"/>
      <c r="CS170" s="99"/>
      <c r="CT170" s="99"/>
      <c r="CU170" s="99"/>
      <c r="CV170" s="99"/>
      <c r="CW170" s="99"/>
      <c r="CX170" s="99"/>
    </row>
    <row r="171" spans="1:102" ht="12" customHeight="1" x14ac:dyDescent="0.2">
      <c r="A171" s="104">
        <v>3</v>
      </c>
      <c r="B171" s="104" t="s">
        <v>17</v>
      </c>
      <c r="C171" s="182">
        <v>1.6032414125581393</v>
      </c>
      <c r="D171" s="182">
        <v>9.3284211627906982E-2</v>
      </c>
      <c r="E171" s="182">
        <v>0</v>
      </c>
      <c r="F171" s="182">
        <v>0</v>
      </c>
      <c r="G171" s="182">
        <v>0</v>
      </c>
      <c r="H171" s="182">
        <v>0</v>
      </c>
      <c r="I171" s="182">
        <v>7.8850000000000003E-2</v>
      </c>
      <c r="J171" s="182">
        <v>10.857743245465116</v>
      </c>
      <c r="K171" s="182">
        <v>16.448061351162789</v>
      </c>
      <c r="L171" s="182">
        <v>16.953050319302324</v>
      </c>
      <c r="M171" s="182">
        <v>14.370766264534883</v>
      </c>
      <c r="N171" s="182">
        <v>5.4175333981395344</v>
      </c>
      <c r="O171" s="183">
        <f t="shared" si="18"/>
        <v>65.822530202790702</v>
      </c>
      <c r="P171" s="99"/>
      <c r="Q171" s="99"/>
      <c r="R171" s="99"/>
      <c r="S171" s="99"/>
      <c r="T171" s="99"/>
      <c r="U171" s="99"/>
      <c r="V171" s="99"/>
      <c r="W171" s="99"/>
      <c r="X171" s="99"/>
      <c r="Y171" s="99"/>
      <c r="Z171" s="99"/>
      <c r="AA171" s="99"/>
      <c r="AB171" s="99"/>
      <c r="AC171" s="99"/>
      <c r="AD171" s="99"/>
      <c r="AE171" s="99"/>
      <c r="AF171" s="99"/>
      <c r="AG171" s="99"/>
      <c r="AH171" s="99"/>
      <c r="AI171" s="99"/>
      <c r="AJ171" s="99"/>
      <c r="AK171" s="99"/>
      <c r="AL171" s="99"/>
      <c r="AM171" s="99"/>
      <c r="AN171" s="99"/>
      <c r="AO171" s="99"/>
      <c r="AP171" s="99"/>
      <c r="AQ171" s="99"/>
      <c r="AR171" s="99"/>
      <c r="AS171" s="99"/>
      <c r="AT171" s="99"/>
      <c r="AV171" s="99"/>
      <c r="AW171" s="99"/>
      <c r="AX171" s="99"/>
      <c r="AY171" s="99"/>
      <c r="AZ171" s="99"/>
      <c r="BA171" s="99"/>
      <c r="BB171" s="99"/>
      <c r="BC171" s="99"/>
      <c r="BD171" s="99"/>
      <c r="BE171" s="99"/>
      <c r="BF171" s="99"/>
      <c r="BG171" s="99"/>
      <c r="BH171" s="99"/>
      <c r="BI171" s="99"/>
      <c r="BJ171" s="99"/>
      <c r="BK171" s="99"/>
      <c r="BL171" s="99"/>
      <c r="BM171" s="99"/>
      <c r="BN171" s="99"/>
      <c r="BO171" s="99"/>
      <c r="BP171" s="99"/>
      <c r="BQ171" s="99"/>
      <c r="BR171" s="99"/>
      <c r="BS171" s="99"/>
      <c r="BT171" s="99"/>
      <c r="BU171" s="99"/>
      <c r="BV171" s="99"/>
      <c r="BW171" s="99"/>
      <c r="CL171" s="99"/>
      <c r="CM171" s="99"/>
      <c r="CN171" s="99"/>
      <c r="CO171" s="99"/>
      <c r="CP171" s="99"/>
      <c r="CQ171" s="99"/>
      <c r="CR171" s="99"/>
      <c r="CS171" s="99"/>
      <c r="CT171" s="99"/>
      <c r="CU171" s="99"/>
      <c r="CV171" s="99"/>
      <c r="CW171" s="99"/>
      <c r="CX171" s="99"/>
    </row>
    <row r="172" spans="1:102" ht="12" customHeight="1" x14ac:dyDescent="0.2">
      <c r="A172" s="108">
        <v>4</v>
      </c>
      <c r="B172" s="108" t="s">
        <v>0</v>
      </c>
      <c r="C172" s="182"/>
      <c r="D172" s="182"/>
      <c r="E172" s="182"/>
      <c r="F172" s="182"/>
      <c r="G172" s="182"/>
      <c r="H172" s="182"/>
      <c r="I172" s="182"/>
      <c r="J172" s="182"/>
      <c r="K172" s="182"/>
      <c r="L172" s="182"/>
      <c r="M172" s="182"/>
      <c r="N172" s="182"/>
      <c r="O172" s="183">
        <f t="shared" si="18"/>
        <v>0</v>
      </c>
      <c r="P172" s="99"/>
      <c r="Q172" s="99"/>
      <c r="R172" s="99"/>
      <c r="S172" s="99"/>
      <c r="T172" s="99"/>
      <c r="U172" s="99"/>
      <c r="V172" s="99"/>
      <c r="W172" s="99"/>
      <c r="X172" s="99"/>
      <c r="Y172" s="99"/>
      <c r="Z172" s="99"/>
      <c r="AA172" s="99"/>
      <c r="AB172" s="99"/>
      <c r="AC172" s="99"/>
      <c r="AD172" s="99"/>
      <c r="AE172" s="99"/>
      <c r="AF172" s="99"/>
      <c r="AG172" s="99"/>
      <c r="AH172" s="99"/>
      <c r="AI172" s="99"/>
      <c r="AJ172" s="99"/>
      <c r="AK172" s="99"/>
      <c r="AL172" s="99"/>
      <c r="AM172" s="99"/>
      <c r="AN172" s="99"/>
      <c r="AO172" s="99"/>
      <c r="AP172" s="99"/>
      <c r="AQ172" s="99"/>
      <c r="AR172" s="99"/>
      <c r="AS172" s="99"/>
      <c r="AT172" s="99"/>
      <c r="AV172" s="99"/>
      <c r="AW172" s="99"/>
      <c r="AX172" s="99"/>
      <c r="AY172" s="99"/>
      <c r="AZ172" s="99"/>
      <c r="BA172" s="99"/>
      <c r="BB172" s="99"/>
      <c r="BC172" s="99"/>
      <c r="BD172" s="99"/>
      <c r="BE172" s="99"/>
      <c r="BF172" s="99"/>
      <c r="BG172" s="99"/>
      <c r="BH172" s="99"/>
      <c r="BI172" s="99"/>
      <c r="BJ172" s="99"/>
      <c r="BK172" s="99"/>
      <c r="BL172" s="99"/>
      <c r="BM172" s="99"/>
      <c r="BN172" s="99"/>
      <c r="BO172" s="99"/>
      <c r="BP172" s="99"/>
      <c r="BQ172" s="99"/>
      <c r="BR172" s="99"/>
      <c r="BS172" s="99"/>
      <c r="BT172" s="99"/>
      <c r="BU172" s="99"/>
      <c r="BV172" s="99"/>
      <c r="BW172" s="99"/>
      <c r="CL172" s="99"/>
      <c r="CM172" s="99"/>
      <c r="CN172" s="99"/>
      <c r="CO172" s="99"/>
      <c r="CP172" s="99"/>
      <c r="CQ172" s="99"/>
      <c r="CR172" s="99"/>
      <c r="CS172" s="99"/>
      <c r="CT172" s="99"/>
      <c r="CU172" s="99"/>
      <c r="CV172" s="99"/>
      <c r="CW172" s="99"/>
      <c r="CX172" s="99"/>
    </row>
    <row r="173" spans="1:102" ht="12" customHeight="1" x14ac:dyDescent="0.2">
      <c r="A173" s="108">
        <v>5</v>
      </c>
      <c r="B173" s="108" t="s">
        <v>16</v>
      </c>
      <c r="C173" s="182"/>
      <c r="D173" s="182"/>
      <c r="E173" s="182"/>
      <c r="F173" s="182"/>
      <c r="G173" s="182"/>
      <c r="H173" s="182"/>
      <c r="I173" s="182"/>
      <c r="J173" s="182"/>
      <c r="K173" s="182"/>
      <c r="L173" s="182"/>
      <c r="M173" s="182"/>
      <c r="N173" s="182"/>
      <c r="O173" s="183">
        <f t="shared" si="18"/>
        <v>0</v>
      </c>
      <c r="P173" s="99"/>
      <c r="Q173" s="99"/>
      <c r="R173" s="99"/>
      <c r="S173" s="99"/>
      <c r="T173" s="99"/>
      <c r="U173" s="99"/>
      <c r="V173" s="99"/>
      <c r="W173" s="99"/>
      <c r="X173" s="99"/>
      <c r="Y173" s="99"/>
      <c r="Z173" s="99"/>
      <c r="AA173" s="99"/>
      <c r="AB173" s="99"/>
      <c r="AC173" s="99"/>
      <c r="AD173" s="99"/>
      <c r="AE173" s="99"/>
      <c r="AF173" s="99"/>
      <c r="AG173" s="99"/>
      <c r="AH173" s="99"/>
      <c r="AI173" s="99"/>
      <c r="AJ173" s="99"/>
      <c r="AK173" s="99"/>
      <c r="AL173" s="99"/>
      <c r="AM173" s="99"/>
      <c r="AN173" s="99"/>
      <c r="AO173" s="99"/>
      <c r="AP173" s="99"/>
      <c r="AQ173" s="99"/>
      <c r="AR173" s="99"/>
      <c r="AS173" s="99"/>
      <c r="AT173" s="99"/>
      <c r="AV173" s="99"/>
      <c r="AW173" s="99"/>
      <c r="AX173" s="99"/>
      <c r="AY173" s="99"/>
      <c r="AZ173" s="99"/>
      <c r="BA173" s="99"/>
      <c r="BB173" s="99"/>
      <c r="BC173" s="99"/>
      <c r="BD173" s="99"/>
      <c r="BE173" s="99"/>
      <c r="BF173" s="99"/>
      <c r="BG173" s="99"/>
      <c r="BH173" s="99"/>
      <c r="BI173" s="99"/>
      <c r="BJ173" s="99"/>
      <c r="BK173" s="99"/>
      <c r="BL173" s="99"/>
      <c r="BM173" s="99"/>
      <c r="BN173" s="99"/>
      <c r="BO173" s="99"/>
      <c r="BP173" s="99"/>
      <c r="BQ173" s="99"/>
      <c r="BR173" s="99"/>
      <c r="BS173" s="99"/>
      <c r="BT173" s="99"/>
      <c r="BU173" s="99"/>
      <c r="BV173" s="99"/>
      <c r="BW173" s="99"/>
      <c r="CL173" s="99"/>
      <c r="CM173" s="99"/>
      <c r="CN173" s="99"/>
      <c r="CO173" s="99"/>
      <c r="CP173" s="99"/>
      <c r="CQ173" s="99"/>
      <c r="CR173" s="99"/>
      <c r="CS173" s="99"/>
      <c r="CT173" s="99"/>
      <c r="CU173" s="99"/>
      <c r="CV173" s="99"/>
      <c r="CW173" s="99"/>
      <c r="CX173" s="99"/>
    </row>
    <row r="174" spans="1:102" ht="12" customHeight="1" x14ac:dyDescent="0.2">
      <c r="A174" s="104">
        <v>6</v>
      </c>
      <c r="B174" s="104" t="s">
        <v>18</v>
      </c>
      <c r="C174" s="182">
        <v>1.4794537828233152</v>
      </c>
      <c r="D174" s="182">
        <v>1.5803384694267779</v>
      </c>
      <c r="E174" s="182">
        <v>3.1827950167644223</v>
      </c>
      <c r="F174" s="182">
        <v>3.2140343923025725</v>
      </c>
      <c r="G174" s="182">
        <v>4.3387286656975936</v>
      </c>
      <c r="H174" s="182">
        <v>10.056522018784291</v>
      </c>
      <c r="I174" s="182">
        <v>14.281886583116112</v>
      </c>
      <c r="J174" s="182">
        <v>5.9920710625607949</v>
      </c>
      <c r="K174" s="182">
        <v>2.2691931496126241</v>
      </c>
      <c r="L174" s="182">
        <v>1.773696836693416</v>
      </c>
      <c r="M174" s="182">
        <v>1.8023635412531009</v>
      </c>
      <c r="N174" s="182">
        <v>1.5061571399306797</v>
      </c>
      <c r="O174" s="183">
        <f t="shared" si="18"/>
        <v>51.477240658965705</v>
      </c>
      <c r="P174" s="99"/>
      <c r="Q174" s="99"/>
      <c r="R174" s="99"/>
      <c r="S174" s="99"/>
      <c r="T174" s="99"/>
      <c r="U174" s="99"/>
      <c r="V174" s="99"/>
      <c r="W174" s="99"/>
      <c r="X174" s="99"/>
      <c r="Y174" s="99"/>
      <c r="Z174" s="99"/>
      <c r="AA174" s="99"/>
      <c r="AB174" s="99"/>
      <c r="AC174" s="99"/>
      <c r="AD174" s="99"/>
      <c r="AE174" s="99"/>
      <c r="AF174" s="99"/>
      <c r="AG174" s="99"/>
      <c r="AH174" s="99"/>
      <c r="AI174" s="99"/>
      <c r="AJ174" s="99"/>
      <c r="AK174" s="99"/>
      <c r="AL174" s="99"/>
      <c r="AM174" s="99"/>
      <c r="AN174" s="99"/>
      <c r="AO174" s="99"/>
      <c r="AP174" s="99"/>
      <c r="AQ174" s="99"/>
      <c r="AR174" s="99"/>
      <c r="AS174" s="99"/>
      <c r="AT174" s="99"/>
      <c r="AV174" s="99"/>
      <c r="AW174" s="99"/>
      <c r="AX174" s="99"/>
      <c r="AY174" s="99"/>
      <c r="AZ174" s="99"/>
      <c r="BA174" s="99"/>
      <c r="BB174" s="99"/>
      <c r="BC174" s="99"/>
      <c r="BD174" s="99"/>
      <c r="BE174" s="99"/>
      <c r="BF174" s="99"/>
      <c r="BG174" s="99"/>
      <c r="BH174" s="99"/>
      <c r="BI174" s="99"/>
      <c r="BJ174" s="99"/>
      <c r="BK174" s="99"/>
      <c r="BL174" s="99"/>
      <c r="BM174" s="99"/>
      <c r="BN174" s="99"/>
      <c r="BO174" s="99"/>
      <c r="BP174" s="99"/>
      <c r="BQ174" s="99"/>
      <c r="BR174" s="99"/>
      <c r="BS174" s="99"/>
      <c r="BT174" s="99"/>
      <c r="BU174" s="99"/>
      <c r="BV174" s="99"/>
      <c r="BW174" s="99"/>
      <c r="CL174" s="99"/>
      <c r="CM174" s="99"/>
      <c r="CN174" s="99"/>
      <c r="CO174" s="99"/>
      <c r="CP174" s="99"/>
      <c r="CQ174" s="99"/>
      <c r="CR174" s="99"/>
      <c r="CS174" s="99"/>
      <c r="CT174" s="99"/>
      <c r="CU174" s="99"/>
      <c r="CV174" s="99"/>
      <c r="CW174" s="99"/>
      <c r="CX174" s="99"/>
    </row>
    <row r="175" spans="1:102" ht="12" customHeight="1" x14ac:dyDescent="0.2">
      <c r="A175" s="108">
        <v>7</v>
      </c>
      <c r="B175" s="108" t="s">
        <v>19</v>
      </c>
      <c r="C175" s="182"/>
      <c r="D175" s="182"/>
      <c r="E175" s="182"/>
      <c r="F175" s="182"/>
      <c r="G175" s="182"/>
      <c r="H175" s="182"/>
      <c r="I175" s="182"/>
      <c r="J175" s="182"/>
      <c r="K175" s="182"/>
      <c r="L175" s="182"/>
      <c r="M175" s="182"/>
      <c r="N175" s="182"/>
      <c r="O175" s="183">
        <f t="shared" si="18"/>
        <v>0</v>
      </c>
      <c r="P175" s="99"/>
      <c r="Q175" s="99"/>
      <c r="R175" s="99"/>
      <c r="S175" s="99"/>
      <c r="T175" s="99"/>
      <c r="U175" s="99"/>
      <c r="V175" s="99"/>
      <c r="W175" s="99"/>
      <c r="X175" s="99"/>
      <c r="Y175" s="99"/>
      <c r="Z175" s="99"/>
      <c r="AA175" s="99"/>
      <c r="AB175" s="99"/>
      <c r="AC175" s="99"/>
      <c r="AD175" s="99"/>
      <c r="AE175" s="99"/>
      <c r="AF175" s="99"/>
      <c r="AG175" s="99"/>
      <c r="AH175" s="99"/>
      <c r="AI175" s="99"/>
      <c r="AJ175" s="99"/>
      <c r="AK175" s="99"/>
      <c r="AL175" s="99"/>
      <c r="AM175" s="99"/>
      <c r="AN175" s="99"/>
      <c r="AO175" s="99"/>
      <c r="AP175" s="99"/>
      <c r="AQ175" s="99"/>
      <c r="AR175" s="99"/>
      <c r="AS175" s="99"/>
      <c r="AT175" s="99"/>
      <c r="AV175" s="99"/>
      <c r="AW175" s="99"/>
      <c r="AX175" s="99"/>
      <c r="AY175" s="99"/>
      <c r="AZ175" s="99"/>
      <c r="BA175" s="99"/>
      <c r="BB175" s="99"/>
      <c r="BC175" s="99"/>
      <c r="BD175" s="99"/>
      <c r="BE175" s="99"/>
      <c r="BF175" s="99"/>
      <c r="BG175" s="99"/>
      <c r="BH175" s="99"/>
      <c r="BI175" s="99"/>
      <c r="BJ175" s="99"/>
      <c r="BK175" s="99"/>
      <c r="BL175" s="99"/>
      <c r="BM175" s="99"/>
      <c r="BN175" s="99"/>
      <c r="BO175" s="99"/>
      <c r="BP175" s="99"/>
      <c r="BQ175" s="99"/>
      <c r="BR175" s="99"/>
      <c r="BS175" s="99"/>
      <c r="BT175" s="99"/>
      <c r="BU175" s="99"/>
      <c r="BV175" s="99"/>
      <c r="BW175" s="99"/>
      <c r="CL175" s="99"/>
      <c r="CM175" s="99"/>
      <c r="CN175" s="99"/>
      <c r="CO175" s="99"/>
      <c r="CP175" s="99"/>
      <c r="CQ175" s="99"/>
      <c r="CR175" s="99"/>
      <c r="CS175" s="99"/>
      <c r="CT175" s="99"/>
      <c r="CU175" s="99"/>
      <c r="CV175" s="99"/>
      <c r="CW175" s="99"/>
      <c r="CX175" s="99"/>
    </row>
    <row r="176" spans="1:102" ht="12" customHeight="1" x14ac:dyDescent="0.2">
      <c r="A176" s="108">
        <v>8</v>
      </c>
      <c r="B176" s="108" t="s">
        <v>23</v>
      </c>
      <c r="C176" s="182"/>
      <c r="D176" s="182"/>
      <c r="E176" s="182"/>
      <c r="F176" s="182"/>
      <c r="G176" s="182"/>
      <c r="H176" s="182"/>
      <c r="I176" s="182"/>
      <c r="J176" s="182"/>
      <c r="K176" s="182"/>
      <c r="L176" s="182"/>
      <c r="M176" s="182"/>
      <c r="N176" s="182"/>
      <c r="O176" s="183">
        <f t="shared" si="18"/>
        <v>0</v>
      </c>
      <c r="P176" s="99"/>
      <c r="Q176" s="99"/>
      <c r="R176" s="99"/>
      <c r="S176" s="99"/>
      <c r="T176" s="99"/>
      <c r="U176" s="99"/>
      <c r="V176" s="99"/>
      <c r="W176" s="99"/>
      <c r="X176" s="99"/>
      <c r="Y176" s="99"/>
      <c r="Z176" s="99"/>
      <c r="AA176" s="99"/>
      <c r="AB176" s="99"/>
      <c r="AC176" s="99"/>
      <c r="AD176" s="99"/>
      <c r="AE176" s="99"/>
      <c r="AF176" s="99"/>
      <c r="AG176" s="99"/>
      <c r="AH176" s="99"/>
      <c r="AI176" s="99"/>
      <c r="AJ176" s="99"/>
      <c r="AK176" s="99"/>
      <c r="AL176" s="99"/>
      <c r="AM176" s="99"/>
      <c r="AN176" s="99"/>
      <c r="AO176" s="99"/>
      <c r="AP176" s="99"/>
      <c r="AQ176" s="99"/>
      <c r="AR176" s="99"/>
      <c r="AS176" s="99"/>
      <c r="AT176" s="99"/>
      <c r="AV176" s="99"/>
      <c r="AW176" s="99"/>
      <c r="AX176" s="99"/>
      <c r="AY176" s="99"/>
      <c r="AZ176" s="99"/>
      <c r="BA176" s="99"/>
      <c r="BB176" s="99"/>
      <c r="BC176" s="99"/>
      <c r="BD176" s="99"/>
      <c r="BE176" s="99"/>
      <c r="BF176" s="99"/>
      <c r="BG176" s="99"/>
      <c r="BH176" s="99"/>
      <c r="BI176" s="99"/>
      <c r="BJ176" s="99"/>
      <c r="BK176" s="99"/>
      <c r="BL176" s="99"/>
      <c r="BM176" s="99"/>
      <c r="BN176" s="99"/>
      <c r="BO176" s="99"/>
      <c r="BP176" s="99"/>
      <c r="BQ176" s="99"/>
      <c r="BR176" s="99"/>
      <c r="BS176" s="99"/>
      <c r="BT176" s="99"/>
      <c r="BU176" s="99"/>
      <c r="BV176" s="99"/>
      <c r="BW176" s="99"/>
      <c r="CL176" s="99"/>
      <c r="CM176" s="99"/>
      <c r="CN176" s="99"/>
      <c r="CO176" s="99"/>
      <c r="CP176" s="99"/>
      <c r="CQ176" s="99"/>
      <c r="CR176" s="99"/>
      <c r="CS176" s="99"/>
      <c r="CT176" s="99"/>
      <c r="CU176" s="99"/>
      <c r="CV176" s="99"/>
      <c r="CW176" s="99"/>
      <c r="CX176" s="99"/>
    </row>
    <row r="177" spans="1:102" ht="12" customHeight="1" x14ac:dyDescent="0.2">
      <c r="A177" s="108">
        <v>9</v>
      </c>
      <c r="B177" s="108" t="s">
        <v>24</v>
      </c>
      <c r="C177" s="182"/>
      <c r="D177" s="182"/>
      <c r="E177" s="182"/>
      <c r="F177" s="182"/>
      <c r="G177" s="182"/>
      <c r="H177" s="182"/>
      <c r="I177" s="182"/>
      <c r="J177" s="182"/>
      <c r="K177" s="182"/>
      <c r="L177" s="182"/>
      <c r="M177" s="182"/>
      <c r="N177" s="182"/>
      <c r="O177" s="183">
        <f t="shared" si="18"/>
        <v>0</v>
      </c>
      <c r="P177" s="99"/>
      <c r="Q177" s="99"/>
      <c r="R177" s="99"/>
      <c r="S177" s="99"/>
      <c r="T177" s="99"/>
      <c r="U177" s="99"/>
      <c r="V177" s="99"/>
      <c r="W177" s="99"/>
      <c r="X177" s="99"/>
      <c r="Y177" s="99"/>
      <c r="Z177" s="99"/>
      <c r="AA177" s="99"/>
      <c r="AB177" s="99"/>
      <c r="AC177" s="99"/>
      <c r="AD177" s="99"/>
      <c r="AE177" s="99"/>
      <c r="AF177" s="99"/>
      <c r="AG177" s="99"/>
      <c r="AH177" s="99"/>
      <c r="AI177" s="99"/>
      <c r="AJ177" s="99"/>
      <c r="AK177" s="99"/>
      <c r="AL177" s="99"/>
      <c r="AM177" s="99"/>
      <c r="AN177" s="99"/>
      <c r="AO177" s="99"/>
      <c r="AP177" s="99"/>
      <c r="AQ177" s="99"/>
      <c r="AR177" s="99"/>
      <c r="AS177" s="99"/>
      <c r="AT177" s="99"/>
      <c r="AV177" s="99"/>
      <c r="AW177" s="99"/>
      <c r="AX177" s="99"/>
      <c r="AY177" s="99"/>
      <c r="AZ177" s="99"/>
      <c r="BA177" s="99"/>
      <c r="BB177" s="99"/>
      <c r="BC177" s="99"/>
      <c r="BD177" s="99"/>
      <c r="BE177" s="99"/>
      <c r="BF177" s="99"/>
      <c r="BG177" s="99"/>
      <c r="BH177" s="99"/>
      <c r="BI177" s="99"/>
      <c r="BJ177" s="99"/>
      <c r="BK177" s="99"/>
      <c r="BL177" s="99"/>
      <c r="BM177" s="99"/>
      <c r="BN177" s="99"/>
      <c r="BO177" s="99"/>
      <c r="BP177" s="99"/>
      <c r="BQ177" s="99"/>
      <c r="BR177" s="99"/>
      <c r="BS177" s="99"/>
      <c r="BT177" s="99"/>
      <c r="BU177" s="99"/>
      <c r="BV177" s="99"/>
      <c r="BW177" s="99"/>
      <c r="CL177" s="99"/>
      <c r="CM177" s="99"/>
      <c r="CN177" s="99"/>
      <c r="CO177" s="99"/>
      <c r="CP177" s="99"/>
      <c r="CQ177" s="99"/>
      <c r="CR177" s="99"/>
      <c r="CS177" s="99"/>
      <c r="CT177" s="99"/>
      <c r="CU177" s="99"/>
      <c r="CV177" s="99"/>
      <c r="CW177" s="99"/>
      <c r="CX177" s="99"/>
    </row>
    <row r="178" spans="1:102" ht="12" customHeight="1" x14ac:dyDescent="0.2">
      <c r="A178" s="104">
        <v>10</v>
      </c>
      <c r="B178" s="104" t="s">
        <v>25</v>
      </c>
      <c r="C178" s="182">
        <v>1.9715356435110656</v>
      </c>
      <c r="D178" s="182">
        <v>1.8173822564405901</v>
      </c>
      <c r="E178" s="182">
        <v>3.0158381374046077</v>
      </c>
      <c r="F178" s="182">
        <v>3.8225627595742644</v>
      </c>
      <c r="G178" s="182">
        <v>5.0831377189119511</v>
      </c>
      <c r="H178" s="182">
        <v>7.5348859237836585</v>
      </c>
      <c r="I178" s="182">
        <v>6.7079983204491258</v>
      </c>
      <c r="J178" s="182">
        <v>5.7310230725347449</v>
      </c>
      <c r="K178" s="182">
        <v>7.9761724340018763</v>
      </c>
      <c r="L178" s="182">
        <v>9.5543886157389384</v>
      </c>
      <c r="M178" s="182">
        <v>7.9501843355308957</v>
      </c>
      <c r="N178" s="182">
        <v>3.8069051091413995</v>
      </c>
      <c r="O178" s="183">
        <f t="shared" si="18"/>
        <v>64.972014327023103</v>
      </c>
      <c r="P178" s="99"/>
      <c r="Q178" s="99"/>
      <c r="R178" s="99"/>
      <c r="S178" s="99"/>
      <c r="T178" s="99"/>
      <c r="U178" s="99"/>
      <c r="V178" s="99"/>
      <c r="W178" s="99"/>
      <c r="X178" s="99"/>
      <c r="Y178" s="99"/>
      <c r="Z178" s="99"/>
      <c r="AA178" s="99"/>
      <c r="AB178" s="99"/>
      <c r="AC178" s="99"/>
      <c r="AD178" s="99"/>
      <c r="AE178" s="99"/>
      <c r="AF178" s="99"/>
      <c r="AG178" s="99"/>
      <c r="AH178" s="99"/>
      <c r="AI178" s="99"/>
      <c r="AJ178" s="99"/>
      <c r="AK178" s="99"/>
      <c r="AL178" s="99"/>
      <c r="AM178" s="99"/>
      <c r="AN178" s="99"/>
      <c r="AO178" s="99"/>
      <c r="AP178" s="99"/>
      <c r="AQ178" s="99"/>
      <c r="AR178" s="99"/>
      <c r="AS178" s="99"/>
      <c r="AT178" s="99"/>
      <c r="AV178" s="99"/>
      <c r="AW178" s="99"/>
      <c r="AX178" s="99"/>
      <c r="AY178" s="99"/>
      <c r="AZ178" s="99"/>
      <c r="BA178" s="99"/>
      <c r="BB178" s="99"/>
      <c r="BC178" s="99"/>
      <c r="BD178" s="99"/>
      <c r="BE178" s="99"/>
      <c r="BF178" s="99"/>
      <c r="BG178" s="99"/>
      <c r="BH178" s="99"/>
      <c r="BI178" s="99"/>
      <c r="BJ178" s="99"/>
      <c r="BK178" s="99"/>
      <c r="BL178" s="99"/>
      <c r="BM178" s="99"/>
      <c r="BN178" s="99"/>
      <c r="BO178" s="99"/>
      <c r="BP178" s="99"/>
      <c r="BQ178" s="99"/>
      <c r="BR178" s="99"/>
      <c r="BS178" s="99"/>
      <c r="BT178" s="99"/>
      <c r="BU178" s="99"/>
      <c r="BV178" s="99"/>
      <c r="BW178" s="99"/>
      <c r="CL178" s="99"/>
      <c r="CM178" s="99"/>
      <c r="CN178" s="99"/>
      <c r="CO178" s="99"/>
      <c r="CP178" s="99"/>
      <c r="CQ178" s="99"/>
      <c r="CR178" s="99"/>
      <c r="CS178" s="99"/>
      <c r="CT178" s="99"/>
      <c r="CU178" s="99"/>
      <c r="CV178" s="99"/>
      <c r="CW178" s="99"/>
      <c r="CX178" s="99"/>
    </row>
    <row r="179" spans="1:102" ht="12" customHeight="1" x14ac:dyDescent="0.2">
      <c r="A179" s="104">
        <v>11</v>
      </c>
      <c r="B179" s="104" t="s">
        <v>26</v>
      </c>
      <c r="C179" s="182">
        <v>1.9468054309454828</v>
      </c>
      <c r="D179" s="182">
        <v>2.8965188791445353</v>
      </c>
      <c r="E179" s="182">
        <v>5.2616245316923997</v>
      </c>
      <c r="F179" s="182">
        <v>5.9824151778107044</v>
      </c>
      <c r="G179" s="182">
        <v>6.3826718346815099</v>
      </c>
      <c r="H179" s="182">
        <v>9.0777280862461591</v>
      </c>
      <c r="I179" s="182">
        <v>10.462040528476795</v>
      </c>
      <c r="J179" s="182">
        <v>7.5423031616332761</v>
      </c>
      <c r="K179" s="182">
        <v>3.9655219348540642</v>
      </c>
      <c r="L179" s="182">
        <v>1.7462737817552187</v>
      </c>
      <c r="M179" s="182">
        <v>1.2242347586896727</v>
      </c>
      <c r="N179" s="182">
        <v>1.071218768057602</v>
      </c>
      <c r="O179" s="183">
        <f t="shared" si="18"/>
        <v>57.559356873987433</v>
      </c>
      <c r="P179" s="99"/>
      <c r="Q179" s="99"/>
      <c r="R179" s="99"/>
      <c r="S179" s="99"/>
      <c r="T179" s="99"/>
      <c r="U179" s="99"/>
      <c r="V179" s="99"/>
      <c r="W179" s="99"/>
      <c r="X179" s="99"/>
      <c r="Y179" s="99"/>
      <c r="Z179" s="99"/>
      <c r="AA179" s="99"/>
      <c r="AB179" s="99"/>
      <c r="AC179" s="99"/>
      <c r="AD179" s="99"/>
      <c r="AE179" s="99"/>
      <c r="AF179" s="99"/>
      <c r="AG179" s="99"/>
      <c r="AH179" s="99"/>
      <c r="AI179" s="99"/>
      <c r="AJ179" s="99"/>
      <c r="AK179" s="99"/>
      <c r="AL179" s="99"/>
      <c r="AM179" s="99"/>
      <c r="AN179" s="99"/>
      <c r="AO179" s="99"/>
      <c r="AP179" s="99"/>
      <c r="AQ179" s="99"/>
      <c r="AR179" s="99"/>
      <c r="AS179" s="99"/>
      <c r="AT179" s="99"/>
      <c r="AV179" s="99"/>
      <c r="AW179" s="99"/>
      <c r="AX179" s="99"/>
      <c r="AY179" s="99"/>
      <c r="AZ179" s="99"/>
      <c r="BA179" s="99"/>
      <c r="BB179" s="99"/>
      <c r="BC179" s="99"/>
      <c r="BD179" s="99"/>
      <c r="BE179" s="99"/>
      <c r="BF179" s="99"/>
      <c r="BG179" s="99"/>
      <c r="BH179" s="99"/>
      <c r="BI179" s="99"/>
      <c r="BJ179" s="99"/>
      <c r="BK179" s="99"/>
      <c r="BL179" s="99"/>
      <c r="BM179" s="99"/>
      <c r="BN179" s="99"/>
      <c r="BO179" s="99"/>
      <c r="BP179" s="99"/>
      <c r="BQ179" s="99"/>
      <c r="BR179" s="99"/>
      <c r="BS179" s="99"/>
      <c r="BT179" s="99"/>
      <c r="BU179" s="99"/>
      <c r="BV179" s="99"/>
      <c r="BW179" s="99"/>
      <c r="CL179" s="99"/>
      <c r="CM179" s="99"/>
      <c r="CN179" s="99"/>
      <c r="CO179" s="99"/>
      <c r="CP179" s="99"/>
      <c r="CQ179" s="99"/>
      <c r="CR179" s="99"/>
      <c r="CS179" s="99"/>
      <c r="CT179" s="99"/>
      <c r="CU179" s="99"/>
      <c r="CV179" s="99"/>
      <c r="CW179" s="99"/>
      <c r="CX179" s="99"/>
    </row>
    <row r="180" spans="1:102" ht="12" customHeight="1" x14ac:dyDescent="0.2">
      <c r="A180" s="104">
        <v>12</v>
      </c>
      <c r="B180" s="104" t="s">
        <v>27</v>
      </c>
      <c r="C180" s="182">
        <v>6.1295947190476208E-2</v>
      </c>
      <c r="D180" s="182">
        <v>0</v>
      </c>
      <c r="E180" s="182">
        <v>0</v>
      </c>
      <c r="F180" s="182">
        <v>0</v>
      </c>
      <c r="G180" s="182">
        <v>0</v>
      </c>
      <c r="H180" s="182">
        <v>0</v>
      </c>
      <c r="I180" s="182">
        <v>0</v>
      </c>
      <c r="J180" s="182">
        <v>0.20115744865499688</v>
      </c>
      <c r="K180" s="182">
        <v>6.8450896649371087</v>
      </c>
      <c r="L180" s="182">
        <v>13.085175929188908</v>
      </c>
      <c r="M180" s="182">
        <v>10.839230697965696</v>
      </c>
      <c r="N180" s="182">
        <v>3.3526716826759873</v>
      </c>
      <c r="O180" s="183">
        <f t="shared" si="18"/>
        <v>34.384621370613175</v>
      </c>
      <c r="P180" s="99"/>
      <c r="Q180" s="99"/>
      <c r="R180" s="99"/>
      <c r="S180" s="99"/>
      <c r="T180" s="99"/>
      <c r="U180" s="99"/>
      <c r="V180" s="99"/>
      <c r="W180" s="99"/>
      <c r="X180" s="99"/>
      <c r="Y180" s="99"/>
      <c r="Z180" s="99"/>
      <c r="AA180" s="99"/>
      <c r="AB180" s="99"/>
      <c r="AC180" s="99"/>
      <c r="AD180" s="99"/>
      <c r="AE180" s="99"/>
      <c r="AF180" s="99"/>
      <c r="AG180" s="99"/>
      <c r="AH180" s="99"/>
      <c r="AI180" s="99"/>
      <c r="AJ180" s="99"/>
      <c r="AK180" s="99"/>
      <c r="AL180" s="99"/>
      <c r="AM180" s="99"/>
      <c r="AN180" s="99"/>
      <c r="AO180" s="99"/>
      <c r="AP180" s="99"/>
      <c r="AQ180" s="99"/>
      <c r="AR180" s="99"/>
      <c r="AS180" s="99"/>
      <c r="AT180" s="99"/>
      <c r="AV180" s="99"/>
      <c r="AW180" s="99"/>
      <c r="AX180" s="99"/>
      <c r="AY180" s="99"/>
      <c r="AZ180" s="99"/>
      <c r="BA180" s="99"/>
      <c r="BB180" s="99"/>
      <c r="BC180" s="99"/>
      <c r="BD180" s="99"/>
      <c r="BE180" s="99"/>
      <c r="BF180" s="99"/>
      <c r="BG180" s="99"/>
      <c r="BH180" s="99"/>
      <c r="BI180" s="99"/>
      <c r="BJ180" s="99"/>
      <c r="BK180" s="99"/>
      <c r="BL180" s="99"/>
      <c r="BM180" s="99"/>
      <c r="BN180" s="99"/>
      <c r="BO180" s="99"/>
      <c r="BP180" s="99"/>
      <c r="BQ180" s="99"/>
      <c r="BR180" s="99"/>
      <c r="BS180" s="99"/>
      <c r="BT180" s="99"/>
      <c r="BU180" s="99"/>
      <c r="BV180" s="99"/>
      <c r="BW180" s="99"/>
      <c r="CL180" s="99"/>
      <c r="CM180" s="99"/>
      <c r="CN180" s="99"/>
      <c r="CO180" s="99"/>
      <c r="CP180" s="99"/>
      <c r="CQ180" s="99"/>
      <c r="CR180" s="99"/>
      <c r="CS180" s="99"/>
      <c r="CT180" s="99"/>
      <c r="CU180" s="99"/>
      <c r="CV180" s="99"/>
      <c r="CW180" s="99"/>
      <c r="CX180" s="99"/>
    </row>
    <row r="181" spans="1:102" ht="12" customHeight="1" x14ac:dyDescent="0.2">
      <c r="A181" s="104">
        <v>13</v>
      </c>
      <c r="B181" s="104" t="s">
        <v>28</v>
      </c>
      <c r="C181" s="182">
        <v>6.4633020765107851E-2</v>
      </c>
      <c r="D181" s="182">
        <v>8.2274650317959844E-2</v>
      </c>
      <c r="E181" s="182">
        <v>0.13870673460221675</v>
      </c>
      <c r="F181" s="182">
        <v>0.21397861037846011</v>
      </c>
      <c r="G181" s="182">
        <v>0.30011480378145905</v>
      </c>
      <c r="H181" s="182">
        <v>0.48981999304784984</v>
      </c>
      <c r="I181" s="182">
        <v>0.49149777362578984</v>
      </c>
      <c r="J181" s="182">
        <v>0.91369681820842974</v>
      </c>
      <c r="K181" s="182">
        <v>1.2736292616954572</v>
      </c>
      <c r="L181" s="182">
        <v>1.7195808189316795</v>
      </c>
      <c r="M181" s="182">
        <v>1.500269275258175</v>
      </c>
      <c r="N181" s="182">
        <v>0.58719975749444897</v>
      </c>
      <c r="O181" s="183">
        <f t="shared" si="18"/>
        <v>7.7754015181070333</v>
      </c>
      <c r="P181" s="99"/>
      <c r="Q181" s="99"/>
      <c r="R181" s="99"/>
      <c r="S181" s="99"/>
      <c r="T181" s="99"/>
      <c r="U181" s="99"/>
      <c r="V181" s="99"/>
      <c r="W181" s="99"/>
      <c r="X181" s="99"/>
      <c r="Y181" s="99"/>
      <c r="Z181" s="99"/>
      <c r="AA181" s="99"/>
      <c r="AB181" s="99"/>
      <c r="AC181" s="99"/>
      <c r="AD181" s="99"/>
      <c r="AE181" s="99"/>
      <c r="AF181" s="99"/>
      <c r="AG181" s="99"/>
      <c r="AH181" s="99"/>
      <c r="AI181" s="99"/>
      <c r="AJ181" s="99"/>
      <c r="AK181" s="99"/>
      <c r="AL181" s="99"/>
      <c r="AM181" s="99"/>
      <c r="AN181" s="99"/>
      <c r="AO181" s="99"/>
      <c r="AP181" s="99"/>
      <c r="AQ181" s="99"/>
      <c r="AR181" s="99"/>
      <c r="AS181" s="99"/>
      <c r="AT181" s="99"/>
      <c r="AV181" s="99"/>
      <c r="AW181" s="99"/>
      <c r="AX181" s="99"/>
      <c r="AY181" s="99"/>
      <c r="AZ181" s="99"/>
      <c r="BA181" s="99"/>
      <c r="BB181" s="99"/>
      <c r="BC181" s="99"/>
      <c r="BD181" s="99"/>
      <c r="BE181" s="99"/>
      <c r="BF181" s="99"/>
      <c r="BG181" s="99"/>
      <c r="BH181" s="99"/>
      <c r="BI181" s="99"/>
      <c r="BJ181" s="99"/>
      <c r="BK181" s="99"/>
      <c r="BL181" s="99"/>
      <c r="BM181" s="99"/>
      <c r="BN181" s="99"/>
      <c r="BO181" s="99"/>
      <c r="BP181" s="99"/>
      <c r="BQ181" s="99"/>
      <c r="BR181" s="99"/>
      <c r="BS181" s="99"/>
      <c r="BT181" s="99"/>
      <c r="BU181" s="99"/>
      <c r="BV181" s="99"/>
      <c r="BW181" s="99"/>
      <c r="CL181" s="99"/>
      <c r="CM181" s="99"/>
      <c r="CN181" s="99"/>
      <c r="CO181" s="99"/>
      <c r="CP181" s="99"/>
      <c r="CQ181" s="99"/>
      <c r="CR181" s="99"/>
      <c r="CS181" s="99"/>
      <c r="CT181" s="99"/>
      <c r="CU181" s="99"/>
      <c r="CV181" s="99"/>
      <c r="CW181" s="99"/>
      <c r="CX181" s="99"/>
    </row>
    <row r="182" spans="1:102" ht="12" customHeight="1" x14ac:dyDescent="0.2">
      <c r="A182" s="99"/>
      <c r="B182" s="99"/>
      <c r="C182" s="99"/>
      <c r="D182" s="99"/>
      <c r="E182" s="99"/>
      <c r="F182" s="99"/>
      <c r="G182" s="99"/>
      <c r="H182" s="99"/>
      <c r="I182" s="99"/>
      <c r="J182" s="99"/>
      <c r="K182" s="99"/>
      <c r="L182" s="99"/>
      <c r="M182" s="99"/>
      <c r="N182" s="99"/>
      <c r="O182" s="99"/>
      <c r="P182" s="99"/>
      <c r="Q182" s="99"/>
      <c r="R182" s="99"/>
      <c r="S182" s="99"/>
      <c r="T182" s="99"/>
      <c r="U182" s="99"/>
      <c r="V182" s="99"/>
      <c r="W182" s="99"/>
      <c r="X182" s="99"/>
      <c r="Y182" s="99"/>
      <c r="Z182" s="99"/>
      <c r="AA182" s="99"/>
      <c r="AB182" s="99"/>
      <c r="AC182" s="99"/>
      <c r="AD182" s="99"/>
      <c r="AE182" s="99"/>
      <c r="AF182" s="99"/>
      <c r="AG182" s="99"/>
      <c r="AH182" s="99"/>
      <c r="AI182" s="99"/>
      <c r="AJ182" s="99"/>
      <c r="AK182" s="99"/>
      <c r="AL182" s="99"/>
      <c r="AM182" s="99"/>
      <c r="AN182" s="99"/>
      <c r="AO182" s="99"/>
      <c r="AP182" s="99"/>
      <c r="AQ182" s="99"/>
      <c r="AR182" s="99"/>
      <c r="AS182" s="99"/>
      <c r="AT182" s="99"/>
      <c r="AV182" s="99"/>
      <c r="AW182" s="99"/>
      <c r="AX182" s="99"/>
      <c r="AY182" s="99"/>
      <c r="AZ182" s="99"/>
      <c r="BA182" s="99"/>
      <c r="BB182" s="99"/>
      <c r="BC182" s="99"/>
      <c r="BD182" s="99"/>
      <c r="BE182" s="99"/>
      <c r="BF182" s="99"/>
      <c r="BG182" s="99"/>
      <c r="BH182" s="99"/>
      <c r="BI182" s="99"/>
      <c r="BJ182" s="99"/>
      <c r="BK182" s="99"/>
      <c r="BL182" s="99"/>
      <c r="BM182" s="99"/>
      <c r="BN182" s="99"/>
      <c r="BO182" s="99"/>
      <c r="BP182" s="99"/>
      <c r="BQ182" s="99"/>
      <c r="BR182" s="99"/>
      <c r="BS182" s="99"/>
      <c r="BT182" s="99"/>
      <c r="BU182" s="99"/>
      <c r="BV182" s="99"/>
      <c r="BW182" s="99"/>
      <c r="CL182" s="99"/>
      <c r="CM182" s="99"/>
      <c r="CN182" s="99"/>
      <c r="CO182" s="99"/>
      <c r="CP182" s="99"/>
      <c r="CQ182" s="99"/>
      <c r="CR182" s="99"/>
      <c r="CS182" s="99"/>
      <c r="CT182" s="99"/>
      <c r="CU182" s="99"/>
      <c r="CV182" s="99"/>
      <c r="CW182" s="99"/>
      <c r="CX182" s="99"/>
    </row>
    <row r="183" spans="1:102" ht="30.75" customHeight="1" x14ac:dyDescent="0.2">
      <c r="B183" s="184" t="s">
        <v>190</v>
      </c>
      <c r="C183" s="102" t="s">
        <v>191</v>
      </c>
      <c r="D183" s="102" t="s">
        <v>192</v>
      </c>
      <c r="E183" s="102" t="s">
        <v>193</v>
      </c>
      <c r="F183" s="102" t="s">
        <v>194</v>
      </c>
      <c r="G183" s="102"/>
      <c r="H183" s="185" t="s">
        <v>195</v>
      </c>
      <c r="I183" s="185" t="s">
        <v>196</v>
      </c>
      <c r="J183" s="185" t="s">
        <v>197</v>
      </c>
      <c r="K183" s="185" t="s">
        <v>198</v>
      </c>
      <c r="L183" s="186" t="s">
        <v>199</v>
      </c>
      <c r="N183" s="187" t="s">
        <v>200</v>
      </c>
      <c r="O183" s="187" t="s">
        <v>201</v>
      </c>
      <c r="Q183" s="99"/>
      <c r="R183" s="99"/>
      <c r="S183" s="99"/>
      <c r="T183" s="99"/>
      <c r="U183" s="99"/>
      <c r="V183" s="99"/>
      <c r="W183" s="99"/>
      <c r="X183" s="99"/>
      <c r="Y183" s="99"/>
      <c r="Z183" s="99"/>
      <c r="AA183" s="99"/>
      <c r="AB183" s="99"/>
      <c r="AC183" s="99"/>
      <c r="AD183" s="99"/>
      <c r="AE183" s="99"/>
      <c r="AF183" s="99"/>
      <c r="AG183" s="99"/>
      <c r="AH183" s="99"/>
      <c r="AI183" s="99"/>
      <c r="AJ183" s="99"/>
      <c r="AK183" s="99"/>
      <c r="AL183" s="99"/>
      <c r="AM183" s="99"/>
      <c r="AN183" s="99"/>
      <c r="AO183" s="99"/>
      <c r="AP183" s="99"/>
      <c r="AQ183" s="99"/>
      <c r="AR183" s="99"/>
      <c r="AS183" s="99"/>
      <c r="AT183" s="99"/>
      <c r="AV183" s="99"/>
      <c r="AW183" s="99"/>
      <c r="AX183" s="99"/>
      <c r="AY183" s="99"/>
      <c r="AZ183" s="99"/>
      <c r="BA183" s="99"/>
      <c r="BB183" s="99"/>
      <c r="BC183" s="99"/>
      <c r="BD183" s="99"/>
      <c r="BE183" s="99"/>
      <c r="BF183" s="99"/>
      <c r="BG183" s="99"/>
      <c r="BH183" s="99"/>
      <c r="BI183" s="99"/>
      <c r="BJ183" s="99"/>
      <c r="BK183" s="99"/>
      <c r="BL183" s="99"/>
      <c r="BM183" s="99"/>
      <c r="BN183" s="99"/>
      <c r="BO183" s="99"/>
      <c r="BP183" s="99"/>
      <c r="BQ183" s="99"/>
      <c r="BR183" s="99"/>
      <c r="BS183" s="99"/>
      <c r="BT183" s="99"/>
      <c r="BU183" s="99"/>
      <c r="BV183" s="99"/>
      <c r="BW183" s="99"/>
      <c r="CL183" s="99"/>
      <c r="CM183" s="99"/>
      <c r="CN183" s="99"/>
      <c r="CO183" s="99"/>
      <c r="CP183" s="99"/>
      <c r="CQ183" s="99"/>
      <c r="CR183" s="99"/>
      <c r="CS183" s="99"/>
      <c r="CT183" s="99"/>
      <c r="CU183" s="99"/>
      <c r="CV183" s="99"/>
      <c r="CW183" s="99"/>
      <c r="CX183" s="99"/>
    </row>
    <row r="184" spans="1:102" ht="12" customHeight="1" x14ac:dyDescent="0.2">
      <c r="A184" s="104">
        <v>1</v>
      </c>
      <c r="B184" s="104" t="s">
        <v>21</v>
      </c>
      <c r="C184" s="107">
        <v>-15.41</v>
      </c>
      <c r="D184" s="107">
        <v>78.22</v>
      </c>
      <c r="E184" s="107">
        <v>67.25</v>
      </c>
      <c r="F184" s="107">
        <v>-9.3658354591355959</v>
      </c>
      <c r="H184" s="188">
        <f>D184+E184*0.9+O169</f>
        <v>363.34850309569276</v>
      </c>
      <c r="I184" s="188">
        <f>E184*0.1+O154</f>
        <v>27.875034149376141</v>
      </c>
      <c r="J184" s="188">
        <v>-15.41</v>
      </c>
      <c r="K184" s="188">
        <v>-9.3658354591355959</v>
      </c>
      <c r="L184" s="189">
        <f>O169/H184</f>
        <v>0.61814897042947325</v>
      </c>
      <c r="N184" s="190">
        <v>61.003004264000005</v>
      </c>
      <c r="O184" s="190">
        <f>H184-N184</f>
        <v>302.34549883169274</v>
      </c>
      <c r="Q184" s="99"/>
      <c r="R184" s="97">
        <f>SUM(H184:K184)</f>
        <v>366.44770178593325</v>
      </c>
      <c r="S184" s="99"/>
      <c r="T184" s="99"/>
      <c r="U184" s="99"/>
      <c r="V184" s="99"/>
      <c r="W184" s="99"/>
      <c r="X184" s="99"/>
      <c r="Y184" s="99"/>
      <c r="Z184" s="99"/>
      <c r="AA184" s="99"/>
      <c r="AB184" s="99"/>
      <c r="AC184" s="99"/>
      <c r="AD184" s="99"/>
      <c r="AE184" s="99"/>
      <c r="AF184" s="99"/>
      <c r="AG184" s="99"/>
      <c r="AH184" s="99"/>
      <c r="AI184" s="99"/>
      <c r="AJ184" s="99"/>
      <c r="AK184" s="99"/>
      <c r="AL184" s="99"/>
      <c r="AM184" s="99"/>
      <c r="AN184" s="99"/>
      <c r="AO184" s="99"/>
      <c r="AP184" s="99"/>
      <c r="AQ184" s="99"/>
      <c r="AR184" s="99"/>
      <c r="AS184" s="99"/>
      <c r="AT184" s="99"/>
      <c r="AV184" s="99"/>
      <c r="AW184" s="99"/>
      <c r="AX184" s="99"/>
      <c r="AY184" s="99"/>
      <c r="AZ184" s="99"/>
      <c r="BA184" s="99"/>
      <c r="BB184" s="99"/>
      <c r="BC184" s="99"/>
      <c r="BD184" s="99"/>
      <c r="BE184" s="99"/>
      <c r="BF184" s="99"/>
      <c r="BG184" s="99"/>
      <c r="BH184" s="99"/>
      <c r="BI184" s="99"/>
      <c r="BJ184" s="99"/>
      <c r="BK184" s="99"/>
      <c r="BL184" s="99"/>
      <c r="BM184" s="99"/>
      <c r="BN184" s="99"/>
      <c r="BO184" s="99"/>
      <c r="BP184" s="99"/>
      <c r="BQ184" s="99"/>
      <c r="BR184" s="99"/>
      <c r="BS184" s="99"/>
      <c r="BT184" s="99"/>
      <c r="BU184" s="99"/>
      <c r="BV184" s="99"/>
      <c r="BW184" s="99"/>
      <c r="CL184" s="99"/>
      <c r="CM184" s="99"/>
      <c r="CN184" s="99"/>
      <c r="CO184" s="99"/>
      <c r="CP184" s="99"/>
      <c r="CQ184" s="99"/>
      <c r="CR184" s="99"/>
      <c r="CS184" s="99"/>
      <c r="CT184" s="99"/>
      <c r="CU184" s="99"/>
      <c r="CV184" s="99"/>
      <c r="CW184" s="99"/>
      <c r="CX184" s="99"/>
    </row>
    <row r="185" spans="1:102" ht="12" customHeight="1" x14ac:dyDescent="0.2">
      <c r="A185" s="104">
        <v>2</v>
      </c>
      <c r="B185" s="104" t="s">
        <v>22</v>
      </c>
      <c r="C185" s="107">
        <v>17.309999999999999</v>
      </c>
      <c r="D185" s="107">
        <v>37.799999999999997</v>
      </c>
      <c r="E185" s="107">
        <v>53.68</v>
      </c>
      <c r="F185" s="107">
        <v>12.338641186914785</v>
      </c>
      <c r="G185" s="102"/>
      <c r="H185" s="188">
        <f t="shared" ref="H185:H196" si="19">D185+E185*0.9+O170</f>
        <v>246.52118990084247</v>
      </c>
      <c r="I185" s="188">
        <f t="shared" ref="I185:I196" si="20">E185*0.1+O155</f>
        <v>25.315687384617078</v>
      </c>
      <c r="J185" s="188">
        <v>17.309999999999999</v>
      </c>
      <c r="K185" s="188">
        <v>12.338641186914785</v>
      </c>
      <c r="L185" s="189">
        <f>O170/H185</f>
        <v>0.65069128526177977</v>
      </c>
      <c r="N185" s="190">
        <v>46.357716668400002</v>
      </c>
      <c r="O185" s="190">
        <f>H185-N185</f>
        <v>200.16347323244247</v>
      </c>
      <c r="Q185" s="99"/>
      <c r="R185" s="97">
        <f t="shared" ref="R185:R196" si="21">SUM(H185:K185)</f>
        <v>301.48551847237434</v>
      </c>
      <c r="S185" s="99"/>
      <c r="T185" s="99"/>
      <c r="U185" s="99"/>
      <c r="V185" s="99"/>
      <c r="W185" s="99"/>
      <c r="X185" s="99"/>
      <c r="Y185" s="99"/>
      <c r="Z185" s="99"/>
      <c r="AA185" s="99"/>
      <c r="AB185" s="99"/>
      <c r="AC185" s="99"/>
      <c r="AD185" s="99"/>
      <c r="AE185" s="99"/>
      <c r="AF185" s="99"/>
      <c r="AG185" s="99"/>
      <c r="AH185" s="99"/>
      <c r="AI185" s="99"/>
      <c r="AJ185" s="99"/>
      <c r="AK185" s="99"/>
      <c r="AL185" s="99"/>
      <c r="AM185" s="99"/>
      <c r="AN185" s="99"/>
      <c r="AO185" s="99"/>
      <c r="AP185" s="99"/>
      <c r="AQ185" s="99"/>
      <c r="AR185" s="99"/>
      <c r="AS185" s="99"/>
      <c r="AT185" s="99"/>
      <c r="AV185" s="99"/>
      <c r="AW185" s="99"/>
      <c r="AX185" s="99"/>
      <c r="AY185" s="99"/>
      <c r="AZ185" s="99"/>
      <c r="BA185" s="99"/>
      <c r="BB185" s="99"/>
      <c r="BC185" s="99"/>
      <c r="BD185" s="99"/>
      <c r="BE185" s="99"/>
      <c r="BF185" s="99"/>
      <c r="BG185" s="99"/>
      <c r="BH185" s="99"/>
      <c r="BI185" s="99"/>
      <c r="BJ185" s="99"/>
      <c r="BK185" s="99"/>
      <c r="BL185" s="99"/>
      <c r="BM185" s="99"/>
      <c r="BN185" s="99"/>
      <c r="BO185" s="99"/>
      <c r="BP185" s="99"/>
      <c r="BQ185" s="99"/>
      <c r="BR185" s="99"/>
      <c r="BS185" s="99"/>
      <c r="BT185" s="99"/>
      <c r="BU185" s="99"/>
      <c r="BV185" s="99"/>
      <c r="BW185" s="99"/>
      <c r="CL185" s="99"/>
      <c r="CM185" s="99"/>
      <c r="CN185" s="99"/>
      <c r="CO185" s="99"/>
      <c r="CP185" s="99"/>
      <c r="CQ185" s="99"/>
      <c r="CR185" s="99"/>
      <c r="CS185" s="99"/>
      <c r="CT185" s="99"/>
      <c r="CU185" s="99"/>
      <c r="CV185" s="99"/>
      <c r="CW185" s="99"/>
      <c r="CX185" s="99"/>
    </row>
    <row r="186" spans="1:102" ht="12" customHeight="1" x14ac:dyDescent="0.2">
      <c r="A186" s="104">
        <v>3</v>
      </c>
      <c r="B186" s="104" t="s">
        <v>17</v>
      </c>
      <c r="C186" s="107">
        <v>162.99</v>
      </c>
      <c r="D186" s="107">
        <v>3.39</v>
      </c>
      <c r="E186" s="107">
        <v>16.510000000000002</v>
      </c>
      <c r="F186" s="107">
        <v>-385.54354057216904</v>
      </c>
      <c r="G186" s="102"/>
      <c r="H186" s="188">
        <f t="shared" si="19"/>
        <v>84.071530202790711</v>
      </c>
      <c r="I186" s="188">
        <f t="shared" si="20"/>
        <v>9.3190307692307695</v>
      </c>
      <c r="J186" s="188">
        <v>162.99</v>
      </c>
      <c r="K186" s="188">
        <v>-385.54354057216904</v>
      </c>
      <c r="L186" s="189">
        <f>O171/H186</f>
        <v>0.78293484184264028</v>
      </c>
      <c r="N186" s="190"/>
      <c r="O186" s="190"/>
      <c r="Q186" s="99"/>
      <c r="R186" s="97">
        <f t="shared" si="21"/>
        <v>-129.16297960014754</v>
      </c>
      <c r="S186" s="99"/>
      <c r="T186" s="99"/>
      <c r="U186" s="99"/>
      <c r="V186" s="99"/>
      <c r="W186" s="99"/>
      <c r="X186" s="99"/>
      <c r="Y186" s="99"/>
      <c r="Z186" s="99"/>
      <c r="AA186" s="99"/>
      <c r="AB186" s="99"/>
      <c r="AC186" s="99"/>
      <c r="AD186" s="99"/>
      <c r="AE186" s="99"/>
      <c r="AF186" s="99"/>
      <c r="AG186" s="99"/>
      <c r="AH186" s="99"/>
      <c r="AI186" s="99"/>
      <c r="AJ186" s="99"/>
      <c r="AK186" s="99"/>
      <c r="AL186" s="99"/>
      <c r="AM186" s="99"/>
      <c r="AN186" s="99"/>
      <c r="AO186" s="99"/>
      <c r="AP186" s="99"/>
      <c r="AQ186" s="99"/>
      <c r="AR186" s="99"/>
      <c r="AS186" s="99"/>
      <c r="AT186" s="99"/>
      <c r="AV186" s="99"/>
      <c r="AW186" s="99"/>
      <c r="AX186" s="99"/>
      <c r="AY186" s="99"/>
      <c r="AZ186" s="99"/>
      <c r="BA186" s="99"/>
      <c r="BB186" s="99"/>
      <c r="BC186" s="99"/>
      <c r="BD186" s="99"/>
      <c r="BE186" s="99"/>
      <c r="BF186" s="99"/>
      <c r="BG186" s="99"/>
      <c r="BH186" s="99"/>
      <c r="BI186" s="99"/>
      <c r="BJ186" s="99"/>
      <c r="BK186" s="99"/>
      <c r="BL186" s="99"/>
      <c r="BM186" s="99"/>
      <c r="BN186" s="99"/>
      <c r="BO186" s="99"/>
      <c r="BP186" s="99"/>
      <c r="BQ186" s="99"/>
      <c r="BR186" s="99"/>
      <c r="BS186" s="99"/>
      <c r="BT186" s="99"/>
      <c r="BU186" s="99"/>
      <c r="BV186" s="99"/>
      <c r="BW186" s="99"/>
      <c r="CL186" s="99"/>
      <c r="CM186" s="99"/>
      <c r="CN186" s="99"/>
      <c r="CO186" s="99"/>
      <c r="CP186" s="99"/>
      <c r="CQ186" s="99"/>
      <c r="CR186" s="99"/>
      <c r="CS186" s="99"/>
      <c r="CT186" s="99"/>
      <c r="CU186" s="99"/>
      <c r="CV186" s="99"/>
      <c r="CW186" s="99"/>
      <c r="CX186" s="99"/>
    </row>
    <row r="187" spans="1:102" ht="12" customHeight="1" x14ac:dyDescent="0.2">
      <c r="A187" s="108">
        <v>4</v>
      </c>
      <c r="B187" s="108" t="s">
        <v>0</v>
      </c>
      <c r="C187" s="107"/>
      <c r="D187" s="107"/>
      <c r="E187" s="107"/>
      <c r="F187" s="107"/>
      <c r="G187" s="102"/>
      <c r="H187" s="188"/>
      <c r="I187" s="188">
        <f t="shared" si="20"/>
        <v>18.841529778963846</v>
      </c>
      <c r="J187" s="188"/>
      <c r="K187" s="188"/>
      <c r="L187" s="189"/>
      <c r="N187" s="190"/>
      <c r="O187" s="190"/>
      <c r="Q187" s="99"/>
      <c r="R187" s="97">
        <f t="shared" si="21"/>
        <v>18.841529778963846</v>
      </c>
      <c r="S187" s="99"/>
      <c r="T187" s="99"/>
      <c r="U187" s="99"/>
      <c r="V187" s="99"/>
      <c r="W187" s="99"/>
      <c r="X187" s="99"/>
      <c r="Y187" s="99"/>
      <c r="Z187" s="99"/>
      <c r="AA187" s="99"/>
      <c r="AB187" s="99"/>
      <c r="AC187" s="99"/>
      <c r="AD187" s="99"/>
      <c r="AE187" s="99"/>
      <c r="AF187" s="99"/>
      <c r="AG187" s="99"/>
      <c r="AH187" s="99"/>
      <c r="AI187" s="99"/>
      <c r="AJ187" s="99"/>
      <c r="AK187" s="99"/>
      <c r="AL187" s="99"/>
      <c r="AM187" s="99"/>
      <c r="AN187" s="99"/>
      <c r="AO187" s="99"/>
      <c r="AP187" s="99"/>
      <c r="AQ187" s="99"/>
      <c r="AR187" s="99"/>
      <c r="AS187" s="99"/>
      <c r="AT187" s="99"/>
      <c r="AV187" s="99"/>
      <c r="AW187" s="99"/>
      <c r="AX187" s="99"/>
      <c r="AY187" s="99"/>
      <c r="AZ187" s="99"/>
      <c r="BA187" s="99"/>
      <c r="BB187" s="99"/>
      <c r="BC187" s="99"/>
      <c r="BD187" s="99"/>
      <c r="BE187" s="99"/>
      <c r="BF187" s="99"/>
      <c r="BG187" s="99"/>
      <c r="BH187" s="99"/>
      <c r="BI187" s="99"/>
      <c r="BJ187" s="99"/>
      <c r="BK187" s="99"/>
      <c r="BL187" s="99"/>
      <c r="BM187" s="99"/>
      <c r="BN187" s="99"/>
      <c r="BO187" s="99"/>
      <c r="BP187" s="99"/>
      <c r="BQ187" s="99"/>
      <c r="BR187" s="99"/>
      <c r="BS187" s="99"/>
      <c r="BT187" s="99"/>
      <c r="BU187" s="99"/>
      <c r="BV187" s="99"/>
      <c r="BW187" s="99"/>
      <c r="CL187" s="99"/>
      <c r="CM187" s="99"/>
      <c r="CN187" s="99"/>
      <c r="CO187" s="99"/>
      <c r="CP187" s="99"/>
      <c r="CQ187" s="99"/>
      <c r="CR187" s="99"/>
      <c r="CS187" s="99"/>
      <c r="CT187" s="99"/>
      <c r="CU187" s="99"/>
      <c r="CV187" s="99"/>
      <c r="CW187" s="99"/>
      <c r="CX187" s="99"/>
    </row>
    <row r="188" spans="1:102" ht="12" customHeight="1" x14ac:dyDescent="0.2">
      <c r="A188" s="108">
        <v>5</v>
      </c>
      <c r="B188" s="108" t="s">
        <v>16</v>
      </c>
      <c r="C188" s="107"/>
      <c r="D188" s="107"/>
      <c r="E188" s="107"/>
      <c r="F188" s="107"/>
      <c r="G188" s="102"/>
      <c r="H188" s="188"/>
      <c r="I188" s="188">
        <f t="shared" si="20"/>
        <v>1.4077204679367723</v>
      </c>
      <c r="J188" s="188"/>
      <c r="K188" s="188"/>
      <c r="L188" s="189"/>
      <c r="N188" s="190"/>
      <c r="O188" s="190"/>
      <c r="Q188" s="99"/>
      <c r="R188" s="97">
        <f t="shared" si="21"/>
        <v>1.4077204679367723</v>
      </c>
      <c r="S188" s="99"/>
      <c r="T188" s="99"/>
      <c r="U188" s="99"/>
      <c r="V188" s="99"/>
      <c r="W188" s="99"/>
      <c r="X188" s="99"/>
      <c r="Y188" s="99"/>
      <c r="Z188" s="99"/>
      <c r="AA188" s="99"/>
      <c r="AB188" s="99"/>
      <c r="AC188" s="99"/>
      <c r="AD188" s="99"/>
      <c r="AE188" s="99"/>
      <c r="AF188" s="99"/>
      <c r="AG188" s="99"/>
      <c r="AH188" s="99"/>
      <c r="AI188" s="99"/>
      <c r="AJ188" s="99"/>
      <c r="AK188" s="99"/>
      <c r="AL188" s="99"/>
      <c r="AM188" s="99"/>
      <c r="AN188" s="99"/>
      <c r="AO188" s="99"/>
      <c r="AP188" s="99"/>
      <c r="AQ188" s="99"/>
      <c r="AR188" s="99"/>
      <c r="AS188" s="99"/>
      <c r="AT188" s="99"/>
      <c r="AV188" s="99"/>
      <c r="AW188" s="99"/>
      <c r="AX188" s="99"/>
      <c r="AY188" s="99"/>
      <c r="AZ188" s="99"/>
      <c r="BA188" s="99"/>
      <c r="BB188" s="99"/>
      <c r="BC188" s="99"/>
      <c r="BD188" s="99"/>
      <c r="BE188" s="99"/>
      <c r="BF188" s="99"/>
      <c r="BG188" s="99"/>
      <c r="BH188" s="99"/>
      <c r="BI188" s="99"/>
      <c r="BJ188" s="99"/>
      <c r="BK188" s="99"/>
      <c r="BL188" s="99"/>
      <c r="BM188" s="99"/>
      <c r="BN188" s="99"/>
      <c r="BO188" s="99"/>
      <c r="BP188" s="99"/>
      <c r="BQ188" s="99"/>
      <c r="BR188" s="99"/>
      <c r="BS188" s="99"/>
      <c r="BT188" s="99"/>
      <c r="BU188" s="99"/>
      <c r="BV188" s="99"/>
      <c r="BW188" s="99"/>
      <c r="CL188" s="99"/>
      <c r="CM188" s="99"/>
      <c r="CN188" s="99"/>
      <c r="CO188" s="99"/>
      <c r="CP188" s="99"/>
      <c r="CQ188" s="99"/>
      <c r="CR188" s="99"/>
      <c r="CS188" s="99"/>
      <c r="CT188" s="99"/>
      <c r="CU188" s="99"/>
      <c r="CV188" s="99"/>
      <c r="CW188" s="99"/>
      <c r="CX188" s="99"/>
    </row>
    <row r="189" spans="1:102" ht="12" customHeight="1" x14ac:dyDescent="0.2">
      <c r="A189" s="104">
        <v>6</v>
      </c>
      <c r="B189" s="104" t="s">
        <v>18</v>
      </c>
      <c r="C189" s="107">
        <v>196.94141055576424</v>
      </c>
      <c r="D189" s="107">
        <v>3.93</v>
      </c>
      <c r="E189" s="107">
        <v>10.07</v>
      </c>
      <c r="F189" s="107">
        <v>-10.79997158887528</v>
      </c>
      <c r="G189" s="102"/>
      <c r="H189" s="188">
        <f t="shared" si="19"/>
        <v>64.470240658965707</v>
      </c>
      <c r="I189" s="188">
        <f t="shared" si="20"/>
        <v>17.670169300322652</v>
      </c>
      <c r="J189" s="188">
        <v>196.94141055576424</v>
      </c>
      <c r="K189" s="188">
        <v>-10.79997158887528</v>
      </c>
      <c r="L189" s="189">
        <f>O174/H189</f>
        <v>0.79846515435345911</v>
      </c>
      <c r="N189" s="190">
        <v>3.2386620000000002</v>
      </c>
      <c r="O189" s="190">
        <f>H189-N189</f>
        <v>61.231578658965709</v>
      </c>
      <c r="Q189" s="99"/>
      <c r="R189" s="97">
        <f t="shared" si="21"/>
        <v>268.2818489261773</v>
      </c>
      <c r="S189" s="99"/>
      <c r="T189" s="99"/>
      <c r="U189" s="99"/>
      <c r="V189" s="99"/>
      <c r="W189" s="99"/>
      <c r="X189" s="99"/>
      <c r="Y189" s="99"/>
      <c r="Z189" s="99"/>
      <c r="AA189" s="99"/>
      <c r="AB189" s="99"/>
      <c r="AC189" s="99"/>
      <c r="AD189" s="99"/>
      <c r="AE189" s="99"/>
      <c r="AF189" s="99"/>
      <c r="AG189" s="99"/>
      <c r="AH189" s="99"/>
      <c r="AI189" s="99"/>
      <c r="AJ189" s="99"/>
      <c r="AK189" s="99"/>
      <c r="AL189" s="99"/>
      <c r="AM189" s="99"/>
      <c r="AN189" s="99"/>
      <c r="AO189" s="99"/>
      <c r="AP189" s="99"/>
      <c r="AQ189" s="99"/>
      <c r="AR189" s="99"/>
      <c r="AS189" s="99"/>
      <c r="AT189" s="99"/>
      <c r="AV189" s="99"/>
      <c r="AW189" s="99"/>
      <c r="AX189" s="99"/>
      <c r="AY189" s="99"/>
      <c r="AZ189" s="99"/>
      <c r="BA189" s="99"/>
      <c r="BB189" s="99"/>
      <c r="BC189" s="99"/>
      <c r="BD189" s="99"/>
      <c r="BE189" s="99"/>
      <c r="BF189" s="99"/>
      <c r="BG189" s="99"/>
      <c r="BH189" s="99"/>
      <c r="BI189" s="99"/>
      <c r="BJ189" s="99"/>
      <c r="BK189" s="99"/>
      <c r="BL189" s="99"/>
      <c r="BM189" s="99"/>
      <c r="BN189" s="99"/>
      <c r="BO189" s="99"/>
      <c r="BP189" s="99"/>
      <c r="BQ189" s="99"/>
      <c r="BR189" s="99"/>
      <c r="BS189" s="99"/>
      <c r="BT189" s="99"/>
      <c r="BU189" s="99"/>
      <c r="BV189" s="99"/>
      <c r="BW189" s="99"/>
      <c r="CL189" s="99"/>
      <c r="CM189" s="99"/>
      <c r="CN189" s="99"/>
      <c r="CO189" s="99"/>
      <c r="CP189" s="99"/>
      <c r="CQ189" s="99"/>
      <c r="CR189" s="99"/>
      <c r="CS189" s="99"/>
      <c r="CT189" s="99"/>
      <c r="CU189" s="99"/>
      <c r="CV189" s="99"/>
      <c r="CW189" s="99"/>
      <c r="CX189" s="99"/>
    </row>
    <row r="190" spans="1:102" ht="12" customHeight="1" x14ac:dyDescent="0.2">
      <c r="A190" s="108">
        <v>7</v>
      </c>
      <c r="B190" s="108" t="s">
        <v>19</v>
      </c>
      <c r="C190" s="107"/>
      <c r="D190" s="107"/>
      <c r="E190" s="107"/>
      <c r="F190" s="107"/>
      <c r="G190" s="102"/>
      <c r="H190" s="188"/>
      <c r="I190" s="188">
        <f t="shared" si="20"/>
        <v>58.996426126467426</v>
      </c>
      <c r="J190" s="188"/>
      <c r="K190" s="188"/>
      <c r="L190" s="189"/>
      <c r="N190" s="190"/>
      <c r="O190" s="190"/>
      <c r="Q190" s="99"/>
      <c r="R190" s="97">
        <f t="shared" si="21"/>
        <v>58.996426126467426</v>
      </c>
      <c r="S190" s="99"/>
      <c r="T190" s="99"/>
      <c r="U190" s="99"/>
      <c r="V190" s="99"/>
      <c r="W190" s="99"/>
      <c r="X190" s="99"/>
      <c r="Y190" s="99"/>
      <c r="Z190" s="99"/>
      <c r="AA190" s="99"/>
      <c r="AB190" s="99"/>
      <c r="AC190" s="99"/>
      <c r="AD190" s="99"/>
      <c r="AE190" s="99"/>
      <c r="AF190" s="99"/>
      <c r="AG190" s="99"/>
      <c r="AH190" s="99"/>
      <c r="AI190" s="99"/>
      <c r="AJ190" s="99"/>
      <c r="AK190" s="99"/>
      <c r="AL190" s="99"/>
      <c r="AM190" s="99"/>
      <c r="AN190" s="99"/>
      <c r="AO190" s="99"/>
      <c r="AP190" s="99"/>
      <c r="AQ190" s="99"/>
      <c r="AR190" s="99"/>
      <c r="AS190" s="99"/>
      <c r="AT190" s="99"/>
      <c r="AV190" s="99"/>
      <c r="AW190" s="99"/>
      <c r="AX190" s="99"/>
      <c r="AY190" s="99"/>
      <c r="AZ190" s="99"/>
      <c r="BA190" s="99"/>
      <c r="BB190" s="99"/>
      <c r="BC190" s="99"/>
      <c r="BD190" s="99"/>
      <c r="BE190" s="99"/>
      <c r="BF190" s="99"/>
      <c r="BG190" s="99"/>
      <c r="BH190" s="99"/>
      <c r="BI190" s="99"/>
      <c r="BJ190" s="99"/>
      <c r="BK190" s="99"/>
      <c r="BL190" s="99"/>
      <c r="BM190" s="99"/>
      <c r="BN190" s="99"/>
      <c r="BO190" s="99"/>
      <c r="BP190" s="99"/>
      <c r="BQ190" s="99"/>
      <c r="BR190" s="99"/>
      <c r="BS190" s="99"/>
      <c r="BT190" s="99"/>
      <c r="BU190" s="99"/>
      <c r="BV190" s="99"/>
      <c r="BW190" s="99"/>
      <c r="CL190" s="99"/>
      <c r="CM190" s="99"/>
      <c r="CN190" s="99"/>
      <c r="CO190" s="99"/>
      <c r="CP190" s="99"/>
      <c r="CQ190" s="99"/>
      <c r="CR190" s="99"/>
      <c r="CS190" s="99"/>
      <c r="CT190" s="99"/>
      <c r="CU190" s="99"/>
      <c r="CV190" s="99"/>
      <c r="CW190" s="99"/>
      <c r="CX190" s="99"/>
    </row>
    <row r="191" spans="1:102" ht="12" customHeight="1" x14ac:dyDescent="0.2">
      <c r="A191" s="108">
        <v>8</v>
      </c>
      <c r="B191" s="108" t="s">
        <v>23</v>
      </c>
      <c r="C191" s="107"/>
      <c r="D191" s="107"/>
      <c r="E191" s="107"/>
      <c r="F191" s="107"/>
      <c r="G191" s="102"/>
      <c r="H191" s="188"/>
      <c r="I191" s="188">
        <f t="shared" si="20"/>
        <v>16.313209094340074</v>
      </c>
      <c r="J191" s="188"/>
      <c r="K191" s="188"/>
      <c r="L191" s="189"/>
      <c r="N191" s="190"/>
      <c r="O191" s="190"/>
      <c r="Q191" s="99"/>
      <c r="R191" s="97">
        <f t="shared" si="21"/>
        <v>16.313209094340074</v>
      </c>
      <c r="S191" s="99"/>
      <c r="T191" s="99"/>
      <c r="U191" s="99"/>
      <c r="V191" s="99"/>
      <c r="W191" s="99"/>
      <c r="X191" s="99"/>
      <c r="Y191" s="99"/>
      <c r="Z191" s="99"/>
      <c r="AA191" s="99"/>
      <c r="AB191" s="99"/>
      <c r="AC191" s="99"/>
      <c r="AD191" s="99"/>
      <c r="AE191" s="99"/>
      <c r="AF191" s="99"/>
      <c r="AG191" s="99"/>
      <c r="AH191" s="99"/>
      <c r="AI191" s="99"/>
      <c r="AJ191" s="99"/>
      <c r="AK191" s="99"/>
      <c r="AL191" s="99"/>
      <c r="AM191" s="99"/>
      <c r="AN191" s="99"/>
      <c r="AO191" s="99"/>
      <c r="AP191" s="99"/>
      <c r="AQ191" s="99"/>
      <c r="AR191" s="99"/>
      <c r="AS191" s="99"/>
      <c r="AT191" s="99"/>
      <c r="AV191" s="99"/>
      <c r="AW191" s="99"/>
      <c r="AX191" s="99"/>
      <c r="AY191" s="99"/>
      <c r="AZ191" s="99"/>
      <c r="BA191" s="99"/>
      <c r="BB191" s="99"/>
      <c r="BC191" s="99"/>
      <c r="BD191" s="99"/>
      <c r="BE191" s="99"/>
      <c r="BF191" s="99"/>
      <c r="BG191" s="99"/>
      <c r="BH191" s="99"/>
      <c r="BI191" s="99"/>
      <c r="BJ191" s="99"/>
      <c r="BK191" s="99"/>
      <c r="BL191" s="99"/>
      <c r="BM191" s="99"/>
      <c r="BN191" s="99"/>
      <c r="BO191" s="99"/>
      <c r="BP191" s="99"/>
      <c r="BQ191" s="99"/>
      <c r="BR191" s="99"/>
      <c r="BS191" s="99"/>
      <c r="BT191" s="99"/>
      <c r="BU191" s="99"/>
      <c r="BV191" s="99"/>
      <c r="BW191" s="99"/>
      <c r="CL191" s="99"/>
      <c r="CM191" s="99"/>
      <c r="CN191" s="99"/>
      <c r="CO191" s="99"/>
      <c r="CP191" s="99"/>
      <c r="CQ191" s="99"/>
      <c r="CR191" s="99"/>
      <c r="CS191" s="99"/>
      <c r="CT191" s="99"/>
      <c r="CU191" s="99"/>
      <c r="CV191" s="99"/>
      <c r="CW191" s="99"/>
      <c r="CX191" s="99"/>
    </row>
    <row r="192" spans="1:102" ht="12" customHeight="1" x14ac:dyDescent="0.2">
      <c r="A192" s="108">
        <v>9</v>
      </c>
      <c r="B192" s="108" t="s">
        <v>24</v>
      </c>
      <c r="C192" s="107"/>
      <c r="D192" s="107"/>
      <c r="E192" s="107"/>
      <c r="F192" s="107"/>
      <c r="G192" s="102"/>
      <c r="H192" s="188"/>
      <c r="I192" s="188">
        <f t="shared" si="20"/>
        <v>3.2485424520905011</v>
      </c>
      <c r="J192" s="188"/>
      <c r="K192" s="188"/>
      <c r="L192" s="189"/>
      <c r="N192" s="190"/>
      <c r="O192" s="190"/>
      <c r="Q192" s="99"/>
      <c r="R192" s="97">
        <f t="shared" si="21"/>
        <v>3.2485424520905011</v>
      </c>
      <c r="AE192" s="99"/>
      <c r="AF192" s="99"/>
      <c r="AG192" s="99"/>
      <c r="AH192" s="99"/>
      <c r="AI192" s="99"/>
      <c r="AJ192" s="99"/>
      <c r="AK192" s="99"/>
      <c r="AL192" s="99"/>
      <c r="AM192" s="99"/>
      <c r="AN192" s="99"/>
      <c r="AO192" s="99"/>
      <c r="AP192" s="99"/>
      <c r="AQ192" s="99"/>
      <c r="AR192" s="99"/>
      <c r="AS192" s="99"/>
      <c r="AT192" s="99"/>
      <c r="AV192" s="99"/>
      <c r="AW192" s="99"/>
      <c r="AX192" s="99"/>
      <c r="AY192" s="99"/>
      <c r="AZ192" s="99"/>
      <c r="BA192" s="99"/>
      <c r="BB192" s="99"/>
      <c r="BC192" s="99"/>
      <c r="BD192" s="99"/>
      <c r="BE192" s="99"/>
      <c r="BF192" s="99"/>
      <c r="BG192" s="99"/>
      <c r="BH192" s="99"/>
      <c r="BI192" s="99"/>
      <c r="BJ192" s="99"/>
      <c r="BK192" s="99"/>
      <c r="BL192" s="99"/>
      <c r="BM192" s="99"/>
      <c r="BN192" s="99"/>
      <c r="BO192" s="99"/>
      <c r="BP192" s="99"/>
      <c r="BQ192" s="99"/>
      <c r="BR192" s="99"/>
      <c r="BS192" s="99"/>
      <c r="BT192" s="99"/>
      <c r="BU192" s="99"/>
      <c r="BV192" s="99"/>
      <c r="BW192" s="99"/>
      <c r="CL192" s="99"/>
      <c r="CM192" s="99"/>
      <c r="CN192" s="99"/>
      <c r="CO192" s="99"/>
      <c r="CP192" s="99"/>
      <c r="CQ192" s="99"/>
      <c r="CR192" s="99"/>
      <c r="CS192" s="99"/>
      <c r="CT192" s="99"/>
      <c r="CU192" s="99"/>
      <c r="CV192" s="99"/>
      <c r="CW192" s="99"/>
      <c r="CX192" s="99"/>
    </row>
    <row r="193" spans="1:102" ht="12" customHeight="1" x14ac:dyDescent="0.2">
      <c r="A193" s="104">
        <v>10</v>
      </c>
      <c r="B193" s="104" t="s">
        <v>25</v>
      </c>
      <c r="C193" s="107">
        <v>-6.4000000000000001E-2</v>
      </c>
      <c r="D193" s="107">
        <v>50.32</v>
      </c>
      <c r="E193" s="107">
        <v>76.72</v>
      </c>
      <c r="F193" s="107">
        <v>-26.559080214156964</v>
      </c>
      <c r="G193" s="102"/>
      <c r="H193" s="188">
        <f t="shared" si="19"/>
        <v>184.34001432702308</v>
      </c>
      <c r="I193" s="188">
        <f t="shared" si="20"/>
        <v>12.05562874812424</v>
      </c>
      <c r="J193" s="188">
        <v>-6.4000000000000001E-2</v>
      </c>
      <c r="K193" s="188">
        <v>-26.559080214156964</v>
      </c>
      <c r="L193" s="189">
        <f>O178/H193</f>
        <v>0.35245746597242517</v>
      </c>
      <c r="N193" s="190">
        <v>5.0973228299999995</v>
      </c>
      <c r="O193" s="190">
        <f>H193-N193</f>
        <v>179.24269149702309</v>
      </c>
      <c r="Q193" s="99"/>
      <c r="R193" s="97">
        <f t="shared" si="21"/>
        <v>169.77256286099038</v>
      </c>
      <c r="AE193" s="99"/>
      <c r="AF193" s="99"/>
      <c r="AG193" s="99"/>
      <c r="AH193" s="99"/>
      <c r="AI193" s="99"/>
      <c r="AJ193" s="99"/>
      <c r="AK193" s="99"/>
      <c r="AL193" s="99"/>
      <c r="AM193" s="99"/>
      <c r="AN193" s="99"/>
      <c r="AO193" s="99"/>
      <c r="AP193" s="99"/>
      <c r="AQ193" s="99"/>
      <c r="AR193" s="99"/>
      <c r="AS193" s="99"/>
      <c r="AT193" s="99"/>
      <c r="AV193" s="99"/>
      <c r="AW193" s="99"/>
      <c r="AX193" s="99"/>
      <c r="AY193" s="99"/>
      <c r="AZ193" s="99"/>
      <c r="BA193" s="99"/>
      <c r="BB193" s="99"/>
      <c r="BC193" s="99"/>
      <c r="BD193" s="99"/>
      <c r="BE193" s="99"/>
      <c r="BF193" s="99"/>
      <c r="BG193" s="99"/>
      <c r="BH193" s="99"/>
      <c r="BI193" s="99"/>
      <c r="BJ193" s="99"/>
      <c r="BK193" s="99"/>
      <c r="BL193" s="99"/>
      <c r="BM193" s="99"/>
      <c r="BN193" s="99"/>
      <c r="BO193" s="99"/>
      <c r="BP193" s="99"/>
      <c r="BQ193" s="99"/>
      <c r="BR193" s="99"/>
      <c r="BS193" s="99"/>
      <c r="BT193" s="99"/>
      <c r="BU193" s="99"/>
      <c r="BV193" s="99"/>
      <c r="BW193" s="99"/>
      <c r="CL193" s="99"/>
      <c r="CM193" s="99"/>
      <c r="CN193" s="99"/>
      <c r="CO193" s="99"/>
      <c r="CP193" s="99"/>
      <c r="CQ193" s="99"/>
      <c r="CR193" s="99"/>
      <c r="CS193" s="99"/>
      <c r="CT193" s="99"/>
      <c r="CU193" s="99"/>
      <c r="CV193" s="99"/>
      <c r="CW193" s="99"/>
      <c r="CX193" s="99"/>
    </row>
    <row r="194" spans="1:102" ht="12" customHeight="1" x14ac:dyDescent="0.2">
      <c r="A194" s="104">
        <v>11</v>
      </c>
      <c r="B194" s="104" t="s">
        <v>26</v>
      </c>
      <c r="C194" s="107">
        <v>-0.47399999999999998</v>
      </c>
      <c r="D194" s="107">
        <v>28.905999999999999</v>
      </c>
      <c r="E194" s="107">
        <v>26.268999999999998</v>
      </c>
      <c r="F194" s="107">
        <v>6.239075106459083</v>
      </c>
      <c r="G194" s="102"/>
      <c r="H194" s="188">
        <f t="shared" si="19"/>
        <v>110.10745687398743</v>
      </c>
      <c r="I194" s="188">
        <f t="shared" si="20"/>
        <v>5.3992735113622023</v>
      </c>
      <c r="J194" s="188">
        <v>-0.47399999999999998</v>
      </c>
      <c r="K194" s="188">
        <v>6.239075106459083</v>
      </c>
      <c r="L194" s="189">
        <f>O179/H194</f>
        <v>0.52275621023434671</v>
      </c>
      <c r="N194" s="190"/>
      <c r="O194" s="190"/>
      <c r="Q194" s="99"/>
      <c r="R194" s="97">
        <f t="shared" si="21"/>
        <v>121.27180549180871</v>
      </c>
      <c r="AE194" s="99"/>
      <c r="AF194" s="99"/>
      <c r="AG194" s="99"/>
      <c r="AH194" s="99"/>
      <c r="AI194" s="99"/>
      <c r="AJ194" s="99"/>
      <c r="AK194" s="99"/>
      <c r="AL194" s="99"/>
      <c r="AM194" s="99"/>
      <c r="AN194" s="99"/>
      <c r="AO194" s="99"/>
      <c r="AP194" s="99"/>
      <c r="AQ194" s="99"/>
      <c r="AR194" s="99"/>
      <c r="AS194" s="99"/>
      <c r="AT194" s="99"/>
      <c r="AV194" s="99"/>
      <c r="AW194" s="99"/>
      <c r="AX194" s="99"/>
      <c r="AY194" s="99"/>
      <c r="AZ194" s="99"/>
      <c r="BA194" s="99"/>
      <c r="BB194" s="99"/>
      <c r="BC194" s="99"/>
      <c r="BD194" s="99"/>
      <c r="BE194" s="99"/>
      <c r="BF194" s="99"/>
      <c r="BG194" s="99"/>
      <c r="BH194" s="99"/>
      <c r="BI194" s="99"/>
      <c r="BJ194" s="99"/>
      <c r="BK194" s="99"/>
      <c r="BL194" s="99"/>
      <c r="BM194" s="99"/>
      <c r="BN194" s="99"/>
      <c r="BO194" s="99"/>
      <c r="BP194" s="99"/>
      <c r="BQ194" s="99"/>
      <c r="BR194" s="99"/>
      <c r="BS194" s="99"/>
      <c r="BT194" s="99"/>
      <c r="BU194" s="99"/>
      <c r="BV194" s="99"/>
      <c r="BW194" s="99"/>
      <c r="CL194" s="99"/>
      <c r="CM194" s="99"/>
      <c r="CN194" s="99"/>
      <c r="CO194" s="99"/>
      <c r="CP194" s="99"/>
      <c r="CQ194" s="99"/>
      <c r="CR194" s="99"/>
      <c r="CS194" s="99"/>
      <c r="CT194" s="99"/>
      <c r="CU194" s="99"/>
      <c r="CV194" s="99"/>
      <c r="CW194" s="99"/>
      <c r="CX194" s="99"/>
    </row>
    <row r="195" spans="1:102" ht="12" customHeight="1" x14ac:dyDescent="0.2">
      <c r="A195" s="104">
        <v>12</v>
      </c>
      <c r="B195" s="104" t="s">
        <v>27</v>
      </c>
      <c r="C195" s="107"/>
      <c r="D195" s="107"/>
      <c r="E195" s="107"/>
      <c r="F195" s="107"/>
      <c r="G195" s="102"/>
      <c r="H195" s="188">
        <f t="shared" si="19"/>
        <v>34.384621370613175</v>
      </c>
      <c r="I195" s="188">
        <f t="shared" si="20"/>
        <v>0</v>
      </c>
      <c r="J195" s="188"/>
      <c r="K195" s="188"/>
      <c r="L195" s="189">
        <f>O180/H195</f>
        <v>1</v>
      </c>
      <c r="N195" s="190">
        <v>12.369251200000001</v>
      </c>
      <c r="O195" s="190">
        <f>H195-N195</f>
        <v>22.015370170613174</v>
      </c>
      <c r="Q195" s="99"/>
      <c r="R195" s="97">
        <f t="shared" si="21"/>
        <v>34.384621370613175</v>
      </c>
      <c r="AE195" s="99"/>
      <c r="AF195" s="99"/>
      <c r="AG195" s="99"/>
      <c r="AH195" s="99"/>
      <c r="AI195" s="99"/>
      <c r="AJ195" s="99"/>
      <c r="AK195" s="99"/>
      <c r="AL195" s="99"/>
      <c r="AM195" s="99"/>
      <c r="AN195" s="99"/>
      <c r="AO195" s="99"/>
      <c r="AP195" s="99"/>
      <c r="AQ195" s="99"/>
      <c r="AR195" s="99"/>
      <c r="AS195" s="99"/>
      <c r="AT195" s="99"/>
      <c r="AV195" s="99"/>
      <c r="AW195" s="99"/>
      <c r="AX195" s="99"/>
      <c r="AY195" s="99"/>
      <c r="AZ195" s="99"/>
      <c r="BA195" s="99"/>
      <c r="BB195" s="99"/>
      <c r="BC195" s="99"/>
      <c r="BD195" s="99"/>
      <c r="BE195" s="99"/>
      <c r="BF195" s="99"/>
      <c r="BG195" s="99"/>
      <c r="BH195" s="99"/>
      <c r="BI195" s="99"/>
      <c r="BJ195" s="99"/>
      <c r="BK195" s="99"/>
      <c r="BL195" s="99"/>
      <c r="BM195" s="99"/>
      <c r="BN195" s="99"/>
      <c r="BO195" s="99"/>
      <c r="BP195" s="99"/>
      <c r="BQ195" s="99"/>
      <c r="BR195" s="99"/>
      <c r="BS195" s="99"/>
      <c r="BT195" s="99"/>
      <c r="BU195" s="99"/>
      <c r="BV195" s="99"/>
      <c r="BW195" s="99"/>
      <c r="CL195" s="99"/>
      <c r="CM195" s="99"/>
      <c r="CN195" s="99"/>
      <c r="CO195" s="99"/>
      <c r="CP195" s="99"/>
      <c r="CQ195" s="99"/>
      <c r="CR195" s="99"/>
      <c r="CS195" s="99"/>
      <c r="CT195" s="99"/>
      <c r="CU195" s="99"/>
      <c r="CV195" s="99"/>
      <c r="CW195" s="99"/>
      <c r="CX195" s="99"/>
    </row>
    <row r="196" spans="1:102" ht="12" customHeight="1" x14ac:dyDescent="0.2">
      <c r="A196" s="104">
        <v>13</v>
      </c>
      <c r="B196" s="104" t="s">
        <v>28</v>
      </c>
      <c r="C196" s="107">
        <v>193.12</v>
      </c>
      <c r="D196" s="107">
        <v>9.33</v>
      </c>
      <c r="E196" s="107">
        <v>26.57</v>
      </c>
      <c r="F196" s="107">
        <v>30.7583237384151</v>
      </c>
      <c r="G196" s="102"/>
      <c r="H196" s="188">
        <f t="shared" si="19"/>
        <v>41.018401518107034</v>
      </c>
      <c r="I196" s="188">
        <f t="shared" si="20"/>
        <v>3.762523126685192</v>
      </c>
      <c r="J196" s="188">
        <v>193.12</v>
      </c>
      <c r="K196" s="188">
        <v>30.7583237384151</v>
      </c>
      <c r="L196" s="189">
        <f>O181/H196</f>
        <v>0.18955886212861525</v>
      </c>
      <c r="N196" s="190"/>
      <c r="O196" s="190"/>
      <c r="Q196" s="99"/>
      <c r="R196" s="97">
        <f t="shared" si="21"/>
        <v>268.65924838320734</v>
      </c>
      <c r="AE196" s="99"/>
      <c r="AF196" s="99"/>
      <c r="AG196" s="99"/>
      <c r="AH196" s="99"/>
      <c r="AI196" s="99"/>
      <c r="AJ196" s="99"/>
      <c r="AK196" s="99"/>
      <c r="AL196" s="99"/>
      <c r="AM196" s="99"/>
      <c r="AN196" s="99"/>
      <c r="AO196" s="99"/>
      <c r="AP196" s="99"/>
      <c r="AQ196" s="99"/>
      <c r="AR196" s="99"/>
      <c r="AS196" s="99"/>
      <c r="AT196" s="99"/>
      <c r="AV196" s="99"/>
      <c r="AW196" s="99"/>
      <c r="AX196" s="99"/>
      <c r="AY196" s="99"/>
      <c r="AZ196" s="99"/>
      <c r="BA196" s="99"/>
      <c r="BB196" s="99"/>
      <c r="BC196" s="99"/>
      <c r="BD196" s="99"/>
      <c r="BE196" s="99"/>
      <c r="BF196" s="99"/>
      <c r="BG196" s="99"/>
      <c r="BH196" s="99"/>
      <c r="BI196" s="99"/>
      <c r="BJ196" s="99"/>
      <c r="BK196" s="99"/>
      <c r="BL196" s="99"/>
      <c r="BM196" s="99"/>
      <c r="BN196" s="99"/>
      <c r="BO196" s="99"/>
      <c r="BP196" s="99"/>
      <c r="BQ196" s="99"/>
      <c r="BR196" s="99"/>
      <c r="BS196" s="99"/>
      <c r="BT196" s="99"/>
      <c r="BU196" s="99"/>
      <c r="BV196" s="99"/>
      <c r="BW196" s="99"/>
      <c r="CL196" s="99"/>
      <c r="CM196" s="99"/>
      <c r="CN196" s="99"/>
      <c r="CO196" s="99"/>
      <c r="CP196" s="99"/>
      <c r="CQ196" s="99"/>
      <c r="CR196" s="99"/>
      <c r="CS196" s="99"/>
      <c r="CT196" s="99"/>
      <c r="CU196" s="99"/>
      <c r="CV196" s="99"/>
      <c r="CW196" s="99"/>
      <c r="CX196" s="99"/>
    </row>
    <row r="197" spans="1:102" ht="12" customHeight="1" x14ac:dyDescent="0.2">
      <c r="A197" s="99"/>
      <c r="B197" s="99"/>
      <c r="C197" s="99"/>
      <c r="D197" s="99"/>
      <c r="E197" s="99"/>
      <c r="F197" s="99"/>
      <c r="G197" s="191" t="s">
        <v>107</v>
      </c>
      <c r="H197" s="192">
        <f>SUM(H184:H196)</f>
        <v>1128.2619579480227</v>
      </c>
      <c r="I197" s="192">
        <f>SUM(I184:I196)</f>
        <v>200.20477490951686</v>
      </c>
      <c r="J197" s="192">
        <f>SUM(J184:J196)</f>
        <v>554.41341055576424</v>
      </c>
      <c r="K197" s="192">
        <f>SUM(K184:K196)</f>
        <v>-382.93238780254785</v>
      </c>
      <c r="L197" s="99"/>
      <c r="M197" s="99"/>
      <c r="N197" s="99"/>
      <c r="O197" s="99"/>
      <c r="P197" s="99"/>
      <c r="Q197" s="99"/>
      <c r="R197" s="99"/>
      <c r="AE197" s="99"/>
      <c r="AF197" s="99"/>
      <c r="AG197" s="99"/>
      <c r="AH197" s="99"/>
      <c r="AI197" s="99"/>
      <c r="AJ197" s="99"/>
      <c r="AK197" s="99"/>
      <c r="AL197" s="99"/>
      <c r="AM197" s="99"/>
      <c r="AN197" s="99"/>
      <c r="AO197" s="99"/>
      <c r="AP197" s="99"/>
      <c r="AQ197" s="99"/>
      <c r="AR197" s="99"/>
      <c r="AS197" s="99"/>
      <c r="AT197" s="99"/>
      <c r="AV197" s="99"/>
      <c r="AW197" s="99"/>
      <c r="AX197" s="99"/>
      <c r="AY197" s="99"/>
      <c r="AZ197" s="99"/>
      <c r="BA197" s="99"/>
      <c r="BB197" s="99"/>
      <c r="BC197" s="99"/>
      <c r="BD197" s="99"/>
      <c r="BE197" s="99"/>
      <c r="BF197" s="99"/>
      <c r="BG197" s="99"/>
      <c r="BH197" s="99"/>
      <c r="BI197" s="99"/>
      <c r="BJ197" s="99"/>
      <c r="BK197" s="99"/>
      <c r="BL197" s="99"/>
      <c r="BM197" s="99"/>
      <c r="BN197" s="99"/>
      <c r="BO197" s="99"/>
      <c r="BP197" s="99"/>
      <c r="BQ197" s="99"/>
      <c r="BR197" s="99"/>
      <c r="BS197" s="99"/>
      <c r="BT197" s="99"/>
      <c r="BU197" s="99"/>
      <c r="BV197" s="99"/>
      <c r="BW197" s="99"/>
      <c r="CL197" s="99"/>
      <c r="CM197" s="99"/>
      <c r="CN197" s="99"/>
      <c r="CO197" s="99"/>
      <c r="CP197" s="99"/>
      <c r="CQ197" s="99"/>
      <c r="CR197" s="99"/>
      <c r="CS197" s="99"/>
      <c r="CT197" s="99"/>
      <c r="CU197" s="99"/>
      <c r="CV197" s="99"/>
      <c r="CW197" s="99"/>
      <c r="CX197" s="99"/>
    </row>
    <row r="198" spans="1:102" ht="12" customHeight="1" x14ac:dyDescent="0.2">
      <c r="A198" s="99"/>
      <c r="B198" s="99"/>
      <c r="C198" s="99"/>
      <c r="D198" s="99"/>
      <c r="E198" s="99"/>
      <c r="F198" s="99"/>
      <c r="G198" s="99"/>
      <c r="H198" s="99"/>
      <c r="I198" s="99"/>
      <c r="J198" s="99"/>
      <c r="K198" s="99"/>
      <c r="L198" s="99"/>
      <c r="M198" s="99"/>
      <c r="N198" s="99"/>
      <c r="O198" s="99"/>
      <c r="P198" s="99"/>
      <c r="Q198" s="99"/>
      <c r="R198" s="99"/>
      <c r="AE198" s="99"/>
      <c r="AF198" s="99"/>
      <c r="AG198" s="99"/>
      <c r="AH198" s="99"/>
      <c r="AI198" s="99"/>
      <c r="AJ198" s="99"/>
      <c r="AK198" s="99"/>
      <c r="AL198" s="99"/>
      <c r="AM198" s="99"/>
      <c r="AN198" s="99"/>
      <c r="AO198" s="99"/>
      <c r="AP198" s="99"/>
      <c r="AQ198" s="99"/>
      <c r="AR198" s="99"/>
      <c r="AS198" s="99"/>
      <c r="AT198" s="99"/>
      <c r="AV198" s="99"/>
      <c r="AW198" s="99"/>
      <c r="AX198" s="99"/>
      <c r="AY198" s="99"/>
      <c r="AZ198" s="99"/>
      <c r="BA198" s="99"/>
      <c r="BB198" s="99"/>
      <c r="BC198" s="99"/>
      <c r="BD198" s="99"/>
      <c r="BE198" s="99"/>
      <c r="BF198" s="99"/>
      <c r="BG198" s="99"/>
      <c r="BH198" s="99"/>
      <c r="BI198" s="99"/>
      <c r="BJ198" s="99"/>
      <c r="BK198" s="99"/>
      <c r="BL198" s="99"/>
      <c r="BM198" s="99"/>
      <c r="BN198" s="99"/>
      <c r="BO198" s="99"/>
      <c r="BP198" s="99"/>
      <c r="BQ198" s="99"/>
      <c r="BR198" s="99"/>
      <c r="BS198" s="99"/>
      <c r="BT198" s="99"/>
      <c r="BU198" s="99"/>
      <c r="BV198" s="99"/>
      <c r="BW198" s="99"/>
      <c r="CL198" s="99"/>
      <c r="CM198" s="99"/>
      <c r="CN198" s="99"/>
      <c r="CO198" s="99"/>
      <c r="CP198" s="99"/>
      <c r="CQ198" s="99"/>
      <c r="CR198" s="99"/>
      <c r="CS198" s="99"/>
      <c r="CT198" s="99"/>
      <c r="CU198" s="99"/>
      <c r="CV198" s="99"/>
      <c r="CW198" s="99"/>
      <c r="CX198" s="99"/>
    </row>
    <row r="199" spans="1:102" ht="12" customHeight="1" x14ac:dyDescent="0.2">
      <c r="B199" s="170" t="s">
        <v>208</v>
      </c>
      <c r="C199" s="102" t="s">
        <v>1</v>
      </c>
      <c r="D199" s="102" t="s">
        <v>2</v>
      </c>
      <c r="E199" s="102" t="s">
        <v>3</v>
      </c>
      <c r="F199" s="102" t="s">
        <v>4</v>
      </c>
      <c r="G199" s="102" t="s">
        <v>5</v>
      </c>
      <c r="H199" s="102" t="s">
        <v>6</v>
      </c>
      <c r="I199" s="102" t="s">
        <v>7</v>
      </c>
      <c r="J199" s="102" t="s">
        <v>8</v>
      </c>
      <c r="K199" s="102" t="s">
        <v>9</v>
      </c>
      <c r="L199" s="102" t="s">
        <v>10</v>
      </c>
      <c r="M199" s="102" t="s">
        <v>11</v>
      </c>
      <c r="N199" s="102" t="s">
        <v>12</v>
      </c>
      <c r="O199" s="99"/>
      <c r="P199" s="99"/>
      <c r="R199" s="170" t="s">
        <v>211</v>
      </c>
      <c r="S199" s="102" t="s">
        <v>1</v>
      </c>
      <c r="T199" s="102" t="s">
        <v>2</v>
      </c>
      <c r="U199" s="102" t="s">
        <v>3</v>
      </c>
      <c r="V199" s="102" t="s">
        <v>4</v>
      </c>
      <c r="W199" s="102" t="s">
        <v>5</v>
      </c>
      <c r="X199" s="102" t="s">
        <v>6</v>
      </c>
      <c r="Y199" s="102" t="s">
        <v>7</v>
      </c>
      <c r="Z199" s="102" t="s">
        <v>8</v>
      </c>
      <c r="AA199" s="102" t="s">
        <v>9</v>
      </c>
      <c r="AB199" s="102" t="s">
        <v>10</v>
      </c>
      <c r="AC199" s="102" t="s">
        <v>11</v>
      </c>
      <c r="AD199" s="102" t="s">
        <v>12</v>
      </c>
      <c r="AE199" s="99"/>
      <c r="AF199" s="99"/>
      <c r="AG199" s="99"/>
      <c r="AH199" s="99"/>
      <c r="AI199" s="99"/>
      <c r="AJ199" s="99"/>
      <c r="AK199" s="99"/>
      <c r="AL199" s="99"/>
      <c r="AM199" s="99"/>
      <c r="AN199" s="99"/>
      <c r="AO199" s="99"/>
      <c r="AP199" s="99"/>
      <c r="AQ199" s="99"/>
      <c r="AR199" s="99"/>
      <c r="AS199" s="99"/>
      <c r="AT199" s="99"/>
      <c r="AV199" s="99"/>
      <c r="AW199" s="99"/>
      <c r="AX199" s="99"/>
      <c r="AY199" s="99"/>
      <c r="AZ199" s="99"/>
      <c r="BA199" s="99"/>
      <c r="BB199" s="99"/>
      <c r="BC199" s="99"/>
      <c r="BD199" s="99"/>
      <c r="BE199" s="99"/>
      <c r="BF199" s="99"/>
      <c r="BG199" s="99"/>
      <c r="BH199" s="99"/>
      <c r="BI199" s="99"/>
      <c r="BJ199" s="99"/>
      <c r="BK199" s="99"/>
      <c r="BL199" s="99"/>
      <c r="BM199" s="99"/>
      <c r="BN199" s="99"/>
      <c r="BO199" s="99"/>
      <c r="BP199" s="99"/>
      <c r="BQ199" s="99"/>
      <c r="BR199" s="99"/>
      <c r="BS199" s="99"/>
      <c r="BT199" s="99"/>
      <c r="BU199" s="99"/>
      <c r="BV199" s="99"/>
      <c r="BW199" s="99"/>
      <c r="CL199" s="99"/>
      <c r="CM199" s="99"/>
      <c r="CN199" s="99"/>
      <c r="CO199" s="99"/>
      <c r="CP199" s="99"/>
      <c r="CQ199" s="99"/>
      <c r="CR199" s="99"/>
      <c r="CS199" s="99"/>
      <c r="CT199" s="99"/>
      <c r="CU199" s="99"/>
      <c r="CV199" s="99"/>
      <c r="CW199" s="99"/>
      <c r="CX199" s="99"/>
    </row>
    <row r="200" spans="1:102" ht="12" customHeight="1" x14ac:dyDescent="0.2">
      <c r="A200" s="104">
        <v>1</v>
      </c>
      <c r="B200" s="104" t="s">
        <v>21</v>
      </c>
      <c r="C200" s="90">
        <v>1.216632782057955</v>
      </c>
      <c r="D200" s="90">
        <v>3.0333047829587761E-2</v>
      </c>
      <c r="E200" s="90">
        <v>0</v>
      </c>
      <c r="F200" s="90">
        <v>0</v>
      </c>
      <c r="G200" s="90">
        <v>0</v>
      </c>
      <c r="H200" s="90">
        <v>0</v>
      </c>
      <c r="I200" s="90">
        <v>6.9651629580037514E-3</v>
      </c>
      <c r="J200" s="90">
        <v>9.4105152191885377</v>
      </c>
      <c r="K200" s="90">
        <v>20.44274590398901</v>
      </c>
      <c r="L200" s="90">
        <v>22.123167563475011</v>
      </c>
      <c r="M200" s="90">
        <v>18.265151950428322</v>
      </c>
      <c r="N200" s="90">
        <v>6.724488370073578</v>
      </c>
      <c r="O200" s="167">
        <f>SUM(C200:N200)</f>
        <v>78.22</v>
      </c>
      <c r="P200" s="99"/>
      <c r="Q200" s="104">
        <v>1</v>
      </c>
      <c r="R200" s="104" t="s">
        <v>21</v>
      </c>
      <c r="S200" s="90">
        <v>7.3476207567747398</v>
      </c>
      <c r="T200" s="90">
        <v>13.297094705097674</v>
      </c>
      <c r="U200" s="90">
        <v>18.409210185827575</v>
      </c>
      <c r="V200" s="90">
        <v>20.712244192979142</v>
      </c>
      <c r="W200" s="90">
        <v>24.35932779046496</v>
      </c>
      <c r="X200" s="90">
        <v>28.94370568614044</v>
      </c>
      <c r="Y200" s="90">
        <v>25.898141779025721</v>
      </c>
      <c r="Z200" s="90">
        <v>-5.9175505078179889</v>
      </c>
      <c r="AA200" s="90">
        <v>-41.374101227901349</v>
      </c>
      <c r="AB200" s="90">
        <v>-55.333420533400293</v>
      </c>
      <c r="AC200" s="90">
        <v>-43.910054217528312</v>
      </c>
      <c r="AD200" s="90">
        <v>-7.8422186096623525</v>
      </c>
      <c r="AE200" s="167">
        <f>SUM(S200:AD200)</f>
        <v>-15.410000000000018</v>
      </c>
      <c r="AF200" s="99"/>
      <c r="AG200" s="99"/>
      <c r="AH200" s="99"/>
      <c r="AI200" s="99"/>
      <c r="AJ200" s="99"/>
      <c r="AK200" s="99"/>
      <c r="AL200" s="99"/>
      <c r="AM200" s="99"/>
      <c r="AN200" s="99"/>
      <c r="AO200" s="99"/>
      <c r="AP200" s="99"/>
      <c r="AQ200" s="99"/>
      <c r="AR200" s="99"/>
      <c r="AS200" s="99"/>
      <c r="AT200" s="99"/>
      <c r="AV200" s="99"/>
      <c r="AW200" s="99"/>
      <c r="AX200" s="99"/>
      <c r="AY200" s="99"/>
      <c r="AZ200" s="99"/>
      <c r="BA200" s="99"/>
      <c r="BB200" s="99"/>
      <c r="BC200" s="99"/>
      <c r="BD200" s="99"/>
      <c r="BE200" s="99"/>
      <c r="BF200" s="99"/>
      <c r="BG200" s="99"/>
      <c r="BH200" s="99"/>
      <c r="BI200" s="99"/>
      <c r="BJ200" s="99"/>
      <c r="BK200" s="99"/>
      <c r="BL200" s="99"/>
      <c r="BM200" s="99"/>
      <c r="BN200" s="99"/>
      <c r="BO200" s="99"/>
      <c r="BP200" s="99"/>
      <c r="BQ200" s="99"/>
      <c r="BR200" s="99"/>
      <c r="BS200" s="99"/>
      <c r="BT200" s="99"/>
      <c r="BU200" s="99"/>
      <c r="BV200" s="99"/>
      <c r="BW200" s="99"/>
      <c r="CL200" s="99"/>
      <c r="CM200" s="99"/>
      <c r="CN200" s="99"/>
      <c r="CO200" s="99"/>
      <c r="CP200" s="99"/>
      <c r="CQ200" s="99"/>
      <c r="CR200" s="99"/>
      <c r="CS200" s="99"/>
      <c r="CT200" s="99"/>
      <c r="CU200" s="99"/>
      <c r="CV200" s="99"/>
      <c r="CW200" s="99"/>
      <c r="CX200" s="99"/>
    </row>
    <row r="201" spans="1:102" ht="12" customHeight="1" x14ac:dyDescent="0.2">
      <c r="A201" s="104">
        <v>2</v>
      </c>
      <c r="B201" s="104" t="s">
        <v>22</v>
      </c>
      <c r="C201" s="90">
        <v>2.2032448008118473</v>
      </c>
      <c r="D201" s="90">
        <v>2.0524065892824717</v>
      </c>
      <c r="E201" s="90">
        <v>2.5063984292502979</v>
      </c>
      <c r="F201" s="90">
        <v>2.9075130046049025</v>
      </c>
      <c r="G201" s="90">
        <v>3.6244694192925335</v>
      </c>
      <c r="H201" s="90">
        <v>4.6321542134491045</v>
      </c>
      <c r="I201" s="90">
        <v>4.685958641972686</v>
      </c>
      <c r="J201" s="90">
        <v>3.8041379482880577</v>
      </c>
      <c r="K201" s="90">
        <v>3.0134074142785088</v>
      </c>
      <c r="L201" s="90">
        <v>3.0957408586128556</v>
      </c>
      <c r="M201" s="90">
        <v>2.854104814643768</v>
      </c>
      <c r="N201" s="90">
        <v>2.4204638655129633</v>
      </c>
      <c r="O201" s="167">
        <f t="shared" ref="O201:O212" si="22">SUM(C201:N201)</f>
        <v>37.799999999999997</v>
      </c>
      <c r="P201" s="99"/>
      <c r="Q201" s="104">
        <v>2</v>
      </c>
      <c r="R201" s="104" t="s">
        <v>22</v>
      </c>
      <c r="S201" s="90">
        <v>-3.4754649096850923</v>
      </c>
      <c r="T201" s="90">
        <v>-1.9974966636677096</v>
      </c>
      <c r="U201" s="90">
        <v>2.6226358192840267</v>
      </c>
      <c r="V201" s="90">
        <v>-1.4044175531467729</v>
      </c>
      <c r="W201" s="90">
        <v>5.6913100369082024</v>
      </c>
      <c r="X201" s="90">
        <v>11.763879413236383</v>
      </c>
      <c r="Y201" s="90">
        <v>-0.45076254711499475</v>
      </c>
      <c r="Z201" s="90">
        <v>3.6038008645603732</v>
      </c>
      <c r="AA201" s="90">
        <v>6.2831897403141124</v>
      </c>
      <c r="AB201" s="90">
        <v>1.6749898039964184E-2</v>
      </c>
      <c r="AC201" s="90">
        <v>-0.20641421969552484</v>
      </c>
      <c r="AD201" s="90">
        <v>-5.1370098790330099</v>
      </c>
      <c r="AE201" s="167">
        <f t="shared" ref="AE201:AE212" si="23">SUM(S201:AD201)</f>
        <v>17.309999999999963</v>
      </c>
      <c r="AF201" s="99"/>
      <c r="AG201" s="99"/>
      <c r="AH201" s="99"/>
      <c r="AI201" s="99"/>
      <c r="AJ201" s="99"/>
      <c r="AK201" s="99"/>
      <c r="AL201" s="99"/>
      <c r="AM201" s="99"/>
      <c r="AN201" s="99"/>
      <c r="AO201" s="99"/>
      <c r="AP201" s="99"/>
      <c r="AQ201" s="99"/>
      <c r="AR201" s="99"/>
      <c r="AS201" s="99"/>
      <c r="AT201" s="99"/>
      <c r="AV201" s="99"/>
      <c r="AW201" s="99"/>
      <c r="AX201" s="99"/>
      <c r="AY201" s="99"/>
      <c r="AZ201" s="99"/>
      <c r="BA201" s="99"/>
      <c r="BB201" s="99"/>
      <c r="BC201" s="99"/>
      <c r="BD201" s="99"/>
      <c r="BE201" s="99"/>
      <c r="BF201" s="99"/>
      <c r="BG201" s="99"/>
      <c r="BH201" s="99"/>
      <c r="BI201" s="99"/>
      <c r="BJ201" s="99"/>
      <c r="BK201" s="99"/>
      <c r="BL201" s="99"/>
      <c r="BM201" s="99"/>
      <c r="BN201" s="99"/>
      <c r="BO201" s="99"/>
      <c r="BP201" s="99"/>
      <c r="BQ201" s="99"/>
      <c r="BR201" s="99"/>
      <c r="BS201" s="99"/>
      <c r="BT201" s="99"/>
      <c r="BU201" s="99"/>
      <c r="BV201" s="99"/>
      <c r="BW201" s="99"/>
      <c r="CL201" s="99"/>
      <c r="CM201" s="99"/>
      <c r="CN201" s="99"/>
      <c r="CO201" s="99"/>
      <c r="CP201" s="99"/>
      <c r="CQ201" s="99"/>
      <c r="CR201" s="99"/>
      <c r="CS201" s="99"/>
      <c r="CT201" s="99"/>
      <c r="CU201" s="99"/>
      <c r="CV201" s="99"/>
      <c r="CW201" s="99"/>
      <c r="CX201" s="99"/>
    </row>
    <row r="202" spans="1:102" ht="12" customHeight="1" x14ac:dyDescent="0.2">
      <c r="A202" s="104">
        <v>3</v>
      </c>
      <c r="B202" s="104" t="s">
        <v>17</v>
      </c>
      <c r="C202" s="90">
        <v>8.2570335291390295E-2</v>
      </c>
      <c r="D202" s="90">
        <v>4.8043348750698312E-3</v>
      </c>
      <c r="E202" s="90">
        <v>0</v>
      </c>
      <c r="F202" s="90">
        <v>0</v>
      </c>
      <c r="G202" s="90">
        <v>0</v>
      </c>
      <c r="H202" s="90">
        <v>0</v>
      </c>
      <c r="I202" s="90">
        <v>4.0609423426367641E-3</v>
      </c>
      <c r="J202" s="90">
        <v>0.55919682043104124</v>
      </c>
      <c r="K202" s="90">
        <v>0.84711006715566561</v>
      </c>
      <c r="L202" s="90">
        <v>0.8731180707483388</v>
      </c>
      <c r="M202" s="90">
        <v>0.74012496156988794</v>
      </c>
      <c r="N202" s="90">
        <v>0.27901446758596915</v>
      </c>
      <c r="O202" s="167">
        <f t="shared" si="22"/>
        <v>3.3899999999999997</v>
      </c>
      <c r="P202" s="99"/>
      <c r="Q202" s="104">
        <v>3</v>
      </c>
      <c r="R202" s="104" t="s">
        <v>17</v>
      </c>
      <c r="S202" s="90">
        <v>6.7995336959310153</v>
      </c>
      <c r="T202" s="90">
        <v>12.781737979049232</v>
      </c>
      <c r="U202" s="90">
        <v>23.332652655381459</v>
      </c>
      <c r="V202" s="90">
        <v>22.695135858351303</v>
      </c>
      <c r="W202" s="90">
        <v>27.972846192824566</v>
      </c>
      <c r="X202" s="90">
        <v>39.422962591157322</v>
      </c>
      <c r="Y202" s="90">
        <v>32.007023128808171</v>
      </c>
      <c r="Z202" s="90">
        <v>12.975915348635869</v>
      </c>
      <c r="AA202" s="90">
        <v>2.4827590758455647</v>
      </c>
      <c r="AB202" s="90">
        <v>-7.4106855127528908</v>
      </c>
      <c r="AC202" s="90">
        <v>-9.1708309042751583</v>
      </c>
      <c r="AD202" s="90">
        <v>-0.89905010895639326</v>
      </c>
      <c r="AE202" s="167">
        <f t="shared" si="23"/>
        <v>162.99000000000007</v>
      </c>
      <c r="AF202" s="99"/>
      <c r="AG202" s="99"/>
      <c r="AH202" s="99"/>
      <c r="AI202" s="99"/>
      <c r="AJ202" s="99"/>
      <c r="AK202" s="99"/>
      <c r="AL202" s="99"/>
      <c r="AM202" s="99"/>
      <c r="AN202" s="99"/>
      <c r="AO202" s="99"/>
      <c r="AP202" s="99"/>
      <c r="AQ202" s="99"/>
      <c r="AR202" s="99"/>
      <c r="AS202" s="99"/>
      <c r="AT202" s="99"/>
      <c r="AV202" s="99"/>
      <c r="AW202" s="99"/>
      <c r="AX202" s="99"/>
      <c r="AY202" s="99"/>
      <c r="AZ202" s="99"/>
      <c r="BA202" s="99"/>
      <c r="BB202" s="99"/>
      <c r="BC202" s="99"/>
      <c r="BD202" s="99"/>
      <c r="BE202" s="99"/>
      <c r="BF202" s="99"/>
      <c r="BG202" s="99"/>
      <c r="BH202" s="99"/>
      <c r="BI202" s="99"/>
      <c r="BJ202" s="99"/>
      <c r="BK202" s="99"/>
      <c r="BL202" s="99"/>
      <c r="BM202" s="99"/>
      <c r="BN202" s="99"/>
      <c r="BO202" s="99"/>
      <c r="BP202" s="99"/>
      <c r="BQ202" s="99"/>
      <c r="BR202" s="99"/>
      <c r="BS202" s="99"/>
      <c r="BT202" s="99"/>
      <c r="BU202" s="99"/>
      <c r="BV202" s="99"/>
      <c r="BW202" s="99"/>
      <c r="CL202" s="99"/>
      <c r="CM202" s="99"/>
      <c r="CN202" s="99"/>
      <c r="CO202" s="99"/>
      <c r="CP202" s="99"/>
      <c r="CQ202" s="99"/>
      <c r="CR202" s="99"/>
      <c r="CS202" s="99"/>
      <c r="CT202" s="99"/>
      <c r="CU202" s="99"/>
      <c r="CV202" s="99"/>
      <c r="CW202" s="99"/>
      <c r="CX202" s="99"/>
    </row>
    <row r="203" spans="1:102" ht="12" customHeight="1" x14ac:dyDescent="0.2">
      <c r="A203" s="108">
        <v>4</v>
      </c>
      <c r="B203" s="108" t="s">
        <v>0</v>
      </c>
      <c r="C203" s="90">
        <v>0</v>
      </c>
      <c r="D203" s="90">
        <v>0</v>
      </c>
      <c r="E203" s="90">
        <v>0</v>
      </c>
      <c r="F203" s="90">
        <v>0</v>
      </c>
      <c r="G203" s="90">
        <v>0</v>
      </c>
      <c r="H203" s="90">
        <v>0</v>
      </c>
      <c r="I203" s="90">
        <v>0</v>
      </c>
      <c r="J203" s="90">
        <v>0</v>
      </c>
      <c r="K203" s="90">
        <v>0</v>
      </c>
      <c r="L203" s="90">
        <v>0</v>
      </c>
      <c r="M203" s="90">
        <v>0</v>
      </c>
      <c r="N203" s="90">
        <v>0</v>
      </c>
      <c r="O203" s="167">
        <f t="shared" si="22"/>
        <v>0</v>
      </c>
      <c r="P203" s="99"/>
      <c r="Q203" s="108">
        <v>4</v>
      </c>
      <c r="R203" s="108" t="s">
        <v>0</v>
      </c>
      <c r="S203" s="90">
        <v>0</v>
      </c>
      <c r="T203" s="90">
        <v>0</v>
      </c>
      <c r="U203" s="90">
        <v>0</v>
      </c>
      <c r="V203" s="90">
        <v>0</v>
      </c>
      <c r="W203" s="90">
        <v>0</v>
      </c>
      <c r="X203" s="90">
        <v>0</v>
      </c>
      <c r="Y203" s="90">
        <v>0</v>
      </c>
      <c r="Z203" s="90">
        <v>0</v>
      </c>
      <c r="AA203" s="90">
        <v>0</v>
      </c>
      <c r="AB203" s="90">
        <v>0</v>
      </c>
      <c r="AC203" s="90">
        <v>0</v>
      </c>
      <c r="AD203" s="90">
        <v>0</v>
      </c>
      <c r="AE203" s="167">
        <f t="shared" si="23"/>
        <v>0</v>
      </c>
      <c r="AF203" s="99"/>
      <c r="AG203" s="99"/>
      <c r="AH203" s="99"/>
      <c r="AI203" s="99"/>
      <c r="AJ203" s="99"/>
      <c r="AK203" s="99"/>
      <c r="AL203" s="99"/>
      <c r="AM203" s="99"/>
      <c r="AN203" s="99"/>
      <c r="AO203" s="99"/>
      <c r="AP203" s="99"/>
      <c r="AQ203" s="99"/>
      <c r="AR203" s="99"/>
      <c r="AS203" s="99"/>
      <c r="AT203" s="99"/>
      <c r="AV203" s="99"/>
      <c r="AW203" s="99"/>
      <c r="AX203" s="99"/>
      <c r="AY203" s="99"/>
      <c r="AZ203" s="99"/>
      <c r="BA203" s="99"/>
      <c r="BB203" s="99"/>
      <c r="BC203" s="99"/>
      <c r="BD203" s="99"/>
      <c r="BE203" s="99"/>
      <c r="BF203" s="99"/>
      <c r="BG203" s="99"/>
      <c r="BH203" s="99"/>
      <c r="BI203" s="99"/>
      <c r="BJ203" s="99"/>
      <c r="BK203" s="99"/>
      <c r="BL203" s="99"/>
      <c r="BM203" s="99"/>
      <c r="BN203" s="99"/>
      <c r="BO203" s="99"/>
      <c r="BP203" s="99"/>
      <c r="BQ203" s="99"/>
      <c r="BR203" s="99"/>
      <c r="BS203" s="99"/>
      <c r="BT203" s="99"/>
      <c r="BU203" s="99"/>
      <c r="BV203" s="99"/>
      <c r="BW203" s="99"/>
      <c r="CL203" s="99"/>
      <c r="CM203" s="99"/>
      <c r="CN203" s="99"/>
      <c r="CO203" s="99"/>
      <c r="CP203" s="99"/>
      <c r="CQ203" s="99"/>
      <c r="CR203" s="99"/>
      <c r="CS203" s="99"/>
      <c r="CT203" s="99"/>
      <c r="CU203" s="99"/>
      <c r="CV203" s="99"/>
      <c r="CW203" s="99"/>
      <c r="CX203" s="99"/>
    </row>
    <row r="204" spans="1:102" ht="12" customHeight="1" x14ac:dyDescent="0.2">
      <c r="A204" s="108">
        <v>5</v>
      </c>
      <c r="B204" s="108" t="s">
        <v>16</v>
      </c>
      <c r="C204" s="90">
        <v>0</v>
      </c>
      <c r="D204" s="90">
        <v>0</v>
      </c>
      <c r="E204" s="90">
        <v>0</v>
      </c>
      <c r="F204" s="90">
        <v>0</v>
      </c>
      <c r="G204" s="90">
        <v>0</v>
      </c>
      <c r="H204" s="90">
        <v>0</v>
      </c>
      <c r="I204" s="90">
        <v>0</v>
      </c>
      <c r="J204" s="90">
        <v>0</v>
      </c>
      <c r="K204" s="90">
        <v>0</v>
      </c>
      <c r="L204" s="90">
        <v>0</v>
      </c>
      <c r="M204" s="90">
        <v>0</v>
      </c>
      <c r="N204" s="90">
        <v>0</v>
      </c>
      <c r="O204" s="167">
        <f t="shared" si="22"/>
        <v>0</v>
      </c>
      <c r="P204" s="99"/>
      <c r="Q204" s="108">
        <v>5</v>
      </c>
      <c r="R204" s="108" t="s">
        <v>16</v>
      </c>
      <c r="S204" s="90">
        <v>0</v>
      </c>
      <c r="T204" s="90">
        <v>0</v>
      </c>
      <c r="U204" s="90">
        <v>0</v>
      </c>
      <c r="V204" s="90">
        <v>0</v>
      </c>
      <c r="W204" s="90">
        <v>0</v>
      </c>
      <c r="X204" s="90">
        <v>0</v>
      </c>
      <c r="Y204" s="90">
        <v>0</v>
      </c>
      <c r="Z204" s="90">
        <v>0</v>
      </c>
      <c r="AA204" s="90">
        <v>0</v>
      </c>
      <c r="AB204" s="90">
        <v>0</v>
      </c>
      <c r="AC204" s="90">
        <v>0</v>
      </c>
      <c r="AD204" s="90">
        <v>0</v>
      </c>
      <c r="AE204" s="167">
        <f t="shared" si="23"/>
        <v>0</v>
      </c>
      <c r="AF204" s="99"/>
      <c r="AG204" s="99"/>
      <c r="AH204" s="99"/>
      <c r="AI204" s="99"/>
      <c r="AJ204" s="99"/>
      <c r="AK204" s="99"/>
      <c r="AL204" s="99"/>
      <c r="AM204" s="99"/>
      <c r="AN204" s="99"/>
      <c r="AO204" s="99"/>
      <c r="AP204" s="99"/>
      <c r="AQ204" s="99"/>
      <c r="AR204" s="99"/>
      <c r="AS204" s="99"/>
      <c r="AT204" s="99"/>
      <c r="AV204" s="99"/>
      <c r="AW204" s="99"/>
      <c r="AX204" s="99"/>
      <c r="AY204" s="99"/>
      <c r="AZ204" s="99"/>
      <c r="BA204" s="99"/>
      <c r="BB204" s="99"/>
      <c r="BC204" s="99"/>
      <c r="BD204" s="99"/>
      <c r="BE204" s="99"/>
      <c r="BF204" s="99"/>
      <c r="BG204" s="99"/>
      <c r="BH204" s="99"/>
      <c r="BI204" s="99"/>
      <c r="BJ204" s="99"/>
      <c r="BK204" s="99"/>
      <c r="BL204" s="99"/>
      <c r="BM204" s="99"/>
      <c r="BN204" s="99"/>
      <c r="BO204" s="99"/>
      <c r="BP204" s="99"/>
      <c r="BQ204" s="99"/>
      <c r="BR204" s="99"/>
      <c r="BS204" s="99"/>
      <c r="BT204" s="99"/>
      <c r="BU204" s="99"/>
      <c r="BV204" s="99"/>
      <c r="BW204" s="99"/>
      <c r="CL204" s="99"/>
      <c r="CM204" s="99"/>
      <c r="CN204" s="99"/>
      <c r="CO204" s="99"/>
      <c r="CP204" s="99"/>
      <c r="CQ204" s="99"/>
      <c r="CR204" s="99"/>
      <c r="CS204" s="99"/>
      <c r="CT204" s="99"/>
      <c r="CU204" s="99"/>
      <c r="CV204" s="99"/>
      <c r="CW204" s="99"/>
      <c r="CX204" s="99"/>
    </row>
    <row r="205" spans="1:102" ht="12" customHeight="1" x14ac:dyDescent="0.2">
      <c r="A205" s="104">
        <v>6</v>
      </c>
      <c r="B205" s="104" t="s">
        <v>18</v>
      </c>
      <c r="C205" s="90">
        <v>0.11294803862963021</v>
      </c>
      <c r="D205" s="90">
        <v>0.1206500213559043</v>
      </c>
      <c r="E205" s="90">
        <v>0.24298863450649263</v>
      </c>
      <c r="F205" s="90">
        <v>0.2453735864637718</v>
      </c>
      <c r="G205" s="90">
        <v>0.33123771666696283</v>
      </c>
      <c r="H205" s="90">
        <v>0.76775932485687259</v>
      </c>
      <c r="I205" s="90">
        <v>1.0903423251353048</v>
      </c>
      <c r="J205" s="90">
        <v>0.45746118040541212</v>
      </c>
      <c r="K205" s="90">
        <v>0.17324023129092084</v>
      </c>
      <c r="L205" s="90">
        <v>0.13541185345161003</v>
      </c>
      <c r="M205" s="90">
        <v>0.137600396339251</v>
      </c>
      <c r="N205" s="90">
        <v>0.11498669089786642</v>
      </c>
      <c r="O205" s="167">
        <f t="shared" si="22"/>
        <v>3.93</v>
      </c>
      <c r="P205" s="99"/>
      <c r="Q205" s="104">
        <v>6</v>
      </c>
      <c r="R205" s="104" t="s">
        <v>18</v>
      </c>
      <c r="S205" s="90">
        <v>17.134647879511736</v>
      </c>
      <c r="T205" s="90">
        <v>15.130453600010128</v>
      </c>
      <c r="U205" s="90">
        <v>13.738551727474126</v>
      </c>
      <c r="V205" s="90">
        <v>13.890179293383948</v>
      </c>
      <c r="W205" s="90">
        <v>12.699975858300633</v>
      </c>
      <c r="X205" s="90">
        <v>14.696928144995105</v>
      </c>
      <c r="Y205" s="90">
        <v>13.027835763628097</v>
      </c>
      <c r="Z205" s="90">
        <v>16.611663768289656</v>
      </c>
      <c r="AA205" s="90">
        <v>20.366621392488693</v>
      </c>
      <c r="AB205" s="90">
        <v>20.09645230232239</v>
      </c>
      <c r="AC205" s="90">
        <v>20.873431525123795</v>
      </c>
      <c r="AD205" s="90">
        <v>18.674669300235937</v>
      </c>
      <c r="AE205" s="167">
        <f t="shared" si="23"/>
        <v>196.94141055576424</v>
      </c>
      <c r="AF205" s="99"/>
      <c r="AG205" s="99"/>
      <c r="AH205" s="99"/>
      <c r="AI205" s="99"/>
      <c r="AJ205" s="99"/>
      <c r="AK205" s="99"/>
      <c r="AL205" s="99"/>
      <c r="AM205" s="99"/>
      <c r="AN205" s="99"/>
      <c r="AO205" s="99"/>
      <c r="AP205" s="99"/>
      <c r="AQ205" s="99"/>
      <c r="AR205" s="99"/>
      <c r="AS205" s="99"/>
      <c r="AT205" s="99"/>
      <c r="AV205" s="99"/>
      <c r="AW205" s="99"/>
      <c r="AX205" s="99"/>
      <c r="AY205" s="99"/>
      <c r="AZ205" s="99"/>
      <c r="BA205" s="99"/>
      <c r="BB205" s="99"/>
      <c r="BC205" s="99"/>
      <c r="BD205" s="99"/>
      <c r="BE205" s="99"/>
      <c r="BF205" s="99"/>
      <c r="BG205" s="99"/>
      <c r="BH205" s="99"/>
      <c r="BI205" s="99"/>
      <c r="BJ205" s="99"/>
      <c r="BK205" s="99"/>
      <c r="BL205" s="99"/>
      <c r="BM205" s="99"/>
      <c r="BN205" s="99"/>
      <c r="BO205" s="99"/>
      <c r="BP205" s="99"/>
      <c r="BQ205" s="99"/>
      <c r="BR205" s="99"/>
      <c r="BS205" s="99"/>
      <c r="BT205" s="99"/>
      <c r="BU205" s="99"/>
      <c r="BV205" s="99"/>
      <c r="BW205" s="99"/>
      <c r="CL205" s="99"/>
      <c r="CM205" s="99"/>
      <c r="CN205" s="99"/>
      <c r="CO205" s="99"/>
      <c r="CP205" s="99"/>
      <c r="CQ205" s="99"/>
      <c r="CR205" s="99"/>
      <c r="CS205" s="99"/>
      <c r="CT205" s="99"/>
      <c r="CU205" s="99"/>
      <c r="CV205" s="99"/>
      <c r="CW205" s="99"/>
      <c r="CX205" s="99"/>
    </row>
    <row r="206" spans="1:102" ht="12" customHeight="1" x14ac:dyDescent="0.2">
      <c r="A206" s="108">
        <v>7</v>
      </c>
      <c r="B206" s="108" t="s">
        <v>19</v>
      </c>
      <c r="C206" s="90">
        <v>0</v>
      </c>
      <c r="D206" s="90">
        <v>0</v>
      </c>
      <c r="E206" s="90">
        <v>0</v>
      </c>
      <c r="F206" s="90">
        <v>0</v>
      </c>
      <c r="G206" s="90">
        <v>0</v>
      </c>
      <c r="H206" s="90">
        <v>0</v>
      </c>
      <c r="I206" s="90">
        <v>0</v>
      </c>
      <c r="J206" s="90">
        <v>0</v>
      </c>
      <c r="K206" s="90">
        <v>0</v>
      </c>
      <c r="L206" s="90">
        <v>0</v>
      </c>
      <c r="M206" s="90">
        <v>0</v>
      </c>
      <c r="N206" s="90">
        <v>0</v>
      </c>
      <c r="O206" s="167">
        <f t="shared" si="22"/>
        <v>0</v>
      </c>
      <c r="P206" s="99"/>
      <c r="Q206" s="108">
        <v>7</v>
      </c>
      <c r="R206" s="108" t="s">
        <v>19</v>
      </c>
      <c r="S206" s="90">
        <v>0</v>
      </c>
      <c r="T206" s="90">
        <v>0</v>
      </c>
      <c r="U206" s="90">
        <v>0</v>
      </c>
      <c r="V206" s="90">
        <v>0</v>
      </c>
      <c r="W206" s="90">
        <v>0</v>
      </c>
      <c r="X206" s="90">
        <v>0</v>
      </c>
      <c r="Y206" s="90">
        <v>0</v>
      </c>
      <c r="Z206" s="90">
        <v>0</v>
      </c>
      <c r="AA206" s="90">
        <v>0</v>
      </c>
      <c r="AB206" s="90">
        <v>0</v>
      </c>
      <c r="AC206" s="90">
        <v>0</v>
      </c>
      <c r="AD206" s="90">
        <v>0</v>
      </c>
      <c r="AE206" s="167">
        <f t="shared" si="23"/>
        <v>0</v>
      </c>
      <c r="AF206" s="99"/>
      <c r="AG206" s="99"/>
      <c r="AH206" s="99"/>
      <c r="AI206" s="99"/>
      <c r="AJ206" s="99"/>
      <c r="AK206" s="99"/>
      <c r="AL206" s="99"/>
      <c r="AM206" s="99"/>
      <c r="AN206" s="99"/>
      <c r="AO206" s="99"/>
      <c r="AP206" s="99"/>
      <c r="AQ206" s="99"/>
      <c r="AR206" s="99"/>
      <c r="AS206" s="99"/>
      <c r="AT206" s="99"/>
      <c r="AV206" s="99"/>
      <c r="AW206" s="99"/>
      <c r="AX206" s="99"/>
      <c r="AY206" s="99"/>
      <c r="AZ206" s="99"/>
      <c r="BA206" s="99"/>
      <c r="BB206" s="99"/>
      <c r="BC206" s="99"/>
      <c r="BD206" s="99"/>
      <c r="BE206" s="99"/>
      <c r="BF206" s="99"/>
      <c r="BG206" s="99"/>
      <c r="BH206" s="99"/>
      <c r="BI206" s="99"/>
      <c r="BJ206" s="99"/>
      <c r="BK206" s="99"/>
      <c r="BL206" s="99"/>
      <c r="BM206" s="99"/>
      <c r="BN206" s="99"/>
      <c r="BO206" s="99"/>
      <c r="BP206" s="99"/>
      <c r="BQ206" s="99"/>
      <c r="BR206" s="99"/>
      <c r="BS206" s="99"/>
      <c r="BT206" s="99"/>
      <c r="BU206" s="99"/>
      <c r="BV206" s="99"/>
      <c r="BW206" s="99"/>
      <c r="CL206" s="99"/>
      <c r="CM206" s="99"/>
      <c r="CN206" s="99"/>
      <c r="CO206" s="99"/>
      <c r="CP206" s="99"/>
      <c r="CQ206" s="99"/>
      <c r="CR206" s="99"/>
      <c r="CS206" s="99"/>
      <c r="CT206" s="99"/>
      <c r="CU206" s="99"/>
      <c r="CV206" s="99"/>
      <c r="CW206" s="99"/>
      <c r="CX206" s="99"/>
    </row>
    <row r="207" spans="1:102" ht="12" customHeight="1" x14ac:dyDescent="0.2">
      <c r="A207" s="108">
        <v>8</v>
      </c>
      <c r="B207" s="108" t="s">
        <v>23</v>
      </c>
      <c r="C207" s="90">
        <v>0</v>
      </c>
      <c r="D207" s="90">
        <v>0</v>
      </c>
      <c r="E207" s="90">
        <v>0</v>
      </c>
      <c r="F207" s="90">
        <v>0</v>
      </c>
      <c r="G207" s="90">
        <v>0</v>
      </c>
      <c r="H207" s="90">
        <v>0</v>
      </c>
      <c r="I207" s="90">
        <v>0</v>
      </c>
      <c r="J207" s="90">
        <v>0</v>
      </c>
      <c r="K207" s="90">
        <v>0</v>
      </c>
      <c r="L207" s="90">
        <v>0</v>
      </c>
      <c r="M207" s="90">
        <v>0</v>
      </c>
      <c r="N207" s="90">
        <v>0</v>
      </c>
      <c r="O207" s="167">
        <f t="shared" si="22"/>
        <v>0</v>
      </c>
      <c r="P207" s="99"/>
      <c r="Q207" s="108">
        <v>8</v>
      </c>
      <c r="R207" s="108" t="s">
        <v>23</v>
      </c>
      <c r="S207" s="90">
        <v>0</v>
      </c>
      <c r="T207" s="90">
        <v>0</v>
      </c>
      <c r="U207" s="90">
        <v>0</v>
      </c>
      <c r="V207" s="90">
        <v>0</v>
      </c>
      <c r="W207" s="90">
        <v>0</v>
      </c>
      <c r="X207" s="90">
        <v>0</v>
      </c>
      <c r="Y207" s="90">
        <v>0</v>
      </c>
      <c r="Z207" s="90">
        <v>0</v>
      </c>
      <c r="AA207" s="90">
        <v>0</v>
      </c>
      <c r="AB207" s="90">
        <v>0</v>
      </c>
      <c r="AC207" s="90">
        <v>0</v>
      </c>
      <c r="AD207" s="90">
        <v>0</v>
      </c>
      <c r="AE207" s="167">
        <f t="shared" si="23"/>
        <v>0</v>
      </c>
      <c r="AF207" s="99"/>
      <c r="AG207" s="99"/>
      <c r="AH207" s="99"/>
      <c r="AI207" s="99"/>
      <c r="AJ207" s="99"/>
      <c r="AK207" s="99"/>
      <c r="AL207" s="99"/>
      <c r="AM207" s="99"/>
      <c r="AN207" s="99"/>
      <c r="AO207" s="99"/>
      <c r="AP207" s="99"/>
      <c r="AQ207" s="99"/>
      <c r="AR207" s="99"/>
      <c r="AS207" s="99"/>
      <c r="AT207" s="99"/>
      <c r="AV207" s="99"/>
      <c r="BJ207" s="99"/>
      <c r="CL207" s="99"/>
    </row>
    <row r="208" spans="1:102" ht="12" customHeight="1" x14ac:dyDescent="0.2">
      <c r="A208" s="108">
        <v>9</v>
      </c>
      <c r="B208" s="108" t="s">
        <v>24</v>
      </c>
      <c r="C208" s="90">
        <v>0</v>
      </c>
      <c r="D208" s="90">
        <v>0</v>
      </c>
      <c r="E208" s="90">
        <v>0</v>
      </c>
      <c r="F208" s="90">
        <v>0</v>
      </c>
      <c r="G208" s="90">
        <v>0</v>
      </c>
      <c r="H208" s="90">
        <v>0</v>
      </c>
      <c r="I208" s="90">
        <v>0</v>
      </c>
      <c r="J208" s="90">
        <v>0</v>
      </c>
      <c r="K208" s="90">
        <v>0</v>
      </c>
      <c r="L208" s="90">
        <v>0</v>
      </c>
      <c r="M208" s="90">
        <v>0</v>
      </c>
      <c r="N208" s="90">
        <v>0</v>
      </c>
      <c r="O208" s="167">
        <f t="shared" si="22"/>
        <v>0</v>
      </c>
      <c r="P208" s="99"/>
      <c r="Q208" s="108">
        <v>9</v>
      </c>
      <c r="R208" s="108" t="s">
        <v>24</v>
      </c>
      <c r="S208" s="90">
        <v>0</v>
      </c>
      <c r="T208" s="90">
        <v>0</v>
      </c>
      <c r="U208" s="90">
        <v>0</v>
      </c>
      <c r="V208" s="90">
        <v>0</v>
      </c>
      <c r="W208" s="90">
        <v>0</v>
      </c>
      <c r="X208" s="90">
        <v>0</v>
      </c>
      <c r="Y208" s="90">
        <v>0</v>
      </c>
      <c r="Z208" s="90">
        <v>0</v>
      </c>
      <c r="AA208" s="90">
        <v>0</v>
      </c>
      <c r="AB208" s="90">
        <v>0</v>
      </c>
      <c r="AC208" s="90">
        <v>0</v>
      </c>
      <c r="AD208" s="90">
        <v>0</v>
      </c>
      <c r="AE208" s="167">
        <f t="shared" si="23"/>
        <v>0</v>
      </c>
      <c r="AF208" s="99"/>
      <c r="AG208" s="99"/>
      <c r="AH208" s="99"/>
      <c r="AI208" s="99"/>
      <c r="AJ208" s="99"/>
      <c r="AK208" s="99"/>
      <c r="AL208" s="99"/>
      <c r="AM208" s="99"/>
      <c r="AN208" s="99"/>
      <c r="AO208" s="99"/>
      <c r="AP208" s="99"/>
      <c r="AQ208" s="99"/>
      <c r="AR208" s="99"/>
      <c r="AS208" s="99"/>
      <c r="AV208" s="99"/>
      <c r="BJ208" s="99"/>
      <c r="CL208" s="99"/>
    </row>
    <row r="209" spans="1:90" ht="12" customHeight="1" x14ac:dyDescent="0.2">
      <c r="A209" s="104">
        <v>10</v>
      </c>
      <c r="B209" s="104" t="s">
        <v>25</v>
      </c>
      <c r="C209" s="90">
        <v>1.5269293188623589</v>
      </c>
      <c r="D209" s="90">
        <v>1.4075394782096884</v>
      </c>
      <c r="E209" s="90">
        <v>2.3357283385176073</v>
      </c>
      <c r="F209" s="90">
        <v>2.9605263135850537</v>
      </c>
      <c r="G209" s="90">
        <v>3.9368256112272655</v>
      </c>
      <c r="H209" s="90">
        <v>5.83567346052092</v>
      </c>
      <c r="I209" s="90">
        <v>5.1952595125961478</v>
      </c>
      <c r="J209" s="90">
        <v>4.4386045899457898</v>
      </c>
      <c r="K209" s="90">
        <v>6.1774442586743179</v>
      </c>
      <c r="L209" s="90">
        <v>7.3997526492574677</v>
      </c>
      <c r="M209" s="90">
        <v>6.1573168064380734</v>
      </c>
      <c r="N209" s="90">
        <v>2.9483996621653197</v>
      </c>
      <c r="O209" s="167">
        <f t="shared" si="22"/>
        <v>50.320000000000014</v>
      </c>
      <c r="P209" s="99"/>
      <c r="Q209" s="104">
        <v>10</v>
      </c>
      <c r="R209" s="104" t="s">
        <v>25</v>
      </c>
      <c r="S209" s="90">
        <v>1.2967425357258751</v>
      </c>
      <c r="T209" s="90">
        <v>0.20657041915432911</v>
      </c>
      <c r="U209" s="90">
        <v>-1.3238086171490395</v>
      </c>
      <c r="V209" s="90">
        <v>-2.407626233915872</v>
      </c>
      <c r="W209" s="90">
        <v>-3.0971995861056172</v>
      </c>
      <c r="X209" s="90">
        <v>3.7381571461995993</v>
      </c>
      <c r="Y209" s="90">
        <v>6.1905915367983457</v>
      </c>
      <c r="Z209" s="90">
        <v>4.2830892378899197</v>
      </c>
      <c r="AA209" s="90">
        <v>3.9355124690020515</v>
      </c>
      <c r="AB209" s="90">
        <v>-4.9183824340932114</v>
      </c>
      <c r="AC209" s="90">
        <v>-4.0715756912106764</v>
      </c>
      <c r="AD209" s="90">
        <v>-3.8960707822957468</v>
      </c>
      <c r="AE209" s="167">
        <f t="shared" si="23"/>
        <v>-6.4000000000043133E-2</v>
      </c>
      <c r="AF209" s="99"/>
      <c r="AG209" s="99"/>
      <c r="AH209" s="99"/>
      <c r="AI209" s="99"/>
      <c r="AJ209" s="99"/>
      <c r="AK209" s="99"/>
      <c r="AL209" s="99"/>
      <c r="AM209" s="99"/>
      <c r="AN209" s="99"/>
      <c r="AO209" s="99"/>
      <c r="AP209" s="99"/>
      <c r="AQ209" s="99"/>
      <c r="AR209" s="99"/>
      <c r="AS209" s="99"/>
      <c r="AV209" s="99"/>
      <c r="BJ209" s="99"/>
      <c r="CL209" s="99"/>
    </row>
    <row r="210" spans="1:90" ht="12" customHeight="1" x14ac:dyDescent="0.2">
      <c r="A210" s="104">
        <v>11</v>
      </c>
      <c r="B210" s="104" t="s">
        <v>26</v>
      </c>
      <c r="C210" s="90">
        <v>0.97767523549836544</v>
      </c>
      <c r="D210" s="90">
        <v>1.4546162304045867</v>
      </c>
      <c r="E210" s="90">
        <v>2.6423595914400333</v>
      </c>
      <c r="F210" s="90">
        <v>3.0043367841718664</v>
      </c>
      <c r="G210" s="90">
        <v>3.205343528372238</v>
      </c>
      <c r="H210" s="90">
        <v>4.5587863088098057</v>
      </c>
      <c r="I210" s="90">
        <v>5.2539805852629282</v>
      </c>
      <c r="J210" s="90">
        <v>3.7877041549902963</v>
      </c>
      <c r="K210" s="90">
        <v>1.991463825765827</v>
      </c>
      <c r="L210" s="90">
        <v>0.87696931788041876</v>
      </c>
      <c r="M210" s="90">
        <v>0.61480412319680233</v>
      </c>
      <c r="N210" s="90">
        <v>0.53796031420682489</v>
      </c>
      <c r="O210" s="167">
        <f t="shared" si="22"/>
        <v>28.905999999999992</v>
      </c>
      <c r="P210" s="99"/>
      <c r="Q210" s="104">
        <v>11</v>
      </c>
      <c r="R210" s="104" t="s">
        <v>26</v>
      </c>
      <c r="S210" s="90">
        <v>-1.27420852303391</v>
      </c>
      <c r="T210" s="90">
        <v>-2.7724417113105542</v>
      </c>
      <c r="U210" s="90">
        <v>-4.5798490441435744</v>
      </c>
      <c r="V210" s="90">
        <v>-3.891487857681228</v>
      </c>
      <c r="W210" s="90">
        <v>-3.8141358289356848</v>
      </c>
      <c r="X210" s="90">
        <v>-2.0829558590299899</v>
      </c>
      <c r="Y210" s="90">
        <v>0.78196269812326724</v>
      </c>
      <c r="Z210" s="90">
        <v>-0.94200071840101951</v>
      </c>
      <c r="AA210" s="90">
        <v>3.3907982582154861</v>
      </c>
      <c r="AB210" s="90">
        <v>7.9576759038910252</v>
      </c>
      <c r="AC210" s="90">
        <v>6.1366366579400031</v>
      </c>
      <c r="AD210" s="90">
        <v>0.61600602436620266</v>
      </c>
      <c r="AE210" s="167">
        <f t="shared" si="23"/>
        <v>-0.47399999999997644</v>
      </c>
      <c r="AF210" s="99"/>
      <c r="AG210" s="99"/>
      <c r="AH210" s="99"/>
      <c r="AI210" s="99"/>
      <c r="AJ210" s="99"/>
      <c r="AK210" s="99"/>
      <c r="AL210" s="99"/>
      <c r="AM210" s="99"/>
      <c r="AN210" s="99"/>
      <c r="AO210" s="99"/>
      <c r="AP210" s="99"/>
      <c r="AQ210" s="99"/>
      <c r="AR210" s="99"/>
      <c r="AS210" s="99"/>
      <c r="AV210" s="99"/>
      <c r="BJ210" s="99"/>
      <c r="CL210" s="99"/>
    </row>
    <row r="211" spans="1:90" ht="12" customHeight="1" x14ac:dyDescent="0.2">
      <c r="A211" s="104">
        <v>12</v>
      </c>
      <c r="B211" s="104" t="s">
        <v>27</v>
      </c>
      <c r="C211" s="90">
        <v>0</v>
      </c>
      <c r="D211" s="90">
        <v>0</v>
      </c>
      <c r="E211" s="90">
        <v>0</v>
      </c>
      <c r="F211" s="90">
        <v>0</v>
      </c>
      <c r="G211" s="90">
        <v>0</v>
      </c>
      <c r="H211" s="90">
        <v>0</v>
      </c>
      <c r="I211" s="90">
        <v>0</v>
      </c>
      <c r="J211" s="90">
        <v>0</v>
      </c>
      <c r="K211" s="90">
        <v>0</v>
      </c>
      <c r="L211" s="90">
        <v>0</v>
      </c>
      <c r="M211" s="90">
        <v>0</v>
      </c>
      <c r="N211" s="90">
        <v>0</v>
      </c>
      <c r="O211" s="167">
        <f t="shared" si="22"/>
        <v>0</v>
      </c>
      <c r="P211" s="99"/>
      <c r="Q211" s="104">
        <v>12</v>
      </c>
      <c r="R211" s="104" t="s">
        <v>27</v>
      </c>
      <c r="S211" s="90">
        <v>0</v>
      </c>
      <c r="T211" s="90">
        <v>0</v>
      </c>
      <c r="U211" s="90">
        <v>0</v>
      </c>
      <c r="V211" s="90">
        <v>0</v>
      </c>
      <c r="W211" s="90">
        <v>0</v>
      </c>
      <c r="X211" s="90">
        <v>0</v>
      </c>
      <c r="Y211" s="90">
        <v>0</v>
      </c>
      <c r="Z211" s="90">
        <v>0</v>
      </c>
      <c r="AA211" s="90">
        <v>0</v>
      </c>
      <c r="AB211" s="90">
        <v>0</v>
      </c>
      <c r="AC211" s="90">
        <v>0</v>
      </c>
      <c r="AD211" s="90">
        <v>0</v>
      </c>
      <c r="AE211" s="167">
        <f t="shared" si="23"/>
        <v>0</v>
      </c>
      <c r="AF211" s="99"/>
      <c r="AG211" s="99"/>
      <c r="AH211" s="99"/>
      <c r="AI211" s="99"/>
      <c r="AJ211" s="99"/>
      <c r="AK211" s="99"/>
      <c r="AL211" s="99"/>
      <c r="AM211" s="99"/>
      <c r="AN211" s="99"/>
      <c r="AO211" s="99"/>
      <c r="AP211" s="99"/>
      <c r="AQ211" s="99"/>
      <c r="AR211" s="99"/>
      <c r="AS211" s="99"/>
      <c r="AV211" s="99"/>
      <c r="BJ211" s="99"/>
      <c r="CL211" s="99"/>
    </row>
    <row r="212" spans="1:90" ht="12" customHeight="1" x14ac:dyDescent="0.2">
      <c r="A212" s="104">
        <v>13</v>
      </c>
      <c r="B212" s="104" t="s">
        <v>28</v>
      </c>
      <c r="C212" s="90">
        <v>7.7555619775281581E-2</v>
      </c>
      <c r="D212" s="90">
        <v>9.8724482032079994E-2</v>
      </c>
      <c r="E212" s="90">
        <v>0.16643948622138122</v>
      </c>
      <c r="F212" s="90">
        <v>0.25676107274741394</v>
      </c>
      <c r="G212" s="90">
        <v>0.36011916719160075</v>
      </c>
      <c r="H212" s="90">
        <v>0.58775363876630216</v>
      </c>
      <c r="I212" s="90">
        <v>0.58976687149206264</v>
      </c>
      <c r="J212" s="90">
        <v>1.0963795623971917</v>
      </c>
      <c r="K212" s="90">
        <v>1.5282761904894646</v>
      </c>
      <c r="L212" s="90">
        <v>2.0633904246964856</v>
      </c>
      <c r="M212" s="90">
        <v>1.8002301624632433</v>
      </c>
      <c r="N212" s="90">
        <v>0.70460332172749318</v>
      </c>
      <c r="O212" s="167">
        <f t="shared" si="22"/>
        <v>9.3300000000000018</v>
      </c>
      <c r="P212" s="99"/>
      <c r="Q212" s="104">
        <v>13</v>
      </c>
      <c r="R212" s="104" t="s">
        <v>28</v>
      </c>
      <c r="S212" s="90">
        <v>12.577577273206133</v>
      </c>
      <c r="T212" s="90">
        <v>20.003470505972142</v>
      </c>
      <c r="U212" s="90">
        <v>24.083981419298684</v>
      </c>
      <c r="V212" s="90">
        <v>25.373934763320868</v>
      </c>
      <c r="W212" s="90">
        <v>18.559562863023835</v>
      </c>
      <c r="X212" s="90">
        <v>16.599428600026105</v>
      </c>
      <c r="Y212" s="90">
        <v>7.0598582829323</v>
      </c>
      <c r="Z212" s="90">
        <v>10.178381519172795</v>
      </c>
      <c r="AA212" s="90">
        <v>13.486499916785627</v>
      </c>
      <c r="AB212" s="90">
        <v>15.307582186034864</v>
      </c>
      <c r="AC212" s="90">
        <v>17.543033908738355</v>
      </c>
      <c r="AD212" s="90">
        <v>12.346688761488304</v>
      </c>
      <c r="AE212" s="167">
        <f t="shared" si="23"/>
        <v>193.12</v>
      </c>
      <c r="AF212" s="99"/>
      <c r="AV212" s="99"/>
      <c r="BJ212" s="99"/>
      <c r="CL212" s="99"/>
    </row>
    <row r="213" spans="1:90" ht="12" customHeight="1" x14ac:dyDescent="0.2">
      <c r="A213" s="99"/>
      <c r="B213" s="99"/>
      <c r="C213" s="99"/>
      <c r="D213" s="99"/>
      <c r="E213" s="99"/>
      <c r="F213" s="99"/>
      <c r="G213" s="99"/>
      <c r="H213" s="99"/>
      <c r="I213" s="99"/>
      <c r="J213" s="99"/>
      <c r="K213" s="99"/>
      <c r="L213" s="99"/>
      <c r="M213" s="99"/>
      <c r="N213" s="99"/>
      <c r="O213" s="99"/>
      <c r="P213" s="99"/>
      <c r="Q213" s="99"/>
      <c r="R213" s="99"/>
      <c r="S213" s="99"/>
      <c r="T213" s="99"/>
      <c r="U213" s="99"/>
      <c r="V213" s="99"/>
      <c r="W213" s="99"/>
      <c r="X213" s="99"/>
      <c r="Y213" s="99"/>
      <c r="Z213" s="99"/>
      <c r="AA213" s="99"/>
      <c r="AB213" s="99"/>
      <c r="AC213" s="99"/>
      <c r="AD213" s="99"/>
      <c r="AE213" s="99"/>
      <c r="AF213" s="99"/>
      <c r="AV213" s="99"/>
      <c r="BJ213" s="99"/>
      <c r="CL213" s="99"/>
    </row>
    <row r="214" spans="1:90" ht="12" customHeight="1" x14ac:dyDescent="0.2">
      <c r="B214" s="170" t="s">
        <v>209</v>
      </c>
      <c r="C214" s="102" t="s">
        <v>1</v>
      </c>
      <c r="D214" s="102" t="s">
        <v>2</v>
      </c>
      <c r="E214" s="102" t="s">
        <v>3</v>
      </c>
      <c r="F214" s="102" t="s">
        <v>4</v>
      </c>
      <c r="G214" s="102" t="s">
        <v>5</v>
      </c>
      <c r="H214" s="102" t="s">
        <v>6</v>
      </c>
      <c r="I214" s="102" t="s">
        <v>7</v>
      </c>
      <c r="J214" s="102" t="s">
        <v>8</v>
      </c>
      <c r="K214" s="102" t="s">
        <v>9</v>
      </c>
      <c r="L214" s="102" t="s">
        <v>10</v>
      </c>
      <c r="M214" s="102" t="s">
        <v>11</v>
      </c>
      <c r="N214" s="102" t="s">
        <v>12</v>
      </c>
      <c r="O214" s="99"/>
      <c r="P214" s="99"/>
      <c r="R214" s="170" t="s">
        <v>212</v>
      </c>
      <c r="S214" s="102" t="s">
        <v>1</v>
      </c>
      <c r="T214" s="102" t="s">
        <v>2</v>
      </c>
      <c r="U214" s="102" t="s">
        <v>3</v>
      </c>
      <c r="V214" s="102" t="s">
        <v>4</v>
      </c>
      <c r="W214" s="102" t="s">
        <v>5</v>
      </c>
      <c r="X214" s="102" t="s">
        <v>6</v>
      </c>
      <c r="Y214" s="102" t="s">
        <v>7</v>
      </c>
      <c r="Z214" s="102" t="s">
        <v>8</v>
      </c>
      <c r="AA214" s="102" t="s">
        <v>9</v>
      </c>
      <c r="AB214" s="102" t="s">
        <v>10</v>
      </c>
      <c r="AC214" s="102" t="s">
        <v>11</v>
      </c>
      <c r="AD214" s="102" t="s">
        <v>12</v>
      </c>
      <c r="AE214" s="99"/>
      <c r="AF214" s="99"/>
      <c r="AV214" s="99"/>
      <c r="BJ214" s="99"/>
      <c r="CL214" s="99"/>
    </row>
    <row r="215" spans="1:90" ht="12" customHeight="1" x14ac:dyDescent="0.2">
      <c r="A215" s="104">
        <v>1</v>
      </c>
      <c r="B215" s="104" t="s">
        <v>21</v>
      </c>
      <c r="C215" s="90">
        <v>0.94140500043540942</v>
      </c>
      <c r="D215" s="90">
        <v>2.347107798371004E-2</v>
      </c>
      <c r="E215" s="90">
        <v>0</v>
      </c>
      <c r="F215" s="90">
        <v>0</v>
      </c>
      <c r="G215" s="90">
        <v>0</v>
      </c>
      <c r="H215" s="90">
        <v>0</v>
      </c>
      <c r="I215" s="90">
        <v>5.3894974179644218E-3</v>
      </c>
      <c r="J215" s="90">
        <v>7.281659852229434</v>
      </c>
      <c r="K215" s="90">
        <v>15.818169212975389</v>
      </c>
      <c r="L215" s="90">
        <v>17.11844434645008</v>
      </c>
      <c r="M215" s="90">
        <v>14.133192556886657</v>
      </c>
      <c r="N215" s="90">
        <v>5.2032684556213669</v>
      </c>
      <c r="O215" s="167">
        <f>SUM(C215:N215)</f>
        <v>60.525000000000006</v>
      </c>
      <c r="P215" s="99"/>
      <c r="Q215" s="104">
        <v>1</v>
      </c>
      <c r="R215" s="104" t="s">
        <v>21</v>
      </c>
      <c r="S215" s="90">
        <v>-0.78048628826129962</v>
      </c>
      <c r="T215" s="90">
        <v>-0.78048628826129962</v>
      </c>
      <c r="U215" s="90">
        <v>-0.78048628826129962</v>
      </c>
      <c r="V215" s="90">
        <v>-0.78048628826129962</v>
      </c>
      <c r="W215" s="90">
        <v>-0.78048628826129962</v>
      </c>
      <c r="X215" s="90">
        <v>-0.78048628826129962</v>
      </c>
      <c r="Y215" s="90">
        <v>-0.78048628826129962</v>
      </c>
      <c r="Z215" s="90">
        <v>-0.78048628826129962</v>
      </c>
      <c r="AA215" s="90">
        <v>-0.78048628826129962</v>
      </c>
      <c r="AB215" s="90">
        <v>-0.78048628826129962</v>
      </c>
      <c r="AC215" s="90">
        <v>-0.78048628826129962</v>
      </c>
      <c r="AD215" s="90">
        <v>-0.78048628826129962</v>
      </c>
      <c r="AE215" s="167">
        <f>SUM(S215:AD215)</f>
        <v>-9.3658354591355959</v>
      </c>
      <c r="AF215" s="99"/>
      <c r="AV215" s="99"/>
      <c r="BJ215" s="99"/>
      <c r="CL215" s="99"/>
    </row>
    <row r="216" spans="1:90" ht="12" customHeight="1" x14ac:dyDescent="0.2">
      <c r="A216" s="104">
        <v>2</v>
      </c>
      <c r="B216" s="104" t="s">
        <v>22</v>
      </c>
      <c r="C216" s="90">
        <v>2.8159566882757141</v>
      </c>
      <c r="D216" s="90">
        <v>2.6231710883972168</v>
      </c>
      <c r="E216" s="90">
        <v>3.2034158971941911</v>
      </c>
      <c r="F216" s="90">
        <v>3.7160785258855045</v>
      </c>
      <c r="G216" s="90">
        <v>4.6324171054196004</v>
      </c>
      <c r="H216" s="90">
        <v>5.9203342423320953</v>
      </c>
      <c r="I216" s="90">
        <v>5.9891014262165196</v>
      </c>
      <c r="J216" s="90">
        <v>4.8620505967643561</v>
      </c>
      <c r="K216" s="90">
        <v>3.8514216666302472</v>
      </c>
      <c r="L216" s="90">
        <v>3.9566516497699551</v>
      </c>
      <c r="M216" s="90">
        <v>3.6478177726208925</v>
      </c>
      <c r="N216" s="90">
        <v>3.0935833404937116</v>
      </c>
      <c r="O216" s="167">
        <f t="shared" ref="O216:O227" si="24">SUM(C216:N216)</f>
        <v>48.311999999999998</v>
      </c>
      <c r="P216" s="99"/>
      <c r="Q216" s="104">
        <v>2</v>
      </c>
      <c r="R216" s="104" t="s">
        <v>22</v>
      </c>
      <c r="S216" s="90">
        <v>1.0282200989095653</v>
      </c>
      <c r="T216" s="90">
        <v>1.0282200989095653</v>
      </c>
      <c r="U216" s="90">
        <v>1.0282200989095653</v>
      </c>
      <c r="V216" s="90">
        <v>1.0282200989095653</v>
      </c>
      <c r="W216" s="90">
        <v>1.0282200989095653</v>
      </c>
      <c r="X216" s="90">
        <v>1.0282200989095653</v>
      </c>
      <c r="Y216" s="90">
        <v>1.0282200989095653</v>
      </c>
      <c r="Z216" s="90">
        <v>1.0282200989095653</v>
      </c>
      <c r="AA216" s="90">
        <v>1.0282200989095653</v>
      </c>
      <c r="AB216" s="90">
        <v>1.0282200989095653</v>
      </c>
      <c r="AC216" s="90">
        <v>1.0282200989095653</v>
      </c>
      <c r="AD216" s="90">
        <v>1.0282200989095653</v>
      </c>
      <c r="AE216" s="167">
        <f t="shared" ref="AE216:AE227" si="25">SUM(S216:AD216)</f>
        <v>12.338641186914787</v>
      </c>
      <c r="AF216" s="99"/>
      <c r="AV216" s="99"/>
      <c r="BJ216" s="99"/>
      <c r="CL216" s="99"/>
    </row>
    <row r="217" spans="1:90" ht="12" customHeight="1" x14ac:dyDescent="0.2">
      <c r="A217" s="104">
        <v>3</v>
      </c>
      <c r="B217" s="104" t="s">
        <v>17</v>
      </c>
      <c r="C217" s="90">
        <v>0.36192112451173108</v>
      </c>
      <c r="D217" s="90">
        <v>2.1058292598425555E-2</v>
      </c>
      <c r="E217" s="90">
        <v>0</v>
      </c>
      <c r="F217" s="90">
        <v>0</v>
      </c>
      <c r="G217" s="90">
        <v>0</v>
      </c>
      <c r="H217" s="90">
        <v>0</v>
      </c>
      <c r="I217" s="90">
        <v>1.7799864976176898E-2</v>
      </c>
      <c r="J217" s="90">
        <v>2.4510635854822547</v>
      </c>
      <c r="K217" s="90">
        <v>3.7130408518778868</v>
      </c>
      <c r="L217" s="90">
        <v>3.8270387649703737</v>
      </c>
      <c r="M217" s="90">
        <v>3.2441052519076594</v>
      </c>
      <c r="N217" s="90">
        <v>1.2229722636754914</v>
      </c>
      <c r="O217" s="167">
        <f t="shared" si="24"/>
        <v>14.858999999999998</v>
      </c>
      <c r="P217" s="99"/>
      <c r="Q217" s="104">
        <v>3</v>
      </c>
      <c r="R217" s="104" t="s">
        <v>17</v>
      </c>
      <c r="S217" s="90">
        <v>-32.128628381014089</v>
      </c>
      <c r="T217" s="90">
        <v>-32.128628381014089</v>
      </c>
      <c r="U217" s="90">
        <v>-32.128628381014089</v>
      </c>
      <c r="V217" s="90">
        <v>-32.128628381014089</v>
      </c>
      <c r="W217" s="90">
        <v>-32.128628381014089</v>
      </c>
      <c r="X217" s="90">
        <v>-32.128628381014089</v>
      </c>
      <c r="Y217" s="90">
        <v>-32.128628381014089</v>
      </c>
      <c r="Z217" s="90">
        <v>-32.128628381014089</v>
      </c>
      <c r="AA217" s="90">
        <v>-32.128628381014089</v>
      </c>
      <c r="AB217" s="90">
        <v>-32.128628381014089</v>
      </c>
      <c r="AC217" s="90">
        <v>-32.128628381014089</v>
      </c>
      <c r="AD217" s="90">
        <v>-32.128628381014089</v>
      </c>
      <c r="AE217" s="167">
        <f t="shared" si="25"/>
        <v>-385.54354057216909</v>
      </c>
      <c r="AF217" s="99"/>
      <c r="AV217" s="99"/>
      <c r="BJ217" s="99"/>
      <c r="CL217" s="99"/>
    </row>
    <row r="218" spans="1:90" ht="12" customHeight="1" x14ac:dyDescent="0.2">
      <c r="A218" s="108">
        <v>4</v>
      </c>
      <c r="B218" s="108" t="s">
        <v>0</v>
      </c>
      <c r="C218" s="90">
        <v>0</v>
      </c>
      <c r="D218" s="90">
        <v>0</v>
      </c>
      <c r="E218" s="90">
        <v>0</v>
      </c>
      <c r="F218" s="90">
        <v>0</v>
      </c>
      <c r="G218" s="90">
        <v>0</v>
      </c>
      <c r="H218" s="90">
        <v>0</v>
      </c>
      <c r="I218" s="90">
        <v>0</v>
      </c>
      <c r="J218" s="90">
        <v>0</v>
      </c>
      <c r="K218" s="90">
        <v>0</v>
      </c>
      <c r="L218" s="90">
        <v>0</v>
      </c>
      <c r="M218" s="90">
        <v>0</v>
      </c>
      <c r="N218" s="90">
        <v>0</v>
      </c>
      <c r="O218" s="167">
        <f t="shared" si="24"/>
        <v>0</v>
      </c>
      <c r="Q218" s="108">
        <v>4</v>
      </c>
      <c r="R218" s="108" t="s">
        <v>0</v>
      </c>
      <c r="S218" s="90">
        <v>0</v>
      </c>
      <c r="T218" s="90">
        <v>0</v>
      </c>
      <c r="U218" s="90">
        <v>0</v>
      </c>
      <c r="V218" s="90">
        <v>0</v>
      </c>
      <c r="W218" s="90">
        <v>0</v>
      </c>
      <c r="X218" s="90">
        <v>0</v>
      </c>
      <c r="Y218" s="90">
        <v>0</v>
      </c>
      <c r="Z218" s="90">
        <v>0</v>
      </c>
      <c r="AA218" s="90">
        <v>0</v>
      </c>
      <c r="AB218" s="90">
        <v>0</v>
      </c>
      <c r="AC218" s="90">
        <v>0</v>
      </c>
      <c r="AD218" s="90">
        <v>0</v>
      </c>
      <c r="AE218" s="167">
        <f t="shared" si="25"/>
        <v>0</v>
      </c>
    </row>
    <row r="219" spans="1:90" ht="12" customHeight="1" x14ac:dyDescent="0.2">
      <c r="A219" s="108">
        <v>5</v>
      </c>
      <c r="B219" s="108" t="s">
        <v>16</v>
      </c>
      <c r="C219" s="90">
        <v>0</v>
      </c>
      <c r="D219" s="90">
        <v>0</v>
      </c>
      <c r="E219" s="90">
        <v>0</v>
      </c>
      <c r="F219" s="90">
        <v>0</v>
      </c>
      <c r="G219" s="90">
        <v>0</v>
      </c>
      <c r="H219" s="90">
        <v>0</v>
      </c>
      <c r="I219" s="90">
        <v>0</v>
      </c>
      <c r="J219" s="90">
        <v>0</v>
      </c>
      <c r="K219" s="90">
        <v>0</v>
      </c>
      <c r="L219" s="90">
        <v>0</v>
      </c>
      <c r="M219" s="90">
        <v>0</v>
      </c>
      <c r="N219" s="90">
        <v>0</v>
      </c>
      <c r="O219" s="167">
        <f t="shared" si="24"/>
        <v>0</v>
      </c>
      <c r="Q219" s="108">
        <v>5</v>
      </c>
      <c r="R219" s="108" t="s">
        <v>16</v>
      </c>
      <c r="S219" s="90">
        <v>0</v>
      </c>
      <c r="T219" s="90">
        <v>0</v>
      </c>
      <c r="U219" s="90">
        <v>0</v>
      </c>
      <c r="V219" s="90">
        <v>0</v>
      </c>
      <c r="W219" s="90">
        <v>0</v>
      </c>
      <c r="X219" s="90">
        <v>0</v>
      </c>
      <c r="Y219" s="90">
        <v>0</v>
      </c>
      <c r="Z219" s="90">
        <v>0</v>
      </c>
      <c r="AA219" s="90">
        <v>0</v>
      </c>
      <c r="AB219" s="90">
        <v>0</v>
      </c>
      <c r="AC219" s="90">
        <v>0</v>
      </c>
      <c r="AD219" s="90">
        <v>0</v>
      </c>
      <c r="AE219" s="167">
        <f t="shared" si="25"/>
        <v>0</v>
      </c>
      <c r="BK219" s="97">
        <v>0</v>
      </c>
      <c r="BL219" s="97">
        <v>0</v>
      </c>
      <c r="BM219" s="97">
        <v>0</v>
      </c>
      <c r="BN219" s="97">
        <v>0</v>
      </c>
      <c r="BO219" s="97">
        <v>0</v>
      </c>
      <c r="BP219" s="97">
        <v>0</v>
      </c>
      <c r="BQ219" s="97">
        <v>0</v>
      </c>
      <c r="BR219" s="97">
        <v>0</v>
      </c>
      <c r="BS219" s="97">
        <v>0</v>
      </c>
      <c r="BT219" s="97">
        <v>0</v>
      </c>
      <c r="BU219" s="97">
        <v>0</v>
      </c>
      <c r="BV219" s="97">
        <v>0</v>
      </c>
    </row>
    <row r="220" spans="1:90" ht="12" customHeight="1" x14ac:dyDescent="0.2">
      <c r="A220" s="104">
        <v>6</v>
      </c>
      <c r="B220" s="104" t="s">
        <v>18</v>
      </c>
      <c r="C220" s="90">
        <v>0.26047024786268158</v>
      </c>
      <c r="D220" s="90">
        <v>0.2782318431421274</v>
      </c>
      <c r="E220" s="90">
        <v>0.56035775942298804</v>
      </c>
      <c r="F220" s="90">
        <v>0.56585771351683556</v>
      </c>
      <c r="G220" s="90">
        <v>0.7638695740846525</v>
      </c>
      <c r="H220" s="90">
        <v>1.7705350537348186</v>
      </c>
      <c r="I220" s="90">
        <v>2.5144459268959971</v>
      </c>
      <c r="J220" s="90">
        <v>1.0549543709959923</v>
      </c>
      <c r="K220" s="90">
        <v>0.39951048758005486</v>
      </c>
      <c r="L220" s="90">
        <v>0.31227420555520141</v>
      </c>
      <c r="M220" s="90">
        <v>0.31732121934418112</v>
      </c>
      <c r="N220" s="90">
        <v>0.26517159786446909</v>
      </c>
      <c r="O220" s="167">
        <f t="shared" si="24"/>
        <v>9.0630000000000006</v>
      </c>
      <c r="Q220" s="104">
        <v>6</v>
      </c>
      <c r="R220" s="104" t="s">
        <v>18</v>
      </c>
      <c r="S220" s="90">
        <v>-0.8999976324062734</v>
      </c>
      <c r="T220" s="90">
        <v>-0.8999976324062734</v>
      </c>
      <c r="U220" s="90">
        <v>-0.8999976324062734</v>
      </c>
      <c r="V220" s="90">
        <v>-0.8999976324062734</v>
      </c>
      <c r="W220" s="90">
        <v>-0.8999976324062734</v>
      </c>
      <c r="X220" s="90">
        <v>-0.8999976324062734</v>
      </c>
      <c r="Y220" s="90">
        <v>-0.8999976324062734</v>
      </c>
      <c r="Z220" s="90">
        <v>-0.8999976324062734</v>
      </c>
      <c r="AA220" s="90">
        <v>-0.8999976324062734</v>
      </c>
      <c r="AB220" s="90">
        <v>-0.8999976324062734</v>
      </c>
      <c r="AC220" s="90">
        <v>-0.8999976324062734</v>
      </c>
      <c r="AD220" s="90">
        <v>-0.8999976324062734</v>
      </c>
      <c r="AE220" s="167">
        <f t="shared" si="25"/>
        <v>-10.799971588875282</v>
      </c>
      <c r="BK220" s="97">
        <v>0</v>
      </c>
      <c r="BL220" s="97">
        <v>0</v>
      </c>
      <c r="BM220" s="97">
        <v>0</v>
      </c>
      <c r="BN220" s="97">
        <v>0</v>
      </c>
      <c r="BO220" s="97">
        <v>0</v>
      </c>
      <c r="BP220" s="97">
        <v>0</v>
      </c>
      <c r="BQ220" s="97">
        <v>0</v>
      </c>
      <c r="BR220" s="97">
        <v>0</v>
      </c>
      <c r="BS220" s="97">
        <v>0</v>
      </c>
      <c r="BT220" s="97">
        <v>0</v>
      </c>
      <c r="BU220" s="97">
        <v>0</v>
      </c>
      <c r="BV220" s="97">
        <v>0</v>
      </c>
    </row>
    <row r="221" spans="1:90" ht="12" customHeight="1" x14ac:dyDescent="0.2">
      <c r="A221" s="108">
        <v>7</v>
      </c>
      <c r="B221" s="108" t="s">
        <v>19</v>
      </c>
      <c r="C221" s="90">
        <v>0</v>
      </c>
      <c r="D221" s="90">
        <v>0</v>
      </c>
      <c r="E221" s="90">
        <v>0</v>
      </c>
      <c r="F221" s="90">
        <v>0</v>
      </c>
      <c r="G221" s="90">
        <v>0</v>
      </c>
      <c r="H221" s="90">
        <v>0</v>
      </c>
      <c r="I221" s="90">
        <v>0</v>
      </c>
      <c r="J221" s="90">
        <v>0</v>
      </c>
      <c r="K221" s="90">
        <v>0</v>
      </c>
      <c r="L221" s="90">
        <v>0</v>
      </c>
      <c r="M221" s="90">
        <v>0</v>
      </c>
      <c r="N221" s="90">
        <v>0</v>
      </c>
      <c r="O221" s="167">
        <f t="shared" si="24"/>
        <v>0</v>
      </c>
      <c r="Q221" s="108">
        <v>7</v>
      </c>
      <c r="R221" s="108" t="s">
        <v>19</v>
      </c>
      <c r="S221" s="90">
        <v>0</v>
      </c>
      <c r="T221" s="90">
        <v>0</v>
      </c>
      <c r="U221" s="90">
        <v>0</v>
      </c>
      <c r="V221" s="90">
        <v>0</v>
      </c>
      <c r="W221" s="90">
        <v>0</v>
      </c>
      <c r="X221" s="90">
        <v>0</v>
      </c>
      <c r="Y221" s="90">
        <v>0</v>
      </c>
      <c r="Z221" s="90">
        <v>0</v>
      </c>
      <c r="AA221" s="90">
        <v>0</v>
      </c>
      <c r="AB221" s="90">
        <v>0</v>
      </c>
      <c r="AC221" s="90">
        <v>0</v>
      </c>
      <c r="AD221" s="90">
        <v>0</v>
      </c>
      <c r="AE221" s="167">
        <f t="shared" si="25"/>
        <v>0</v>
      </c>
      <c r="BK221" s="97">
        <v>0</v>
      </c>
      <c r="BL221" s="97">
        <v>0</v>
      </c>
      <c r="BM221" s="97">
        <v>0</v>
      </c>
      <c r="BN221" s="97">
        <v>0</v>
      </c>
      <c r="BO221" s="97">
        <v>0</v>
      </c>
      <c r="BP221" s="97">
        <v>0</v>
      </c>
      <c r="BQ221" s="97">
        <v>0</v>
      </c>
      <c r="BR221" s="97">
        <v>0</v>
      </c>
      <c r="BS221" s="97">
        <v>0</v>
      </c>
      <c r="BT221" s="97">
        <v>0</v>
      </c>
      <c r="BU221" s="97">
        <v>0</v>
      </c>
      <c r="BV221" s="97">
        <v>0</v>
      </c>
    </row>
    <row r="222" spans="1:90" ht="12" customHeight="1" x14ac:dyDescent="0.2">
      <c r="A222" s="108">
        <v>8</v>
      </c>
      <c r="B222" s="108" t="s">
        <v>23</v>
      </c>
      <c r="C222" s="90">
        <v>0</v>
      </c>
      <c r="D222" s="90">
        <v>0</v>
      </c>
      <c r="E222" s="90">
        <v>0</v>
      </c>
      <c r="F222" s="90">
        <v>0</v>
      </c>
      <c r="G222" s="90">
        <v>0</v>
      </c>
      <c r="H222" s="90">
        <v>0</v>
      </c>
      <c r="I222" s="90">
        <v>0</v>
      </c>
      <c r="J222" s="90">
        <v>0</v>
      </c>
      <c r="K222" s="90">
        <v>0</v>
      </c>
      <c r="L222" s="90">
        <v>0</v>
      </c>
      <c r="M222" s="90">
        <v>0</v>
      </c>
      <c r="N222" s="90">
        <v>0</v>
      </c>
      <c r="O222" s="167">
        <f t="shared" si="24"/>
        <v>0</v>
      </c>
      <c r="Q222" s="108">
        <v>8</v>
      </c>
      <c r="R222" s="108" t="s">
        <v>23</v>
      </c>
      <c r="S222" s="198">
        <v>1.8516374444625501</v>
      </c>
      <c r="T222" s="198">
        <v>1.2640251109564364</v>
      </c>
      <c r="U222" s="198">
        <v>1.8852651130404892</v>
      </c>
      <c r="V222" s="198">
        <v>2.3992041211329598</v>
      </c>
      <c r="W222" s="198">
        <v>3.250833751354707</v>
      </c>
      <c r="X222" s="198">
        <v>5.1973516870262495</v>
      </c>
      <c r="Y222" s="198">
        <v>5.3053911043871524</v>
      </c>
      <c r="Z222" s="198">
        <v>5.3003121159295326</v>
      </c>
      <c r="AA222" s="198">
        <v>5.6827671485542375</v>
      </c>
      <c r="AB222" s="198">
        <v>3.847365495197836</v>
      </c>
      <c r="AC222" s="198">
        <v>3.1311031734009642</v>
      </c>
      <c r="AD222" s="198">
        <v>1.7922535149515726</v>
      </c>
      <c r="AE222" s="167">
        <f t="shared" si="25"/>
        <v>40.90750978039469</v>
      </c>
      <c r="BK222" s="97">
        <v>10.716108408287273</v>
      </c>
      <c r="BL222" s="97">
        <v>10.377958505663685</v>
      </c>
      <c r="BM222" s="97">
        <v>8.0891646717829389</v>
      </c>
      <c r="BN222" s="97">
        <v>7.1362161618969253</v>
      </c>
      <c r="BO222" s="97">
        <v>4.70540072461786</v>
      </c>
      <c r="BP222" s="97">
        <v>5.733525024938217</v>
      </c>
      <c r="BQ222" s="97">
        <v>9.8752645809784205</v>
      </c>
      <c r="BR222" s="97">
        <v>1.9609698446347632</v>
      </c>
      <c r="BS222" s="97">
        <v>-11.784921922607813</v>
      </c>
      <c r="BT222" s="97">
        <v>-24.30063116367873</v>
      </c>
      <c r="BU222" s="97">
        <v>-23.336604946668263</v>
      </c>
      <c r="BV222" s="97">
        <v>0.82754955950745535</v>
      </c>
    </row>
    <row r="223" spans="1:90" ht="12" customHeight="1" x14ac:dyDescent="0.2">
      <c r="A223" s="108">
        <v>9</v>
      </c>
      <c r="B223" s="108" t="s">
        <v>24</v>
      </c>
      <c r="C223" s="90">
        <v>0</v>
      </c>
      <c r="D223" s="90">
        <v>0</v>
      </c>
      <c r="E223" s="90">
        <v>0</v>
      </c>
      <c r="F223" s="90">
        <v>0</v>
      </c>
      <c r="G223" s="90">
        <v>0</v>
      </c>
      <c r="H223" s="90">
        <v>0</v>
      </c>
      <c r="I223" s="90">
        <v>0</v>
      </c>
      <c r="J223" s="90">
        <v>0</v>
      </c>
      <c r="K223" s="90">
        <v>0</v>
      </c>
      <c r="L223" s="90">
        <v>0</v>
      </c>
      <c r="M223" s="90">
        <v>0</v>
      </c>
      <c r="N223" s="90">
        <v>0</v>
      </c>
      <c r="O223" s="167">
        <f t="shared" si="24"/>
        <v>0</v>
      </c>
      <c r="Q223" s="108">
        <v>9</v>
      </c>
      <c r="R223" s="108" t="s">
        <v>24</v>
      </c>
      <c r="S223" s="90">
        <v>0</v>
      </c>
      <c r="T223" s="90">
        <v>0</v>
      </c>
      <c r="U223" s="90">
        <v>0</v>
      </c>
      <c r="V223" s="90">
        <v>0</v>
      </c>
      <c r="W223" s="90">
        <v>0</v>
      </c>
      <c r="X223" s="90">
        <v>0</v>
      </c>
      <c r="Y223" s="90">
        <v>0</v>
      </c>
      <c r="Z223" s="90">
        <v>0</v>
      </c>
      <c r="AA223" s="90">
        <v>0</v>
      </c>
      <c r="AB223" s="90">
        <v>0</v>
      </c>
      <c r="AC223" s="90">
        <v>0</v>
      </c>
      <c r="AD223" s="90">
        <v>0</v>
      </c>
      <c r="AE223" s="167">
        <f t="shared" si="25"/>
        <v>0</v>
      </c>
      <c r="BK223" s="97">
        <v>0.5369809134714022</v>
      </c>
      <c r="BL223" s="97">
        <v>0.36665030240558849</v>
      </c>
      <c r="BM223" s="97">
        <v>5.6835726708186485E-3</v>
      </c>
      <c r="BN223" s="97">
        <v>2.8421709430404007E-14</v>
      </c>
      <c r="BO223" s="97">
        <v>-2.5069965215607226E-3</v>
      </c>
      <c r="BP223" s="97">
        <v>2.506955616979667E-3</v>
      </c>
      <c r="BQ223" s="97">
        <v>-1.4069437285861415E-2</v>
      </c>
      <c r="BR223" s="97">
        <v>-8.7281614055074869E-2</v>
      </c>
      <c r="BS223" s="97">
        <v>-0.32550150708303399</v>
      </c>
      <c r="BT223" s="97">
        <v>-0.45893562874671406</v>
      </c>
      <c r="BU223" s="97">
        <v>-0.37008759892376175</v>
      </c>
      <c r="BV223" s="97">
        <v>0.34694634708337635</v>
      </c>
    </row>
    <row r="224" spans="1:90" ht="12" customHeight="1" x14ac:dyDescent="0.2">
      <c r="A224" s="104">
        <v>10</v>
      </c>
      <c r="B224" s="104" t="s">
        <v>25</v>
      </c>
      <c r="C224" s="90">
        <v>2.0952189111448365</v>
      </c>
      <c r="D224" s="90">
        <v>1.9313947911649954</v>
      </c>
      <c r="E224" s="90">
        <v>3.2050351811995976</v>
      </c>
      <c r="F224" s="90">
        <v>4.0623692547778374</v>
      </c>
      <c r="G224" s="90">
        <v>5.4020257313994486</v>
      </c>
      <c r="H224" s="90">
        <v>8.0075830902632852</v>
      </c>
      <c r="I224" s="90">
        <v>7.1288211213382127</v>
      </c>
      <c r="J224" s="90">
        <v>6.0905558371736266</v>
      </c>
      <c r="K224" s="90">
        <v>8.476553481179339</v>
      </c>
      <c r="L224" s="90">
        <v>10.153778237796695</v>
      </c>
      <c r="M224" s="90">
        <v>8.4489350328087465</v>
      </c>
      <c r="N224" s="90">
        <v>4.0457293297533976</v>
      </c>
      <c r="O224" s="167">
        <f t="shared" si="24"/>
        <v>69.048000000000016</v>
      </c>
      <c r="Q224" s="104">
        <v>10</v>
      </c>
      <c r="R224" s="104" t="s">
        <v>25</v>
      </c>
      <c r="S224" s="90">
        <v>-2.2132566845130803</v>
      </c>
      <c r="T224" s="90">
        <v>-2.2132566845130803</v>
      </c>
      <c r="U224" s="90">
        <v>-2.2132566845130803</v>
      </c>
      <c r="V224" s="90">
        <v>-2.2132566845130803</v>
      </c>
      <c r="W224" s="90">
        <v>-2.2132566845130803</v>
      </c>
      <c r="X224" s="90">
        <v>-2.2132566845130803</v>
      </c>
      <c r="Y224" s="90">
        <v>-2.2132566845130803</v>
      </c>
      <c r="Z224" s="90">
        <v>-2.2132566845130803</v>
      </c>
      <c r="AA224" s="90">
        <v>-2.2132566845130803</v>
      </c>
      <c r="AB224" s="90">
        <v>-2.2132566845130803</v>
      </c>
      <c r="AC224" s="90">
        <v>-2.2132566845130803</v>
      </c>
      <c r="AD224" s="90">
        <v>-2.2132566845130803</v>
      </c>
      <c r="AE224" s="167">
        <f t="shared" si="25"/>
        <v>-26.559080214156964</v>
      </c>
      <c r="BK224" s="97">
        <v>0</v>
      </c>
      <c r="BL224" s="97">
        <v>0</v>
      </c>
      <c r="BM224" s="97">
        <v>0</v>
      </c>
      <c r="BN224" s="97">
        <v>0</v>
      </c>
      <c r="BO224" s="97">
        <v>0</v>
      </c>
      <c r="BP224" s="97">
        <v>0</v>
      </c>
      <c r="BQ224" s="97">
        <v>0</v>
      </c>
      <c r="BR224" s="97">
        <v>0</v>
      </c>
      <c r="BS224" s="97">
        <v>0</v>
      </c>
      <c r="BT224" s="97">
        <v>0</v>
      </c>
      <c r="BU224" s="97">
        <v>0</v>
      </c>
      <c r="BV224" s="97">
        <v>0</v>
      </c>
    </row>
    <row r="225" spans="1:74" ht="12" customHeight="1" x14ac:dyDescent="0.2">
      <c r="A225" s="104">
        <v>11</v>
      </c>
      <c r="B225" s="104" t="s">
        <v>26</v>
      </c>
      <c r="C225" s="90">
        <v>0.79963660434428507</v>
      </c>
      <c r="D225" s="90">
        <v>1.1897247070105956</v>
      </c>
      <c r="E225" s="90">
        <v>2.16117517805246</v>
      </c>
      <c r="F225" s="90">
        <v>2.4572348538389845</v>
      </c>
      <c r="G225" s="90">
        <v>2.6216374535435305</v>
      </c>
      <c r="H225" s="90">
        <v>3.7286128067360518</v>
      </c>
      <c r="I225" s="90">
        <v>4.2972093819568489</v>
      </c>
      <c r="J225" s="90">
        <v>3.0979478448313875</v>
      </c>
      <c r="K225" s="90">
        <v>1.6288101748819712</v>
      </c>
      <c r="L225" s="90">
        <v>0.71726964333566212</v>
      </c>
      <c r="M225" s="90">
        <v>0.5028457953722798</v>
      </c>
      <c r="N225" s="90">
        <v>0.43999555609593766</v>
      </c>
      <c r="O225" s="167">
        <f t="shared" si="24"/>
        <v>23.642099999999992</v>
      </c>
      <c r="Q225" s="104">
        <v>11</v>
      </c>
      <c r="R225" s="104" t="s">
        <v>26</v>
      </c>
      <c r="S225" s="90">
        <v>0.54181375887159022</v>
      </c>
      <c r="T225" s="90">
        <v>0.54181375887159022</v>
      </c>
      <c r="U225" s="90">
        <v>0.54181375887159022</v>
      </c>
      <c r="V225" s="90">
        <v>0.54181375887159022</v>
      </c>
      <c r="W225" s="90">
        <v>0.54181375887159022</v>
      </c>
      <c r="X225" s="90">
        <v>0.54181375887159022</v>
      </c>
      <c r="Y225" s="90">
        <v>0.54181375887159022</v>
      </c>
      <c r="Z225" s="90">
        <v>0.54181375887159022</v>
      </c>
      <c r="AA225" s="90">
        <v>0.54181375887159022</v>
      </c>
      <c r="AB225" s="90">
        <v>0.54181375887159022</v>
      </c>
      <c r="AC225" s="90">
        <v>0.54181375887159022</v>
      </c>
      <c r="AD225" s="90">
        <v>0.54181375887159022</v>
      </c>
      <c r="AE225" s="167">
        <f t="shared" si="25"/>
        <v>6.5017651064590813</v>
      </c>
      <c r="BK225" s="97">
        <v>0.23104227645141329</v>
      </c>
      <c r="BL225" s="97">
        <v>27.03296056303045</v>
      </c>
      <c r="BM225" s="97">
        <v>36.632826974077894</v>
      </c>
      <c r="BN225" s="97">
        <v>29.757777552329181</v>
      </c>
      <c r="BO225" s="97">
        <v>26.279863498501904</v>
      </c>
      <c r="BP225" s="97">
        <v>46.233906283789835</v>
      </c>
      <c r="BQ225" s="97">
        <v>17.62906666129841</v>
      </c>
      <c r="BR225" s="97">
        <v>1.2822296696747246</v>
      </c>
      <c r="BS225" s="97">
        <v>-26.647169874618978</v>
      </c>
      <c r="BT225" s="97">
        <v>-64.033306649571273</v>
      </c>
      <c r="BU225" s="97">
        <v>-65.819624890238316</v>
      </c>
      <c r="BV225" s="97">
        <v>-28.795768479758504</v>
      </c>
    </row>
    <row r="226" spans="1:74" ht="12" customHeight="1" x14ac:dyDescent="0.2">
      <c r="A226" s="104">
        <v>12</v>
      </c>
      <c r="B226" s="104" t="s">
        <v>27</v>
      </c>
      <c r="C226" s="90">
        <v>0</v>
      </c>
      <c r="D226" s="90">
        <v>0</v>
      </c>
      <c r="E226" s="90">
        <v>0</v>
      </c>
      <c r="F226" s="90">
        <v>0</v>
      </c>
      <c r="G226" s="90">
        <v>0</v>
      </c>
      <c r="H226" s="90">
        <v>0</v>
      </c>
      <c r="I226" s="90">
        <v>0</v>
      </c>
      <c r="J226" s="90">
        <v>0</v>
      </c>
      <c r="K226" s="90">
        <v>0</v>
      </c>
      <c r="L226" s="90">
        <v>0</v>
      </c>
      <c r="M226" s="90">
        <v>0</v>
      </c>
      <c r="N226" s="90">
        <v>0</v>
      </c>
      <c r="O226" s="167">
        <f t="shared" si="24"/>
        <v>0</v>
      </c>
      <c r="Q226" s="104">
        <v>12</v>
      </c>
      <c r="R226" s="104" t="s">
        <v>27</v>
      </c>
      <c r="S226" s="90">
        <v>0</v>
      </c>
      <c r="T226" s="90">
        <v>0</v>
      </c>
      <c r="U226" s="90">
        <v>0</v>
      </c>
      <c r="V226" s="90">
        <v>0</v>
      </c>
      <c r="W226" s="90">
        <v>0</v>
      </c>
      <c r="X226" s="90">
        <v>0</v>
      </c>
      <c r="Y226" s="90">
        <v>0</v>
      </c>
      <c r="Z226" s="90">
        <v>0</v>
      </c>
      <c r="AA226" s="90">
        <v>0</v>
      </c>
      <c r="AB226" s="90">
        <v>0</v>
      </c>
      <c r="AC226" s="90">
        <v>0</v>
      </c>
      <c r="AD226" s="90">
        <v>0</v>
      </c>
      <c r="AE226" s="167">
        <f t="shared" si="25"/>
        <v>0</v>
      </c>
      <c r="BK226" s="97">
        <v>-2.9182203177193697</v>
      </c>
      <c r="BL226" s="97">
        <v>0.69273757029275396</v>
      </c>
      <c r="BM226" s="97">
        <v>6.0361461980774731</v>
      </c>
      <c r="BN226" s="97">
        <v>8.032004552701455</v>
      </c>
      <c r="BO226" s="97">
        <v>2.7590200457690681</v>
      </c>
      <c r="BP226" s="97">
        <v>6.2591323346361456</v>
      </c>
      <c r="BQ226" s="97">
        <v>2.6253750571880037</v>
      </c>
      <c r="BR226" s="97">
        <v>-1.4454944933454297</v>
      </c>
      <c r="BS226" s="97">
        <v>-3.2543775889753617</v>
      </c>
      <c r="BT226" s="97">
        <v>-6.7887139613357483</v>
      </c>
      <c r="BU226" s="97">
        <v>-6.8529049105335131</v>
      </c>
      <c r="BV226" s="97">
        <v>-5.8157880409406877</v>
      </c>
    </row>
    <row r="227" spans="1:74" ht="12" customHeight="1" x14ac:dyDescent="0.2">
      <c r="A227" s="104">
        <v>13</v>
      </c>
      <c r="B227" s="104" t="s">
        <v>28</v>
      </c>
      <c r="C227" s="90">
        <v>0.19877679910892909</v>
      </c>
      <c r="D227" s="90">
        <v>0.25303306954267191</v>
      </c>
      <c r="E227" s="90">
        <v>0.42658814941177803</v>
      </c>
      <c r="F227" s="90">
        <v>0.65808440863975459</v>
      </c>
      <c r="G227" s="90">
        <v>0.92299353108818305</v>
      </c>
      <c r="H227" s="90">
        <v>1.5064258053396125</v>
      </c>
      <c r="I227" s="90">
        <v>1.5115857661296563</v>
      </c>
      <c r="J227" s="90">
        <v>2.810045495777497</v>
      </c>
      <c r="K227" s="90">
        <v>3.917006274723962</v>
      </c>
      <c r="L227" s="90">
        <v>5.2885161013683879</v>
      </c>
      <c r="M227" s="90">
        <v>4.6140304260432519</v>
      </c>
      <c r="N227" s="90">
        <v>1.8059141728263177</v>
      </c>
      <c r="O227" s="167">
        <f t="shared" si="24"/>
        <v>23.913</v>
      </c>
      <c r="Q227" s="104">
        <v>13</v>
      </c>
      <c r="R227" s="104" t="s">
        <v>28</v>
      </c>
      <c r="S227" s="90">
        <v>2.5631936448679249</v>
      </c>
      <c r="T227" s="90">
        <v>2.5631936448679249</v>
      </c>
      <c r="U227" s="90">
        <v>2.5631936448679249</v>
      </c>
      <c r="V227" s="90">
        <v>2.5631936448679249</v>
      </c>
      <c r="W227" s="90">
        <v>2.5631936448679249</v>
      </c>
      <c r="X227" s="90">
        <v>2.5631936448679249</v>
      </c>
      <c r="Y227" s="90">
        <v>2.5631936448679249</v>
      </c>
      <c r="Z227" s="90">
        <v>2.5631936448679249</v>
      </c>
      <c r="AA227" s="90">
        <v>2.5631936448679249</v>
      </c>
      <c r="AB227" s="90">
        <v>2.5631936448679249</v>
      </c>
      <c r="AC227" s="90">
        <v>2.5631936448679249</v>
      </c>
      <c r="AD227" s="90">
        <v>2.5631936448679249</v>
      </c>
      <c r="AE227" s="167">
        <f t="shared" si="25"/>
        <v>30.758323738415104</v>
      </c>
      <c r="BK227" s="97">
        <v>4.1604523712890418E-2</v>
      </c>
      <c r="BL227" s="97">
        <v>-3.8886320714768746E-2</v>
      </c>
      <c r="BM227" s="97">
        <v>4.5925505575155512E-2</v>
      </c>
      <c r="BN227" s="97">
        <v>2.4638323218880487E-2</v>
      </c>
      <c r="BO227" s="97">
        <v>0.11112820512821031</v>
      </c>
      <c r="BP227" s="97">
        <v>-5.6843418860808015E-14</v>
      </c>
      <c r="BQ227" s="97">
        <v>1.4738210651898953E-13</v>
      </c>
      <c r="BR227" s="97">
        <v>5.1458837191376006E-14</v>
      </c>
      <c r="BS227" s="97">
        <v>-7.5139936835113552E-3</v>
      </c>
      <c r="BT227" s="97">
        <v>-8.4553483509686389E-2</v>
      </c>
      <c r="BU227" s="97">
        <v>-3.8699760979836517E-2</v>
      </c>
      <c r="BV227" s="97">
        <v>-5.3704064537451079E-2</v>
      </c>
    </row>
    <row r="228" spans="1:74" ht="12" customHeight="1" x14ac:dyDescent="0.2">
      <c r="R228" s="97"/>
      <c r="AE228" s="98"/>
      <c r="BK228" s="97">
        <v>0</v>
      </c>
      <c r="BL228" s="97">
        <v>0</v>
      </c>
      <c r="BM228" s="97">
        <v>0</v>
      </c>
      <c r="BN228" s="97">
        <v>0</v>
      </c>
      <c r="BO228" s="97">
        <v>0</v>
      </c>
      <c r="BP228" s="97">
        <v>0</v>
      </c>
      <c r="BQ228" s="97">
        <v>0</v>
      </c>
      <c r="BR228" s="97">
        <v>0</v>
      </c>
      <c r="BS228" s="97">
        <v>0</v>
      </c>
      <c r="BT228" s="97">
        <v>0</v>
      </c>
      <c r="BU228" s="97">
        <v>0</v>
      </c>
      <c r="BV228" s="97">
        <v>0</v>
      </c>
    </row>
    <row r="229" spans="1:74" ht="12" customHeight="1" x14ac:dyDescent="0.2">
      <c r="B229" s="170" t="s">
        <v>210</v>
      </c>
      <c r="C229" s="102" t="s">
        <v>1</v>
      </c>
      <c r="D229" s="102" t="s">
        <v>2</v>
      </c>
      <c r="E229" s="102" t="s">
        <v>3</v>
      </c>
      <c r="F229" s="102" t="s">
        <v>4</v>
      </c>
      <c r="G229" s="102" t="s">
        <v>5</v>
      </c>
      <c r="H229" s="102" t="s">
        <v>6</v>
      </c>
      <c r="I229" s="102" t="s">
        <v>7</v>
      </c>
      <c r="J229" s="102" t="s">
        <v>8</v>
      </c>
      <c r="K229" s="102" t="s">
        <v>9</v>
      </c>
      <c r="L229" s="102" t="s">
        <v>10</v>
      </c>
      <c r="M229" s="102" t="s">
        <v>11</v>
      </c>
      <c r="N229" s="102" t="s">
        <v>12</v>
      </c>
      <c r="O229" s="99"/>
      <c r="R229" s="170" t="s">
        <v>220</v>
      </c>
      <c r="S229" s="102" t="s">
        <v>1</v>
      </c>
      <c r="T229" s="102" t="s">
        <v>2</v>
      </c>
      <c r="U229" s="102" t="s">
        <v>3</v>
      </c>
      <c r="V229" s="102" t="s">
        <v>4</v>
      </c>
      <c r="W229" s="102" t="s">
        <v>5</v>
      </c>
      <c r="X229" s="102" t="s">
        <v>6</v>
      </c>
      <c r="Y229" s="102" t="s">
        <v>7</v>
      </c>
      <c r="Z229" s="102" t="s">
        <v>8</v>
      </c>
      <c r="AA229" s="102" t="s">
        <v>9</v>
      </c>
      <c r="AB229" s="102" t="s">
        <v>10</v>
      </c>
      <c r="AC229" s="102" t="s">
        <v>11</v>
      </c>
      <c r="AD229" s="102" t="s">
        <v>12</v>
      </c>
      <c r="AE229" s="99"/>
      <c r="BK229" s="97">
        <v>0</v>
      </c>
      <c r="BL229" s="97">
        <v>0</v>
      </c>
      <c r="BM229" s="97">
        <v>0</v>
      </c>
      <c r="BN229" s="97">
        <v>0</v>
      </c>
      <c r="BO229" s="97">
        <v>0</v>
      </c>
      <c r="BP229" s="97">
        <v>0</v>
      </c>
      <c r="BQ229" s="97">
        <v>0</v>
      </c>
      <c r="BR229" s="97">
        <v>0</v>
      </c>
      <c r="BS229" s="97">
        <v>0</v>
      </c>
      <c r="BT229" s="97">
        <v>0</v>
      </c>
      <c r="BU229" s="97">
        <v>0</v>
      </c>
      <c r="BV229" s="97">
        <v>0</v>
      </c>
    </row>
    <row r="230" spans="1:74" ht="12" customHeight="1" x14ac:dyDescent="0.2">
      <c r="A230" s="104">
        <v>1</v>
      </c>
      <c r="B230" s="104" t="s">
        <v>21</v>
      </c>
      <c r="C230" s="90">
        <v>0.38947617089372799</v>
      </c>
      <c r="D230" s="90">
        <v>3.6326441320295458E-2</v>
      </c>
      <c r="E230" s="90">
        <v>0</v>
      </c>
      <c r="F230" s="90">
        <v>0</v>
      </c>
      <c r="G230" s="90">
        <v>0</v>
      </c>
      <c r="H230" s="90">
        <v>5.6230378419392111E-3</v>
      </c>
      <c r="I230" s="90">
        <v>0.13264501562864911</v>
      </c>
      <c r="J230" s="90">
        <v>0.58674991271646659</v>
      </c>
      <c r="K230" s="90">
        <v>1.2023943085757729</v>
      </c>
      <c r="L230" s="90">
        <v>1.7304629339233382</v>
      </c>
      <c r="M230" s="90">
        <v>1.596442762723421</v>
      </c>
      <c r="N230" s="90">
        <v>1.0448794163763904</v>
      </c>
      <c r="O230" s="167">
        <f>SUM(C230:N230)</f>
        <v>6.7250000000000005</v>
      </c>
      <c r="Q230" s="104">
        <v>1</v>
      </c>
      <c r="R230" s="104" t="s">
        <v>21</v>
      </c>
      <c r="S230" s="90">
        <f t="array" ref="S230:AD242">C200:N212+C215:N227+C230:N242+S200:AD212+S215:AD227</f>
        <v>9.114648421900533</v>
      </c>
      <c r="T230" s="90">
        <v>12.606738983969969</v>
      </c>
      <c r="U230" s="90">
        <v>17.628723897566275</v>
      </c>
      <c r="V230" s="90">
        <v>19.931757904717841</v>
      </c>
      <c r="W230" s="90">
        <v>23.578841502203659</v>
      </c>
      <c r="X230" s="90">
        <v>28.168842435721078</v>
      </c>
      <c r="Y230" s="90">
        <v>25.262655166769036</v>
      </c>
      <c r="Z230" s="90">
        <v>10.58088818805515</v>
      </c>
      <c r="AA230" s="90">
        <v>-4.6912780906224745</v>
      </c>
      <c r="AB230" s="90">
        <v>-15.14183197781316</v>
      </c>
      <c r="AC230" s="90">
        <v>-10.69575323575121</v>
      </c>
      <c r="AD230" s="90">
        <v>4.3499313441476843</v>
      </c>
      <c r="AE230" s="167">
        <f>SUM(S230:AD230)</f>
        <v>120.69416454086442</v>
      </c>
      <c r="BK230" s="97">
        <v>0</v>
      </c>
      <c r="BL230" s="97">
        <v>0</v>
      </c>
      <c r="BM230" s="97">
        <v>0</v>
      </c>
      <c r="BN230" s="97">
        <v>0</v>
      </c>
      <c r="BO230" s="97">
        <v>0</v>
      </c>
      <c r="BP230" s="97">
        <v>0</v>
      </c>
      <c r="BQ230" s="97">
        <v>0</v>
      </c>
      <c r="BR230" s="97">
        <v>0</v>
      </c>
      <c r="BS230" s="97">
        <v>0</v>
      </c>
      <c r="BT230" s="97">
        <v>0</v>
      </c>
      <c r="BU230" s="97">
        <v>0</v>
      </c>
      <c r="BV230" s="97">
        <v>0</v>
      </c>
    </row>
    <row r="231" spans="1:74" ht="12" customHeight="1" x14ac:dyDescent="0.2">
      <c r="A231" s="104">
        <v>2</v>
      </c>
      <c r="B231" s="104" t="s">
        <v>22</v>
      </c>
      <c r="C231" s="90">
        <v>0.24955113505856111</v>
      </c>
      <c r="D231" s="90">
        <v>0.26932346130628732</v>
      </c>
      <c r="E231" s="90">
        <v>0.41394143188405319</v>
      </c>
      <c r="F231" s="90">
        <v>0.51023649051541387</v>
      </c>
      <c r="G231" s="90">
        <v>0.65434762814041969</v>
      </c>
      <c r="H231" s="90">
        <v>0.88888535026643234</v>
      </c>
      <c r="I231" s="90">
        <v>0.84807660717543998</v>
      </c>
      <c r="J231" s="90">
        <v>0.61426213428991683</v>
      </c>
      <c r="K231" s="90">
        <v>0.36436674118154189</v>
      </c>
      <c r="L231" s="90">
        <v>0.2044352020342578</v>
      </c>
      <c r="M231" s="90">
        <v>0.17095734776566415</v>
      </c>
      <c r="N231" s="90">
        <v>0.17961647038201217</v>
      </c>
      <c r="O231" s="167">
        <f t="shared" ref="O231:O242" si="26">SUM(C231:N231)</f>
        <v>5.3679999999999994</v>
      </c>
      <c r="Q231" s="104">
        <v>2</v>
      </c>
      <c r="R231" s="104" t="s">
        <v>22</v>
      </c>
      <c r="S231" s="90">
        <v>2.8215078133705953</v>
      </c>
      <c r="T231" s="90">
        <v>3.9756245742278322</v>
      </c>
      <c r="U231" s="90">
        <v>9.7746116765221345</v>
      </c>
      <c r="V231" s="90">
        <v>6.7576305667686123</v>
      </c>
      <c r="W231" s="90">
        <v>15.630764288670321</v>
      </c>
      <c r="X231" s="90">
        <v>24.233473318193582</v>
      </c>
      <c r="Y231" s="90">
        <v>12.100594227159217</v>
      </c>
      <c r="Z231" s="90">
        <v>13.912471642812269</v>
      </c>
      <c r="AA231" s="90">
        <v>14.540605661313975</v>
      </c>
      <c r="AB231" s="90">
        <v>8.3017977073665978</v>
      </c>
      <c r="AC231" s="90">
        <v>7.4946858142443649</v>
      </c>
      <c r="AD231" s="90">
        <v>1.5848738962652418</v>
      </c>
      <c r="AE231" s="167">
        <f t="shared" ref="AE231:AE242" si="27">SUM(S231:AD231)</f>
        <v>121.12864118691473</v>
      </c>
      <c r="BK231" s="97">
        <v>0</v>
      </c>
      <c r="BL231" s="97">
        <v>0</v>
      </c>
      <c r="BM231" s="97">
        <v>0</v>
      </c>
      <c r="BN231" s="97">
        <v>0</v>
      </c>
      <c r="BO231" s="97">
        <v>0</v>
      </c>
      <c r="BP231" s="97">
        <v>0</v>
      </c>
      <c r="BQ231" s="97">
        <v>0</v>
      </c>
      <c r="BR231" s="97">
        <v>0</v>
      </c>
      <c r="BS231" s="97">
        <v>0</v>
      </c>
      <c r="BT231" s="97">
        <v>0</v>
      </c>
      <c r="BU231" s="97">
        <v>0</v>
      </c>
      <c r="BV231" s="97">
        <v>0</v>
      </c>
    </row>
    <row r="232" spans="1:74" ht="12" customHeight="1" x14ac:dyDescent="0.2">
      <c r="A232" s="104">
        <v>3</v>
      </c>
      <c r="B232" s="104" t="s">
        <v>17</v>
      </c>
      <c r="C232" s="90">
        <v>0.14763469927758677</v>
      </c>
      <c r="D232" s="90">
        <v>4.7098956807685062E-2</v>
      </c>
      <c r="E232" s="90">
        <v>0</v>
      </c>
      <c r="F232" s="90">
        <v>0</v>
      </c>
      <c r="G232" s="90">
        <v>0</v>
      </c>
      <c r="H232" s="90">
        <v>0</v>
      </c>
      <c r="I232" s="90">
        <v>6.0157479003735789E-2</v>
      </c>
      <c r="J232" s="90">
        <v>0.1501568570408208</v>
      </c>
      <c r="K232" s="90">
        <v>0.25348996700252668</v>
      </c>
      <c r="L232" s="90">
        <v>0.35344879038244692</v>
      </c>
      <c r="M232" s="90">
        <v>0.38215010105225428</v>
      </c>
      <c r="N232" s="90">
        <v>0.25686314943294375</v>
      </c>
      <c r="O232" s="167">
        <f t="shared" si="26"/>
        <v>1.6510000000000002</v>
      </c>
      <c r="Q232" s="104">
        <v>3</v>
      </c>
      <c r="R232" s="104" t="s">
        <v>17</v>
      </c>
      <c r="S232" s="90">
        <v>-24.736968526002364</v>
      </c>
      <c r="T232" s="90">
        <v>-19.273928817683675</v>
      </c>
      <c r="U232" s="90">
        <v>-8.7959757256326299</v>
      </c>
      <c r="V232" s="90">
        <v>-9.4334925226627853</v>
      </c>
      <c r="W232" s="90">
        <v>-4.1557821881895229</v>
      </c>
      <c r="X232" s="90">
        <v>7.2943342101432336</v>
      </c>
      <c r="Y232" s="90">
        <v>-3.9586965883366076E-2</v>
      </c>
      <c r="Z232" s="90">
        <v>-15.992295769424103</v>
      </c>
      <c r="AA232" s="90">
        <v>-24.832228419132445</v>
      </c>
      <c r="AB232" s="90">
        <v>-34.485708267665821</v>
      </c>
      <c r="AC232" s="90">
        <v>-36.933078970759446</v>
      </c>
      <c r="AD232" s="90">
        <v>-31.268828609276078</v>
      </c>
      <c r="AE232" s="167">
        <f t="shared" si="27"/>
        <v>-202.65354057216902</v>
      </c>
    </row>
    <row r="233" spans="1:74" ht="12" customHeight="1" x14ac:dyDescent="0.2">
      <c r="A233" s="108">
        <v>4</v>
      </c>
      <c r="B233" s="108" t="s">
        <v>0</v>
      </c>
      <c r="C233" s="90">
        <v>0</v>
      </c>
      <c r="D233" s="90">
        <v>0</v>
      </c>
      <c r="E233" s="90">
        <v>0</v>
      </c>
      <c r="F233" s="90">
        <v>0</v>
      </c>
      <c r="G233" s="90">
        <v>0</v>
      </c>
      <c r="H233" s="90">
        <v>0</v>
      </c>
      <c r="I233" s="90">
        <v>0</v>
      </c>
      <c r="J233" s="90">
        <v>0</v>
      </c>
      <c r="K233" s="90">
        <v>0</v>
      </c>
      <c r="L233" s="90">
        <v>0</v>
      </c>
      <c r="M233" s="90">
        <v>0</v>
      </c>
      <c r="N233" s="90">
        <v>0</v>
      </c>
      <c r="O233" s="167">
        <f t="shared" si="26"/>
        <v>0</v>
      </c>
      <c r="Q233" s="108">
        <v>4</v>
      </c>
      <c r="R233" s="108" t="s">
        <v>0</v>
      </c>
      <c r="S233" s="90">
        <v>0</v>
      </c>
      <c r="T233" s="90">
        <v>0</v>
      </c>
      <c r="U233" s="90">
        <v>0</v>
      </c>
      <c r="V233" s="90">
        <v>0</v>
      </c>
      <c r="W233" s="90">
        <v>0</v>
      </c>
      <c r="X233" s="90">
        <v>0</v>
      </c>
      <c r="Y233" s="90">
        <v>0</v>
      </c>
      <c r="Z233" s="90">
        <v>0</v>
      </c>
      <c r="AA233" s="90">
        <v>0</v>
      </c>
      <c r="AB233" s="90">
        <v>0</v>
      </c>
      <c r="AC233" s="90">
        <v>0</v>
      </c>
      <c r="AD233" s="90">
        <v>0</v>
      </c>
      <c r="AE233" s="167">
        <f t="shared" si="27"/>
        <v>0</v>
      </c>
    </row>
    <row r="234" spans="1:74" ht="12" customHeight="1" x14ac:dyDescent="0.2">
      <c r="A234" s="108">
        <v>5</v>
      </c>
      <c r="B234" s="108" t="s">
        <v>16</v>
      </c>
      <c r="C234" s="90">
        <v>0</v>
      </c>
      <c r="D234" s="90">
        <v>0</v>
      </c>
      <c r="E234" s="90">
        <v>0</v>
      </c>
      <c r="F234" s="90">
        <v>0</v>
      </c>
      <c r="G234" s="90">
        <v>0</v>
      </c>
      <c r="H234" s="90">
        <v>0</v>
      </c>
      <c r="I234" s="90">
        <v>0</v>
      </c>
      <c r="J234" s="90">
        <v>0</v>
      </c>
      <c r="K234" s="90">
        <v>0</v>
      </c>
      <c r="L234" s="90">
        <v>0</v>
      </c>
      <c r="M234" s="90">
        <v>0</v>
      </c>
      <c r="N234" s="90">
        <v>0</v>
      </c>
      <c r="O234" s="167">
        <f t="shared" si="26"/>
        <v>0</v>
      </c>
      <c r="Q234" s="108">
        <v>5</v>
      </c>
      <c r="R234" s="108" t="s">
        <v>16</v>
      </c>
      <c r="S234" s="90">
        <v>0</v>
      </c>
      <c r="T234" s="90">
        <v>0</v>
      </c>
      <c r="U234" s="90">
        <v>0</v>
      </c>
      <c r="V234" s="90">
        <v>0</v>
      </c>
      <c r="W234" s="90">
        <v>0</v>
      </c>
      <c r="X234" s="90">
        <v>0</v>
      </c>
      <c r="Y234" s="90">
        <v>0</v>
      </c>
      <c r="Z234" s="90">
        <v>0</v>
      </c>
      <c r="AA234" s="90">
        <v>0</v>
      </c>
      <c r="AB234" s="90">
        <v>0</v>
      </c>
      <c r="AC234" s="90">
        <v>0</v>
      </c>
      <c r="AD234" s="90">
        <v>0</v>
      </c>
      <c r="AE234" s="167">
        <f t="shared" si="27"/>
        <v>0</v>
      </c>
    </row>
    <row r="235" spans="1:74" ht="12" customHeight="1" x14ac:dyDescent="0.2">
      <c r="A235" s="104">
        <v>6</v>
      </c>
      <c r="B235" s="104" t="s">
        <v>18</v>
      </c>
      <c r="C235" s="90">
        <v>2.2801318678213625E-2</v>
      </c>
      <c r="D235" s="90">
        <v>2.2784847419740108E-2</v>
      </c>
      <c r="E235" s="90">
        <v>7.8979741472274934E-2</v>
      </c>
      <c r="F235" s="90">
        <v>7.3628959111216988E-2</v>
      </c>
      <c r="G235" s="90">
        <v>9.7787823479961039E-2</v>
      </c>
      <c r="H235" s="90">
        <v>0.23070791937836158</v>
      </c>
      <c r="I235" s="90">
        <v>0.24085644427723168</v>
      </c>
      <c r="J235" s="90">
        <v>0.10081743108035406</v>
      </c>
      <c r="K235" s="90">
        <v>4.488814496990947E-2</v>
      </c>
      <c r="L235" s="90">
        <v>3.4180827909085026E-2</v>
      </c>
      <c r="M235" s="90">
        <v>3.4434146171051401E-2</v>
      </c>
      <c r="N235" s="90">
        <v>2.5132396052600217E-2</v>
      </c>
      <c r="O235" s="167">
        <f t="shared" si="26"/>
        <v>1.0070000000000001</v>
      </c>
      <c r="Q235" s="104">
        <v>6</v>
      </c>
      <c r="R235" s="104" t="s">
        <v>18</v>
      </c>
      <c r="S235" s="90">
        <v>16.630869852275989</v>
      </c>
      <c r="T235" s="90">
        <v>14.652122679521625</v>
      </c>
      <c r="U235" s="90">
        <v>13.720880230469609</v>
      </c>
      <c r="V235" s="90">
        <v>13.875041920069499</v>
      </c>
      <c r="W235" s="90">
        <v>12.992873340125934</v>
      </c>
      <c r="X235" s="90">
        <v>16.565932810558888</v>
      </c>
      <c r="Y235" s="90">
        <v>15.973482827530356</v>
      </c>
      <c r="Z235" s="90">
        <v>17.324899118365142</v>
      </c>
      <c r="AA235" s="90">
        <v>20.084262623923305</v>
      </c>
      <c r="AB235" s="90">
        <v>19.678321556832014</v>
      </c>
      <c r="AC235" s="90">
        <v>20.462789654572006</v>
      </c>
      <c r="AD235" s="90">
        <v>18.179962352644601</v>
      </c>
      <c r="AE235" s="167">
        <f t="shared" si="27"/>
        <v>200.14143896688896</v>
      </c>
    </row>
    <row r="236" spans="1:74" ht="12" customHeight="1" x14ac:dyDescent="0.2">
      <c r="A236" s="108">
        <v>7</v>
      </c>
      <c r="B236" s="108" t="s">
        <v>19</v>
      </c>
      <c r="C236" s="90">
        <v>0</v>
      </c>
      <c r="D236" s="90">
        <v>0</v>
      </c>
      <c r="E236" s="90">
        <v>0</v>
      </c>
      <c r="F236" s="90">
        <v>0</v>
      </c>
      <c r="G236" s="90">
        <v>0</v>
      </c>
      <c r="H236" s="90">
        <v>0</v>
      </c>
      <c r="I236" s="90">
        <v>0</v>
      </c>
      <c r="J236" s="90">
        <v>0</v>
      </c>
      <c r="K236" s="90">
        <v>0</v>
      </c>
      <c r="L236" s="90">
        <v>0</v>
      </c>
      <c r="M236" s="90">
        <v>0</v>
      </c>
      <c r="N236" s="90">
        <v>0</v>
      </c>
      <c r="O236" s="167">
        <f t="shared" si="26"/>
        <v>0</v>
      </c>
      <c r="Q236" s="108">
        <v>7</v>
      </c>
      <c r="R236" s="108" t="s">
        <v>19</v>
      </c>
      <c r="S236" s="90">
        <v>0</v>
      </c>
      <c r="T236" s="90">
        <v>0</v>
      </c>
      <c r="U236" s="90">
        <v>0</v>
      </c>
      <c r="V236" s="90">
        <v>0</v>
      </c>
      <c r="W236" s="90">
        <v>0</v>
      </c>
      <c r="X236" s="90">
        <v>0</v>
      </c>
      <c r="Y236" s="90">
        <v>0</v>
      </c>
      <c r="Z236" s="90">
        <v>0</v>
      </c>
      <c r="AA236" s="90">
        <v>0</v>
      </c>
      <c r="AB236" s="90">
        <v>0</v>
      </c>
      <c r="AC236" s="90">
        <v>0</v>
      </c>
      <c r="AD236" s="90">
        <v>0</v>
      </c>
      <c r="AE236" s="167">
        <f t="shared" si="27"/>
        <v>0</v>
      </c>
    </row>
    <row r="237" spans="1:74" ht="12" customHeight="1" x14ac:dyDescent="0.2">
      <c r="A237" s="108">
        <v>8</v>
      </c>
      <c r="B237" s="108" t="s">
        <v>23</v>
      </c>
      <c r="C237" s="90">
        <v>0</v>
      </c>
      <c r="D237" s="90">
        <v>0</v>
      </c>
      <c r="E237" s="90">
        <v>0</v>
      </c>
      <c r="F237" s="90">
        <v>0</v>
      </c>
      <c r="G237" s="90">
        <v>0</v>
      </c>
      <c r="H237" s="90">
        <v>0</v>
      </c>
      <c r="I237" s="90">
        <v>0</v>
      </c>
      <c r="J237" s="90">
        <v>0</v>
      </c>
      <c r="K237" s="90">
        <v>0</v>
      </c>
      <c r="L237" s="90">
        <v>0</v>
      </c>
      <c r="M237" s="90">
        <v>0</v>
      </c>
      <c r="N237" s="90">
        <v>0</v>
      </c>
      <c r="O237" s="167">
        <f t="shared" si="26"/>
        <v>0</v>
      </c>
      <c r="Q237" s="108">
        <v>8</v>
      </c>
      <c r="R237" s="108" t="s">
        <v>23</v>
      </c>
      <c r="S237" s="90">
        <v>1.8516374444625501</v>
      </c>
      <c r="T237" s="90">
        <v>1.2640251109564364</v>
      </c>
      <c r="U237" s="90">
        <v>1.8852651130404892</v>
      </c>
      <c r="V237" s="90">
        <v>2.3992041211329598</v>
      </c>
      <c r="W237" s="90">
        <v>3.250833751354707</v>
      </c>
      <c r="X237" s="90">
        <v>5.1973516870262495</v>
      </c>
      <c r="Y237" s="90">
        <v>5.3053911043871524</v>
      </c>
      <c r="Z237" s="90">
        <v>5.3003121159295326</v>
      </c>
      <c r="AA237" s="90">
        <v>5.6827671485542375</v>
      </c>
      <c r="AB237" s="90">
        <v>3.847365495197836</v>
      </c>
      <c r="AC237" s="90">
        <v>3.1311031734009642</v>
      </c>
      <c r="AD237" s="90">
        <v>1.7922535149515726</v>
      </c>
      <c r="AE237" s="167">
        <f t="shared" si="27"/>
        <v>40.90750978039469</v>
      </c>
    </row>
    <row r="238" spans="1:74" ht="12" customHeight="1" x14ac:dyDescent="0.2">
      <c r="A238" s="108">
        <v>9</v>
      </c>
      <c r="B238" s="108" t="s">
        <v>24</v>
      </c>
      <c r="C238" s="90">
        <v>0</v>
      </c>
      <c r="D238" s="90">
        <v>0</v>
      </c>
      <c r="E238" s="90">
        <v>0</v>
      </c>
      <c r="F238" s="90">
        <v>0</v>
      </c>
      <c r="G238" s="90">
        <v>0</v>
      </c>
      <c r="H238" s="90">
        <v>0</v>
      </c>
      <c r="I238" s="90">
        <v>0</v>
      </c>
      <c r="J238" s="90">
        <v>0</v>
      </c>
      <c r="K238" s="90">
        <v>0</v>
      </c>
      <c r="L238" s="90">
        <v>0</v>
      </c>
      <c r="M238" s="90">
        <v>0</v>
      </c>
      <c r="N238" s="90">
        <v>0</v>
      </c>
      <c r="O238" s="167">
        <f t="shared" si="26"/>
        <v>0</v>
      </c>
      <c r="Q238" s="108">
        <v>9</v>
      </c>
      <c r="R238" s="108" t="s">
        <v>24</v>
      </c>
      <c r="S238" s="90">
        <v>0</v>
      </c>
      <c r="T238" s="90">
        <v>0</v>
      </c>
      <c r="U238" s="90">
        <v>0</v>
      </c>
      <c r="V238" s="90">
        <v>0</v>
      </c>
      <c r="W238" s="90">
        <v>0</v>
      </c>
      <c r="X238" s="90">
        <v>0</v>
      </c>
      <c r="Y238" s="90">
        <v>0</v>
      </c>
      <c r="Z238" s="90">
        <v>0</v>
      </c>
      <c r="AA238" s="90">
        <v>0</v>
      </c>
      <c r="AB238" s="90">
        <v>0</v>
      </c>
      <c r="AC238" s="90">
        <v>0</v>
      </c>
      <c r="AD238" s="90">
        <v>0</v>
      </c>
      <c r="AE238" s="167">
        <f t="shared" si="27"/>
        <v>0</v>
      </c>
    </row>
    <row r="239" spans="1:74" ht="12" customHeight="1" x14ac:dyDescent="0.2">
      <c r="A239" s="104">
        <v>10</v>
      </c>
      <c r="B239" s="104" t="s">
        <v>25</v>
      </c>
      <c r="C239" s="90">
        <v>0.38730576069027528</v>
      </c>
      <c r="D239" s="90">
        <v>0.11900873422498288</v>
      </c>
      <c r="E239" s="90">
        <v>0.23592255304747128</v>
      </c>
      <c r="F239" s="90">
        <v>0.39731234641224961</v>
      </c>
      <c r="G239" s="90">
        <v>0.53815812189038525</v>
      </c>
      <c r="H239" s="90">
        <v>0.85765187126384823</v>
      </c>
      <c r="I239" s="90">
        <v>0.80994979430571168</v>
      </c>
      <c r="J239" s="90">
        <v>0.88440364016907425</v>
      </c>
      <c r="K239" s="90">
        <v>0.93307962672762013</v>
      </c>
      <c r="L239" s="90">
        <v>1.000884443114133</v>
      </c>
      <c r="M239" s="90">
        <v>0.89538471265933317</v>
      </c>
      <c r="N239" s="90">
        <v>0.61293839549491402</v>
      </c>
      <c r="O239" s="167">
        <f t="shared" si="26"/>
        <v>7.6719999999999988</v>
      </c>
      <c r="Q239" s="104">
        <v>10</v>
      </c>
      <c r="R239" s="104" t="s">
        <v>25</v>
      </c>
      <c r="S239" s="90">
        <v>3.0929398419102663</v>
      </c>
      <c r="T239" s="90">
        <v>1.4512567382409154</v>
      </c>
      <c r="U239" s="90">
        <v>2.2396207711025564</v>
      </c>
      <c r="V239" s="90">
        <v>2.7993249963461881</v>
      </c>
      <c r="W239" s="90">
        <v>4.5665531938984021</v>
      </c>
      <c r="X239" s="90">
        <v>16.225808883734569</v>
      </c>
      <c r="Y239" s="90">
        <v>17.111365280525337</v>
      </c>
      <c r="Z239" s="90">
        <v>13.48339662066533</v>
      </c>
      <c r="AA239" s="90">
        <v>17.309333151070248</v>
      </c>
      <c r="AB239" s="90">
        <v>11.422776211562006</v>
      </c>
      <c r="AC239" s="90">
        <v>9.2168041761823964</v>
      </c>
      <c r="AD239" s="90">
        <v>1.4977399206048045</v>
      </c>
      <c r="AE239" s="167">
        <f t="shared" si="27"/>
        <v>100.41691978584302</v>
      </c>
    </row>
    <row r="240" spans="1:74" ht="12" customHeight="1" x14ac:dyDescent="0.2">
      <c r="A240" s="104">
        <v>11</v>
      </c>
      <c r="B240" s="104" t="s">
        <v>26</v>
      </c>
      <c r="C240" s="90">
        <v>7.7080724190170383E-2</v>
      </c>
      <c r="D240" s="90">
        <v>0.11421419840619913</v>
      </c>
      <c r="E240" s="90">
        <v>0.21605102603938503</v>
      </c>
      <c r="F240" s="90">
        <v>0.24479087599231439</v>
      </c>
      <c r="G240" s="90">
        <v>0.26122766437902217</v>
      </c>
      <c r="H240" s="90">
        <v>0.37421931610327352</v>
      </c>
      <c r="I240" s="90">
        <v>0.44340524344653115</v>
      </c>
      <c r="J240" s="90">
        <v>0.31121413147817228</v>
      </c>
      <c r="K240" s="90">
        <v>0.16087997818601565</v>
      </c>
      <c r="L240" s="90">
        <v>7.0732765219731555E-2</v>
      </c>
      <c r="M240" s="90">
        <v>4.8550246410276089E-2</v>
      </c>
      <c r="N240" s="90">
        <v>4.1843830148908454E-2</v>
      </c>
      <c r="O240" s="167">
        <f t="shared" si="26"/>
        <v>2.3642100000000004</v>
      </c>
      <c r="Q240" s="104">
        <v>11</v>
      </c>
      <c r="R240" s="104" t="s">
        <v>26</v>
      </c>
      <c r="S240" s="90">
        <v>1.1219977998705013</v>
      </c>
      <c r="T240" s="90">
        <v>0.52792718338241762</v>
      </c>
      <c r="U240" s="90">
        <v>0.98155051025989459</v>
      </c>
      <c r="V240" s="90">
        <v>2.3566884151935272</v>
      </c>
      <c r="W240" s="90">
        <v>2.8158865762306964</v>
      </c>
      <c r="X240" s="90">
        <v>7.1204763314907309</v>
      </c>
      <c r="Y240" s="90">
        <v>11.318371667661166</v>
      </c>
      <c r="Z240" s="90">
        <v>6.7966791717704265</v>
      </c>
      <c r="AA240" s="90">
        <v>7.7137659959208902</v>
      </c>
      <c r="AB240" s="90">
        <v>10.164461389198429</v>
      </c>
      <c r="AC240" s="90">
        <v>7.8446505817909511</v>
      </c>
      <c r="AD240" s="90">
        <v>2.177619483689464</v>
      </c>
      <c r="AE240" s="167">
        <f t="shared" si="27"/>
        <v>60.940075106459091</v>
      </c>
    </row>
    <row r="241" spans="1:31" ht="12" customHeight="1" x14ac:dyDescent="0.2">
      <c r="A241" s="104">
        <v>12</v>
      </c>
      <c r="B241" s="104" t="s">
        <v>27</v>
      </c>
      <c r="C241" s="90">
        <v>0</v>
      </c>
      <c r="D241" s="90">
        <v>0</v>
      </c>
      <c r="E241" s="90">
        <v>0</v>
      </c>
      <c r="F241" s="90">
        <v>0</v>
      </c>
      <c r="G241" s="90">
        <v>0</v>
      </c>
      <c r="H241" s="90">
        <v>0</v>
      </c>
      <c r="I241" s="90">
        <v>0</v>
      </c>
      <c r="J241" s="90">
        <v>0</v>
      </c>
      <c r="K241" s="90">
        <v>0</v>
      </c>
      <c r="L241" s="90">
        <v>0</v>
      </c>
      <c r="M241" s="90">
        <v>0</v>
      </c>
      <c r="N241" s="90">
        <v>0</v>
      </c>
      <c r="O241" s="167">
        <f t="shared" si="26"/>
        <v>0</v>
      </c>
      <c r="Q241" s="104">
        <v>12</v>
      </c>
      <c r="R241" s="104" t="s">
        <v>27</v>
      </c>
      <c r="S241" s="90">
        <v>0</v>
      </c>
      <c r="T241" s="90">
        <v>0</v>
      </c>
      <c r="U241" s="90">
        <v>0</v>
      </c>
      <c r="V241" s="90">
        <v>0</v>
      </c>
      <c r="W241" s="90">
        <v>0</v>
      </c>
      <c r="X241" s="90">
        <v>0</v>
      </c>
      <c r="Y241" s="90">
        <v>0</v>
      </c>
      <c r="Z241" s="90">
        <v>0</v>
      </c>
      <c r="AA241" s="90">
        <v>0</v>
      </c>
      <c r="AB241" s="90">
        <v>0</v>
      </c>
      <c r="AC241" s="90">
        <v>0</v>
      </c>
      <c r="AD241" s="90">
        <v>0</v>
      </c>
      <c r="AE241" s="167">
        <f t="shared" si="27"/>
        <v>0</v>
      </c>
    </row>
    <row r="242" spans="1:31" ht="12" customHeight="1" x14ac:dyDescent="0.2">
      <c r="A242" s="104">
        <v>13</v>
      </c>
      <c r="B242" s="104" t="s">
        <v>28</v>
      </c>
      <c r="C242" s="90">
        <v>1.3269384240569435E-2</v>
      </c>
      <c r="D242" s="90">
        <v>1.675787592169831E-2</v>
      </c>
      <c r="E242" s="90">
        <v>2.8643169496331715E-2</v>
      </c>
      <c r="F242" s="90">
        <v>4.4315987709980714E-2</v>
      </c>
      <c r="G242" s="90">
        <v>6.197926729222171E-2</v>
      </c>
      <c r="H242" s="90">
        <v>0.10080703073769638</v>
      </c>
      <c r="I242" s="90">
        <v>0.10146664596047732</v>
      </c>
      <c r="J242" s="90">
        <v>8.2540898908722252E-2</v>
      </c>
      <c r="K242" s="90">
        <v>0.35678562824104143</v>
      </c>
      <c r="L242" s="90">
        <v>0.81253053198425473</v>
      </c>
      <c r="M242" s="90">
        <v>0.67633197552629809</v>
      </c>
      <c r="N242" s="90">
        <v>0.36157160398070837</v>
      </c>
      <c r="O242" s="167">
        <f t="shared" si="26"/>
        <v>2.6570000000000005</v>
      </c>
      <c r="Q242" s="104">
        <v>13</v>
      </c>
      <c r="R242" s="104" t="s">
        <v>28</v>
      </c>
      <c r="S242" s="90">
        <v>15.430372721198838</v>
      </c>
      <c r="T242" s="90">
        <v>22.93517957833652</v>
      </c>
      <c r="U242" s="90">
        <v>27.268845869296101</v>
      </c>
      <c r="V242" s="90">
        <v>28.896289877285945</v>
      </c>
      <c r="W242" s="90">
        <v>22.467848473463768</v>
      </c>
      <c r="X242" s="90">
        <v>21.357608719737641</v>
      </c>
      <c r="Y242" s="90">
        <v>11.82587121138242</v>
      </c>
      <c r="Z242" s="90">
        <v>16.730541121124133</v>
      </c>
      <c r="AA242" s="90">
        <v>21.851761655108021</v>
      </c>
      <c r="AB242" s="90">
        <v>26.035212888951918</v>
      </c>
      <c r="AC242" s="90">
        <v>27.196820117639074</v>
      </c>
      <c r="AD242" s="90">
        <v>17.781971504890748</v>
      </c>
      <c r="AE242" s="167">
        <f t="shared" si="27"/>
        <v>259.77832373841511</v>
      </c>
    </row>
  </sheetData>
  <conditionalFormatting sqref="C3:O15">
    <cfRule type="colorScale" priority="6">
      <colorScale>
        <cfvo type="min"/>
        <cfvo type="percentile" val="50"/>
        <cfvo type="max"/>
        <color rgb="FFF8696B"/>
        <color rgb="FFFCFCFF"/>
        <color rgb="FF63BE7B"/>
      </colorScale>
    </cfRule>
  </conditionalFormatting>
  <conditionalFormatting sqref="C17:O30">
    <cfRule type="colorScale" priority="7">
      <colorScale>
        <cfvo type="min"/>
        <cfvo type="percentile" val="50"/>
        <cfvo type="max"/>
        <color rgb="FFF8696B"/>
        <color rgb="FFFCFCFF"/>
        <color rgb="FF63BE7B"/>
      </colorScale>
    </cfRule>
  </conditionalFormatting>
  <conditionalFormatting sqref="C32:O32">
    <cfRule type="colorScale" priority="5">
      <colorScale>
        <cfvo type="min"/>
        <cfvo type="percentile" val="50"/>
        <cfvo type="max"/>
        <color rgb="FFF8696B"/>
        <color rgb="FFFCFCFF"/>
        <color rgb="FF63BE7B"/>
      </colorScale>
    </cfRule>
  </conditionalFormatting>
  <conditionalFormatting sqref="C33:O45">
    <cfRule type="colorScale" priority="4">
      <colorScale>
        <cfvo type="min"/>
        <cfvo type="percentile" val="50"/>
        <cfvo type="max"/>
        <color rgb="FFF8696B"/>
        <color rgb="FFFCFCFF"/>
        <color rgb="FF63BE7B"/>
      </colorScale>
    </cfRule>
  </conditionalFormatting>
  <conditionalFormatting sqref="AX45:BI70">
    <cfRule type="cellIs" dxfId="2" priority="3" operator="lessThan">
      <formula>0</formula>
    </cfRule>
  </conditionalFormatting>
  <conditionalFormatting sqref="BL45:BW70">
    <cfRule type="cellIs" dxfId="1" priority="2" operator="lessThan">
      <formula>0</formula>
    </cfRule>
  </conditionalFormatting>
  <conditionalFormatting sqref="CN45:CX70">
    <cfRule type="cellIs" dxfId="0" priority="1" operator="lessThan">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133E6-633D-4E22-87F8-3250F9320360}">
  <sheetPr codeName="Sheet92">
    <tabColor theme="0" tint="-0.499984740745262"/>
  </sheetPr>
  <dimension ref="A1:AG89"/>
  <sheetViews>
    <sheetView zoomScale="85" zoomScaleNormal="85" workbookViewId="0">
      <selection activeCell="A76" sqref="A76"/>
    </sheetView>
  </sheetViews>
  <sheetFormatPr defaultRowHeight="15" x14ac:dyDescent="0.25"/>
  <cols>
    <col min="1" max="1" width="23" style="207" customWidth="1"/>
    <col min="2" max="13" width="8.88671875" customWidth="1"/>
    <col min="14" max="14" width="9.5546875" customWidth="1"/>
    <col min="15" max="15" width="3.33203125" customWidth="1"/>
    <col min="16" max="16" width="11.5546875" customWidth="1"/>
    <col min="17" max="17" width="8.33203125" customWidth="1"/>
    <col min="18" max="18" width="23" style="207" customWidth="1"/>
    <col min="19" max="30" width="8.88671875" customWidth="1"/>
    <col min="31" max="31" width="9.5546875" customWidth="1"/>
    <col min="32" max="32" width="3.33203125" customWidth="1"/>
    <col min="33" max="33" width="11.5546875" customWidth="1"/>
  </cols>
  <sheetData>
    <row r="1" spans="1:33" s="207" customFormat="1" x14ac:dyDescent="0.25">
      <c r="A1" s="206" t="s">
        <v>297</v>
      </c>
      <c r="B1" s="206" t="s">
        <v>87</v>
      </c>
      <c r="C1" s="206" t="s">
        <v>88</v>
      </c>
      <c r="D1" s="206" t="s">
        <v>89</v>
      </c>
      <c r="E1" s="206" t="s">
        <v>90</v>
      </c>
      <c r="F1" s="206" t="s">
        <v>91</v>
      </c>
      <c r="G1" s="206" t="s">
        <v>6</v>
      </c>
      <c r="H1" s="206" t="s">
        <v>92</v>
      </c>
      <c r="I1" s="206" t="s">
        <v>8</v>
      </c>
      <c r="J1" s="206" t="s">
        <v>93</v>
      </c>
      <c r="K1" s="206" t="s">
        <v>94</v>
      </c>
      <c r="L1" s="206" t="s">
        <v>95</v>
      </c>
      <c r="M1" s="206" t="s">
        <v>96</v>
      </c>
      <c r="N1" s="205">
        <f>SUM(N2:N14)</f>
        <v>711.1381996742698</v>
      </c>
      <c r="P1" s="206" t="s">
        <v>221</v>
      </c>
    </row>
    <row r="2" spans="1:33" x14ac:dyDescent="0.25">
      <c r="A2" s="206" t="s">
        <v>224</v>
      </c>
      <c r="B2" s="203">
        <v>3.5739620479327652</v>
      </c>
      <c r="C2" s="203">
        <v>3.2165658431394886</v>
      </c>
      <c r="D2" s="203">
        <v>2.8591696383462124</v>
      </c>
      <c r="E2" s="203">
        <v>2.9029077394048635</v>
      </c>
      <c r="F2" s="203">
        <v>3.0843394731176668</v>
      </c>
      <c r="G2" s="203">
        <v>3.2657712068304705</v>
      </c>
      <c r="H2" s="203">
        <v>3.4472029405432747</v>
      </c>
      <c r="I2" s="203">
        <v>3.8100664079688826</v>
      </c>
      <c r="J2" s="203">
        <v>4.5357933428200985</v>
      </c>
      <c r="K2" s="203">
        <v>4.1729298753944901</v>
      </c>
      <c r="L2" s="203">
        <v>4.3543616091072943</v>
      </c>
      <c r="M2" s="203">
        <v>4.1729298753944901</v>
      </c>
      <c r="N2" s="204">
        <f t="shared" ref="N2:N14" si="0">SUM(B2:M2)</f>
        <v>43.395999999999994</v>
      </c>
      <c r="P2" s="203">
        <v>43.396000000000001</v>
      </c>
      <c r="R2"/>
    </row>
    <row r="3" spans="1:33" x14ac:dyDescent="0.25">
      <c r="A3" s="206" t="s">
        <v>225</v>
      </c>
      <c r="B3" s="203">
        <v>7.0716615634573419</v>
      </c>
      <c r="C3" s="203">
        <v>6.3644954071116082</v>
      </c>
      <c r="D3" s="203">
        <v>5.6573292507658737</v>
      </c>
      <c r="E3" s="203">
        <v>5.7438721530034567</v>
      </c>
      <c r="F3" s="203">
        <v>6.1028641625661715</v>
      </c>
      <c r="G3" s="203">
        <v>6.4618561721288863</v>
      </c>
      <c r="H3" s="203">
        <v>6.8208481816916038</v>
      </c>
      <c r="I3" s="203">
        <v>7.5388322008170361</v>
      </c>
      <c r="J3" s="203">
        <v>8.9748002390678998</v>
      </c>
      <c r="K3" s="203">
        <v>8.2568162199424666</v>
      </c>
      <c r="L3" s="203">
        <v>8.6158082295051841</v>
      </c>
      <c r="M3" s="203">
        <v>8.2568162199424666</v>
      </c>
      <c r="N3" s="204">
        <f t="shared" si="0"/>
        <v>85.865999999999985</v>
      </c>
      <c r="P3" s="203">
        <v>85.866</v>
      </c>
      <c r="R3"/>
    </row>
    <row r="4" spans="1:33" x14ac:dyDescent="0.25">
      <c r="A4" s="206" t="s">
        <v>226</v>
      </c>
      <c r="B4" s="203">
        <v>34.358165059657075</v>
      </c>
      <c r="C4" s="203">
        <v>30.922348553691368</v>
      </c>
      <c r="D4" s="203">
        <v>27.48653204772566</v>
      </c>
      <c r="E4" s="203">
        <v>27.907006824853841</v>
      </c>
      <c r="F4" s="203">
        <v>29.6511947514072</v>
      </c>
      <c r="G4" s="203">
        <v>31.395382677960562</v>
      </c>
      <c r="H4" s="203">
        <v>33.139570604513928</v>
      </c>
      <c r="I4" s="203">
        <v>36.627946457620659</v>
      </c>
      <c r="J4" s="203">
        <v>43.604698163834115</v>
      </c>
      <c r="K4" s="203">
        <v>40.116322310727384</v>
      </c>
      <c r="L4" s="203">
        <v>41.860510237280756</v>
      </c>
      <c r="M4" s="203">
        <v>40.116322310727384</v>
      </c>
      <c r="N4" s="204">
        <f t="shared" si="0"/>
        <v>417.18599999999992</v>
      </c>
      <c r="P4" s="203">
        <v>417.18599999999998</v>
      </c>
      <c r="R4"/>
    </row>
    <row r="5" spans="1:33" x14ac:dyDescent="0.25">
      <c r="A5" s="206" t="s">
        <v>227</v>
      </c>
      <c r="B5" s="203">
        <v>0</v>
      </c>
      <c r="C5" s="203">
        <v>0</v>
      </c>
      <c r="D5" s="203">
        <v>0</v>
      </c>
      <c r="E5" s="203">
        <v>0</v>
      </c>
      <c r="F5" s="203">
        <v>0</v>
      </c>
      <c r="G5" s="203">
        <v>0</v>
      </c>
      <c r="H5" s="203">
        <v>0</v>
      </c>
      <c r="I5" s="203">
        <v>0</v>
      </c>
      <c r="J5" s="203">
        <v>0</v>
      </c>
      <c r="K5" s="203">
        <v>0</v>
      </c>
      <c r="L5" s="203">
        <v>0</v>
      </c>
      <c r="M5" s="203">
        <v>0</v>
      </c>
      <c r="N5" s="204">
        <f t="shared" si="0"/>
        <v>0</v>
      </c>
      <c r="P5" s="203">
        <v>0</v>
      </c>
      <c r="R5"/>
    </row>
    <row r="6" spans="1:33" x14ac:dyDescent="0.25">
      <c r="A6" s="206" t="s">
        <v>228</v>
      </c>
      <c r="B6" s="203">
        <v>0</v>
      </c>
      <c r="C6" s="203">
        <v>0</v>
      </c>
      <c r="D6" s="203">
        <v>0</v>
      </c>
      <c r="E6" s="203">
        <v>0</v>
      </c>
      <c r="F6" s="203">
        <v>0</v>
      </c>
      <c r="G6" s="203">
        <v>0</v>
      </c>
      <c r="H6" s="203">
        <v>0</v>
      </c>
      <c r="I6" s="203">
        <v>0</v>
      </c>
      <c r="J6" s="203">
        <v>0</v>
      </c>
      <c r="K6" s="203">
        <v>0</v>
      </c>
      <c r="L6" s="203">
        <v>0</v>
      </c>
      <c r="M6" s="203">
        <v>0</v>
      </c>
      <c r="N6" s="204">
        <f t="shared" si="0"/>
        <v>0</v>
      </c>
      <c r="P6" s="203">
        <v>0</v>
      </c>
      <c r="R6"/>
    </row>
    <row r="7" spans="1:33" x14ac:dyDescent="0.25">
      <c r="A7" s="206" t="s">
        <v>229</v>
      </c>
      <c r="B7" s="203">
        <v>0.88994916328605078</v>
      </c>
      <c r="C7" s="203">
        <v>0.80095424695744566</v>
      </c>
      <c r="D7" s="203">
        <v>0.71195933062884065</v>
      </c>
      <c r="E7" s="203">
        <v>0.72285051691420765</v>
      </c>
      <c r="F7" s="203">
        <v>0.76802867422134535</v>
      </c>
      <c r="G7" s="203">
        <v>0.81320683152848328</v>
      </c>
      <c r="H7" s="203">
        <v>0.85838498883562131</v>
      </c>
      <c r="I7" s="203">
        <v>0.94874130344989727</v>
      </c>
      <c r="J7" s="203">
        <v>1.1294539326784492</v>
      </c>
      <c r="K7" s="203">
        <v>1.0390976180641731</v>
      </c>
      <c r="L7" s="203">
        <v>1.0842757753713113</v>
      </c>
      <c r="M7" s="203">
        <v>1.0390976180641731</v>
      </c>
      <c r="N7" s="204">
        <f t="shared" si="0"/>
        <v>10.806000000000001</v>
      </c>
      <c r="P7" s="203">
        <v>10.805999999999999</v>
      </c>
      <c r="R7"/>
    </row>
    <row r="8" spans="1:33" x14ac:dyDescent="0.25">
      <c r="A8" s="206" t="s">
        <v>230</v>
      </c>
      <c r="B8" s="203">
        <v>0</v>
      </c>
      <c r="C8" s="203">
        <v>0</v>
      </c>
      <c r="D8" s="203">
        <v>0</v>
      </c>
      <c r="E8" s="203">
        <v>0</v>
      </c>
      <c r="F8" s="203">
        <v>0</v>
      </c>
      <c r="G8" s="203">
        <v>0</v>
      </c>
      <c r="H8" s="203">
        <v>0</v>
      </c>
      <c r="I8" s="203">
        <v>0</v>
      </c>
      <c r="J8" s="203">
        <v>0</v>
      </c>
      <c r="K8" s="203">
        <v>0</v>
      </c>
      <c r="L8" s="203">
        <v>0</v>
      </c>
      <c r="M8" s="203">
        <v>0</v>
      </c>
      <c r="N8" s="204">
        <f t="shared" si="0"/>
        <v>0</v>
      </c>
      <c r="P8" s="203">
        <v>0</v>
      </c>
      <c r="R8"/>
    </row>
    <row r="9" spans="1:33" x14ac:dyDescent="0.25">
      <c r="A9" s="206" t="s">
        <v>231</v>
      </c>
      <c r="B9" s="203">
        <v>0.17985919186384514</v>
      </c>
      <c r="C9" s="203">
        <v>0.16187327267746063</v>
      </c>
      <c r="D9" s="203">
        <v>0.14388735349107612</v>
      </c>
      <c r="E9" s="203">
        <v>0.14608846794180691</v>
      </c>
      <c r="F9" s="203">
        <v>0.15521899718816981</v>
      </c>
      <c r="G9" s="203">
        <v>0.16434952643453271</v>
      </c>
      <c r="H9" s="203">
        <v>0.17348005568089567</v>
      </c>
      <c r="I9" s="203">
        <v>0.19174111417362152</v>
      </c>
      <c r="J9" s="203">
        <v>0.22826323115907324</v>
      </c>
      <c r="K9" s="203">
        <v>0.21000217266634738</v>
      </c>
      <c r="L9" s="203">
        <v>0.21913270191271031</v>
      </c>
      <c r="M9" s="203">
        <v>0.21000217266634738</v>
      </c>
      <c r="N9" s="204">
        <f t="shared" si="0"/>
        <v>2.183898257855887</v>
      </c>
      <c r="P9" s="203">
        <v>0</v>
      </c>
      <c r="R9"/>
    </row>
    <row r="10" spans="1:33" x14ac:dyDescent="0.25">
      <c r="A10" s="206" t="s">
        <v>232</v>
      </c>
      <c r="B10" s="203">
        <v>0</v>
      </c>
      <c r="C10" s="203">
        <v>0</v>
      </c>
      <c r="D10" s="203">
        <v>0</v>
      </c>
      <c r="E10" s="203">
        <v>0</v>
      </c>
      <c r="F10" s="203">
        <v>0</v>
      </c>
      <c r="G10" s="203">
        <v>0</v>
      </c>
      <c r="H10" s="203">
        <v>0</v>
      </c>
      <c r="I10" s="203">
        <v>0</v>
      </c>
      <c r="J10" s="203">
        <v>0</v>
      </c>
      <c r="K10" s="203">
        <v>0</v>
      </c>
      <c r="L10" s="203">
        <v>0</v>
      </c>
      <c r="M10" s="203">
        <v>0</v>
      </c>
      <c r="N10" s="204">
        <f t="shared" si="0"/>
        <v>0</v>
      </c>
      <c r="P10" s="203">
        <v>0</v>
      </c>
      <c r="R10"/>
    </row>
    <row r="11" spans="1:33" x14ac:dyDescent="0.25">
      <c r="A11" s="206" t="s">
        <v>233</v>
      </c>
      <c r="B11" s="203">
        <v>2.024908365694051</v>
      </c>
      <c r="C11" s="203">
        <v>1.4297111886065539</v>
      </c>
      <c r="D11" s="203">
        <v>1.237868033413849</v>
      </c>
      <c r="E11" s="203">
        <v>1.2611449268203201</v>
      </c>
      <c r="F11" s="203">
        <v>1.3608803007888144</v>
      </c>
      <c r="G11" s="203">
        <v>1.4618757195395353</v>
      </c>
      <c r="H11" s="203">
        <v>1.5961313763728227</v>
      </c>
      <c r="I11" s="203">
        <v>1.8735062644540246</v>
      </c>
      <c r="J11" s="203">
        <v>2.1492563038420083</v>
      </c>
      <c r="K11" s="203">
        <v>2.2902672745482398</v>
      </c>
      <c r="L11" s="203">
        <v>2.4202076280664704</v>
      </c>
      <c r="M11" s="203">
        <v>2.8380773233287679</v>
      </c>
      <c r="N11" s="204">
        <f t="shared" si="0"/>
        <v>21.943834705475457</v>
      </c>
      <c r="P11" s="203">
        <v>33.731000000000002</v>
      </c>
      <c r="R11"/>
    </row>
    <row r="12" spans="1:33" x14ac:dyDescent="0.25">
      <c r="A12" s="206" t="s">
        <v>234</v>
      </c>
      <c r="B12" s="203">
        <v>2.2672043786879228</v>
      </c>
      <c r="C12" s="203">
        <v>2.0404839408191306</v>
      </c>
      <c r="D12" s="203">
        <v>1.8137635029503381</v>
      </c>
      <c r="E12" s="203">
        <v>1.8415095206488268</v>
      </c>
      <c r="F12" s="203">
        <v>1.9566038656893781</v>
      </c>
      <c r="G12" s="203">
        <v>2.0716982107299295</v>
      </c>
      <c r="H12" s="203">
        <v>2.1867925557704813</v>
      </c>
      <c r="I12" s="203">
        <v>2.4169812458515847</v>
      </c>
      <c r="J12" s="203">
        <v>2.8773586260137911</v>
      </c>
      <c r="K12" s="203">
        <v>2.6471699359326877</v>
      </c>
      <c r="L12" s="203">
        <v>2.7622642809732398</v>
      </c>
      <c r="M12" s="203">
        <v>2.6471699359326877</v>
      </c>
      <c r="N12" s="204">
        <f t="shared" si="0"/>
        <v>27.529</v>
      </c>
      <c r="P12" s="203">
        <v>27.529</v>
      </c>
      <c r="R12"/>
    </row>
    <row r="13" spans="1:33" x14ac:dyDescent="0.25">
      <c r="A13" s="206" t="s">
        <v>235</v>
      </c>
      <c r="B13" s="203">
        <v>0.30394639786144739</v>
      </c>
      <c r="C13" s="203">
        <v>0.27400439398812709</v>
      </c>
      <c r="D13" s="203">
        <v>0.23848668554248759</v>
      </c>
      <c r="E13" s="203">
        <v>0.24363686844998989</v>
      </c>
      <c r="F13" s="203">
        <v>0.25900972045651277</v>
      </c>
      <c r="G13" s="203">
        <v>0.27438257246303571</v>
      </c>
      <c r="H13" s="203">
        <v>0.28742666081518181</v>
      </c>
      <c r="I13" s="203">
        <v>0.31817236482822769</v>
      </c>
      <c r="J13" s="203">
        <v>0.35124683249565025</v>
      </c>
      <c r="K13" s="203">
        <v>0.36661968450217319</v>
      </c>
      <c r="L13" s="203">
        <v>0.38897882747182649</v>
      </c>
      <c r="M13" s="203">
        <v>1.756555702064057</v>
      </c>
      <c r="N13" s="204">
        <f t="shared" si="0"/>
        <v>5.0624667109387174</v>
      </c>
      <c r="P13" s="203">
        <v>0</v>
      </c>
      <c r="R13"/>
    </row>
    <row r="14" spans="1:33" x14ac:dyDescent="0.25">
      <c r="A14" s="206" t="s">
        <v>236</v>
      </c>
      <c r="B14" s="203">
        <v>8.0022127013408415</v>
      </c>
      <c r="C14" s="203">
        <v>7.201991431206757</v>
      </c>
      <c r="D14" s="203">
        <v>6.4017701610726734</v>
      </c>
      <c r="E14" s="203">
        <v>6.499701136032666</v>
      </c>
      <c r="F14" s="203">
        <v>6.905932457034706</v>
      </c>
      <c r="G14" s="203">
        <v>7.312163778036747</v>
      </c>
      <c r="H14" s="203">
        <v>7.7183950990387897</v>
      </c>
      <c r="I14" s="203">
        <v>8.5308577410428725</v>
      </c>
      <c r="J14" s="203">
        <v>10.155783025051038</v>
      </c>
      <c r="K14" s="203">
        <v>9.3433203830469544</v>
      </c>
      <c r="L14" s="203">
        <v>9.7495517040489972</v>
      </c>
      <c r="M14" s="203">
        <v>9.3433203830469544</v>
      </c>
      <c r="N14" s="204">
        <f t="shared" si="0"/>
        <v>97.165000000000006</v>
      </c>
      <c r="P14" s="203">
        <v>97.165000000000006</v>
      </c>
      <c r="R14"/>
    </row>
    <row r="16" spans="1:33" s="207" customFormat="1" x14ac:dyDescent="0.25">
      <c r="A16" s="206" t="s">
        <v>279</v>
      </c>
      <c r="B16" s="206" t="s">
        <v>87</v>
      </c>
      <c r="C16" s="206" t="s">
        <v>88</v>
      </c>
      <c r="D16" s="206" t="s">
        <v>89</v>
      </c>
      <c r="E16" s="206" t="s">
        <v>90</v>
      </c>
      <c r="F16" s="206" t="s">
        <v>91</v>
      </c>
      <c r="G16" s="206" t="s">
        <v>6</v>
      </c>
      <c r="H16" s="206" t="s">
        <v>92</v>
      </c>
      <c r="I16" s="206" t="s">
        <v>8</v>
      </c>
      <c r="J16" s="206" t="s">
        <v>93</v>
      </c>
      <c r="K16" s="206" t="s">
        <v>94</v>
      </c>
      <c r="L16" s="206" t="s">
        <v>95</v>
      </c>
      <c r="M16" s="206" t="s">
        <v>96</v>
      </c>
      <c r="N16" s="205">
        <f>SUM(N17:N29)</f>
        <v>561.92264365967435</v>
      </c>
      <c r="R16" s="206" t="s">
        <v>285</v>
      </c>
      <c r="S16" s="206" t="s">
        <v>87</v>
      </c>
      <c r="T16" s="206" t="s">
        <v>88</v>
      </c>
      <c r="U16" s="206" t="s">
        <v>89</v>
      </c>
      <c r="V16" s="206" t="s">
        <v>90</v>
      </c>
      <c r="W16" s="206" t="s">
        <v>91</v>
      </c>
      <c r="X16" s="206" t="s">
        <v>6</v>
      </c>
      <c r="Y16" s="206" t="s">
        <v>92</v>
      </c>
      <c r="Z16" s="206" t="s">
        <v>8</v>
      </c>
      <c r="AA16" s="206" t="s">
        <v>93</v>
      </c>
      <c r="AB16" s="206" t="s">
        <v>94</v>
      </c>
      <c r="AC16" s="206" t="s">
        <v>95</v>
      </c>
      <c r="AD16" s="206" t="s">
        <v>96</v>
      </c>
      <c r="AE16" s="205">
        <f>SUM(AE17:AE29)</f>
        <v>561.92264365967435</v>
      </c>
      <c r="AG16" s="206" t="s">
        <v>221</v>
      </c>
    </row>
    <row r="17" spans="1:33" x14ac:dyDescent="0.25">
      <c r="A17" s="206" t="s">
        <v>224</v>
      </c>
      <c r="B17" s="203">
        <v>1.1859400288098403</v>
      </c>
      <c r="C17" s="203">
        <v>1.0673460259288563</v>
      </c>
      <c r="D17" s="203">
        <v>0.94875202304787221</v>
      </c>
      <c r="E17" s="203">
        <v>0.96326554169577938</v>
      </c>
      <c r="F17" s="203">
        <v>1.0234696380517654</v>
      </c>
      <c r="G17" s="203">
        <v>1.0836737344077514</v>
      </c>
      <c r="H17" s="203">
        <v>1.1438778307637378</v>
      </c>
      <c r="I17" s="203">
        <v>1.2642860234757103</v>
      </c>
      <c r="J17" s="203">
        <v>1.505102408899655</v>
      </c>
      <c r="K17" s="203">
        <v>1.3846942161876825</v>
      </c>
      <c r="L17" s="203">
        <v>1.4448983125436687</v>
      </c>
      <c r="M17" s="203">
        <v>1.3846942161876825</v>
      </c>
      <c r="N17" s="204">
        <f>SUM(B17:M17)</f>
        <v>14.400000000000002</v>
      </c>
      <c r="R17" s="206" t="s">
        <v>224</v>
      </c>
      <c r="S17" s="203">
        <v>1.1859400288098403</v>
      </c>
      <c r="T17" s="203">
        <v>1.0673460259288563</v>
      </c>
      <c r="U17" s="203">
        <v>0.94875202304787221</v>
      </c>
      <c r="V17" s="203">
        <v>0.96326554169577938</v>
      </c>
      <c r="W17" s="203">
        <v>1.0234696380517654</v>
      </c>
      <c r="X17" s="203">
        <v>1.0836737344077514</v>
      </c>
      <c r="Y17" s="203">
        <v>1.1438778307637378</v>
      </c>
      <c r="Z17" s="203">
        <v>1.2642860234757103</v>
      </c>
      <c r="AA17" s="203">
        <v>1.505102408899655</v>
      </c>
      <c r="AB17" s="203">
        <v>1.3846942161876825</v>
      </c>
      <c r="AC17" s="203">
        <v>1.4448983125436687</v>
      </c>
      <c r="AD17" s="203">
        <v>1.3846942161876825</v>
      </c>
      <c r="AE17" s="204">
        <f>SUM(S17:AD17)</f>
        <v>14.400000000000002</v>
      </c>
      <c r="AG17" s="203">
        <v>28.995999999999999</v>
      </c>
    </row>
    <row r="18" spans="1:33" x14ac:dyDescent="0.25">
      <c r="A18" s="206" t="s">
        <v>225</v>
      </c>
      <c r="B18" s="203">
        <v>6.4352894382758397</v>
      </c>
      <c r="C18" s="203">
        <v>5.7917604944482557</v>
      </c>
      <c r="D18" s="203">
        <v>5.1482315506206717</v>
      </c>
      <c r="E18" s="203">
        <v>5.2269865390671173</v>
      </c>
      <c r="F18" s="203">
        <v>5.553673197758811</v>
      </c>
      <c r="G18" s="203">
        <v>5.8803598564505046</v>
      </c>
      <c r="H18" s="203">
        <v>6.2070465151422001</v>
      </c>
      <c r="I18" s="203">
        <v>6.8604198325255901</v>
      </c>
      <c r="J18" s="203">
        <v>8.1671664672923683</v>
      </c>
      <c r="K18" s="203">
        <v>7.5137931499089792</v>
      </c>
      <c r="L18" s="203">
        <v>7.8404798086006746</v>
      </c>
      <c r="M18" s="203">
        <v>7.5137931499089792</v>
      </c>
      <c r="N18" s="204">
        <f t="shared" ref="N18:N29" si="1">SUM(B18:M18)</f>
        <v>78.138999999999982</v>
      </c>
      <c r="R18" s="206" t="s">
        <v>225</v>
      </c>
      <c r="S18" s="203">
        <v>6.4352894382758397</v>
      </c>
      <c r="T18" s="203">
        <v>5.7917604944482557</v>
      </c>
      <c r="U18" s="203">
        <v>5.1482315506206717</v>
      </c>
      <c r="V18" s="203">
        <v>5.2269865390671173</v>
      </c>
      <c r="W18" s="203">
        <v>5.553673197758811</v>
      </c>
      <c r="X18" s="203">
        <v>5.8803598564505046</v>
      </c>
      <c r="Y18" s="203">
        <v>6.2070465151422001</v>
      </c>
      <c r="Z18" s="203">
        <v>6.8604198325255901</v>
      </c>
      <c r="AA18" s="203">
        <v>8.1671664672923683</v>
      </c>
      <c r="AB18" s="203">
        <v>7.5137931499089792</v>
      </c>
      <c r="AC18" s="203">
        <v>7.8404798086006746</v>
      </c>
      <c r="AD18" s="203">
        <v>7.5137931499089792</v>
      </c>
      <c r="AE18" s="204">
        <f t="shared" ref="AE18:AE29" si="2">SUM(S18:AD18)</f>
        <v>78.138999999999982</v>
      </c>
      <c r="AG18" s="203">
        <v>7.7270000000000003</v>
      </c>
    </row>
    <row r="19" spans="1:33" x14ac:dyDescent="0.25">
      <c r="A19" s="206" t="s">
        <v>226</v>
      </c>
      <c r="B19" s="203">
        <v>34.425627564269767</v>
      </c>
      <c r="C19" s="203">
        <v>30.528330289032173</v>
      </c>
      <c r="D19" s="203">
        <v>28.898913163666371</v>
      </c>
      <c r="E19" s="203">
        <v>28.901923749266533</v>
      </c>
      <c r="F19" s="203">
        <v>29.295779191479639</v>
      </c>
      <c r="G19" s="203">
        <v>33.60986054921532</v>
      </c>
      <c r="H19" s="203">
        <v>33.170162767817907</v>
      </c>
      <c r="I19" s="203">
        <v>37.039430349786628</v>
      </c>
      <c r="J19" s="203">
        <v>39.366418508242006</v>
      </c>
      <c r="K19" s="203">
        <v>41.382463633218293</v>
      </c>
      <c r="L19" s="203">
        <v>42.860518348757566</v>
      </c>
      <c r="M19" s="203">
        <v>38.70407781397715</v>
      </c>
      <c r="N19" s="204">
        <f t="shared" si="1"/>
        <v>418.1835059287294</v>
      </c>
      <c r="R19" s="206" t="s">
        <v>226</v>
      </c>
      <c r="S19" s="203">
        <v>34.425627564269767</v>
      </c>
      <c r="T19" s="203">
        <v>30.528330289032173</v>
      </c>
      <c r="U19" s="203">
        <v>28.898913163666371</v>
      </c>
      <c r="V19" s="203">
        <v>28.901923749266533</v>
      </c>
      <c r="W19" s="203">
        <v>29.295779191479639</v>
      </c>
      <c r="X19" s="203">
        <v>33.60986054921532</v>
      </c>
      <c r="Y19" s="203">
        <v>33.170162767817907</v>
      </c>
      <c r="Z19" s="203">
        <v>37.039430349786628</v>
      </c>
      <c r="AA19" s="203">
        <v>39.366418508242006</v>
      </c>
      <c r="AB19" s="203">
        <v>41.382463633218293</v>
      </c>
      <c r="AC19" s="203">
        <v>42.860518348757566</v>
      </c>
      <c r="AD19" s="203">
        <v>38.70407781397715</v>
      </c>
      <c r="AE19" s="204">
        <f t="shared" si="2"/>
        <v>418.1835059287294</v>
      </c>
      <c r="AG19" s="203">
        <v>1.66</v>
      </c>
    </row>
    <row r="20" spans="1:33" x14ac:dyDescent="0.25">
      <c r="A20" s="206" t="s">
        <v>227</v>
      </c>
      <c r="B20" s="203">
        <v>0</v>
      </c>
      <c r="C20" s="203">
        <v>0</v>
      </c>
      <c r="D20" s="203">
        <v>0</v>
      </c>
      <c r="E20" s="203">
        <v>0</v>
      </c>
      <c r="F20" s="203">
        <v>0</v>
      </c>
      <c r="G20" s="203">
        <v>0</v>
      </c>
      <c r="H20" s="203">
        <v>0</v>
      </c>
      <c r="I20" s="203">
        <v>0</v>
      </c>
      <c r="J20" s="203">
        <v>0</v>
      </c>
      <c r="K20" s="203">
        <v>0</v>
      </c>
      <c r="L20" s="203">
        <v>0</v>
      </c>
      <c r="M20" s="203">
        <v>0</v>
      </c>
      <c r="N20" s="204">
        <f t="shared" si="1"/>
        <v>0</v>
      </c>
      <c r="R20" s="206" t="s">
        <v>227</v>
      </c>
      <c r="S20" s="203">
        <v>0</v>
      </c>
      <c r="T20" s="203">
        <v>0</v>
      </c>
      <c r="U20" s="203">
        <v>0</v>
      </c>
      <c r="V20" s="203">
        <v>0</v>
      </c>
      <c r="W20" s="203">
        <v>0</v>
      </c>
      <c r="X20" s="203">
        <v>0</v>
      </c>
      <c r="Y20" s="203">
        <v>0</v>
      </c>
      <c r="Z20" s="203">
        <v>0</v>
      </c>
      <c r="AA20" s="203">
        <v>0</v>
      </c>
      <c r="AB20" s="203">
        <v>0</v>
      </c>
      <c r="AC20" s="203">
        <v>0</v>
      </c>
      <c r="AD20" s="203">
        <v>0</v>
      </c>
      <c r="AE20" s="204">
        <f t="shared" si="2"/>
        <v>0</v>
      </c>
      <c r="AG20" s="203">
        <v>0</v>
      </c>
    </row>
    <row r="21" spans="1:33" x14ac:dyDescent="0.25">
      <c r="A21" s="206" t="s">
        <v>228</v>
      </c>
      <c r="B21" s="203">
        <v>0</v>
      </c>
      <c r="C21" s="203">
        <v>0</v>
      </c>
      <c r="D21" s="203">
        <v>0</v>
      </c>
      <c r="E21" s="203">
        <v>0</v>
      </c>
      <c r="F21" s="203">
        <v>0</v>
      </c>
      <c r="G21" s="203">
        <v>0</v>
      </c>
      <c r="H21" s="203">
        <v>0</v>
      </c>
      <c r="I21" s="203">
        <v>0</v>
      </c>
      <c r="J21" s="203">
        <v>0</v>
      </c>
      <c r="K21" s="203">
        <v>0</v>
      </c>
      <c r="L21" s="203">
        <v>0</v>
      </c>
      <c r="M21" s="203">
        <v>0</v>
      </c>
      <c r="N21" s="204">
        <f t="shared" si="1"/>
        <v>0</v>
      </c>
      <c r="R21" s="206" t="s">
        <v>228</v>
      </c>
      <c r="S21" s="203">
        <v>0</v>
      </c>
      <c r="T21" s="203">
        <v>0</v>
      </c>
      <c r="U21" s="203">
        <v>0</v>
      </c>
      <c r="V21" s="203">
        <v>0</v>
      </c>
      <c r="W21" s="203">
        <v>0</v>
      </c>
      <c r="X21" s="203">
        <v>0</v>
      </c>
      <c r="Y21" s="203">
        <v>0</v>
      </c>
      <c r="Z21" s="203">
        <v>0</v>
      </c>
      <c r="AA21" s="203">
        <v>0</v>
      </c>
      <c r="AB21" s="203">
        <v>0</v>
      </c>
      <c r="AC21" s="203">
        <v>0</v>
      </c>
      <c r="AD21" s="203">
        <v>0</v>
      </c>
      <c r="AE21" s="204">
        <f t="shared" si="2"/>
        <v>0</v>
      </c>
      <c r="AG21" s="203">
        <v>0</v>
      </c>
    </row>
    <row r="22" spans="1:33" x14ac:dyDescent="0.25">
      <c r="A22" s="206" t="s">
        <v>229</v>
      </c>
      <c r="B22" s="203">
        <v>0.35965278512587295</v>
      </c>
      <c r="C22" s="203">
        <v>0.32368750661328566</v>
      </c>
      <c r="D22" s="203">
        <v>0.28772222810069836</v>
      </c>
      <c r="E22" s="203">
        <v>0.29212365420732411</v>
      </c>
      <c r="F22" s="203">
        <v>0.31038138259528175</v>
      </c>
      <c r="G22" s="203">
        <v>0.3286391109832395</v>
      </c>
      <c r="H22" s="203">
        <v>0.34689683937119731</v>
      </c>
      <c r="I22" s="203">
        <v>0.38341229614711281</v>
      </c>
      <c r="J22" s="203">
        <v>0.45644320969894381</v>
      </c>
      <c r="K22" s="203">
        <v>0.41992775292302825</v>
      </c>
      <c r="L22" s="203">
        <v>0.43818548131098606</v>
      </c>
      <c r="M22" s="203">
        <v>0.41992775292302825</v>
      </c>
      <c r="N22" s="204">
        <f t="shared" si="1"/>
        <v>4.3669999999999982</v>
      </c>
      <c r="R22" s="206" t="s">
        <v>229</v>
      </c>
      <c r="S22" s="203">
        <v>0.35965278512587295</v>
      </c>
      <c r="T22" s="203">
        <v>0.32368750661328566</v>
      </c>
      <c r="U22" s="203">
        <v>0.28772222810069836</v>
      </c>
      <c r="V22" s="203">
        <v>0.29212365420732411</v>
      </c>
      <c r="W22" s="203">
        <v>0.31038138259528175</v>
      </c>
      <c r="X22" s="203">
        <v>0.3286391109832395</v>
      </c>
      <c r="Y22" s="203">
        <v>0.34689683937119731</v>
      </c>
      <c r="Z22" s="203">
        <v>0.38341229614711281</v>
      </c>
      <c r="AA22" s="203">
        <v>0.45644320969894381</v>
      </c>
      <c r="AB22" s="203">
        <v>0.41992775292302825</v>
      </c>
      <c r="AC22" s="203">
        <v>0.43818548131098606</v>
      </c>
      <c r="AD22" s="203">
        <v>0.41992775292302825</v>
      </c>
      <c r="AE22" s="204">
        <f t="shared" si="2"/>
        <v>4.3669999999999982</v>
      </c>
      <c r="AG22" s="203">
        <v>6.4390000000000001</v>
      </c>
    </row>
    <row r="23" spans="1:33" x14ac:dyDescent="0.25">
      <c r="A23" s="206" t="s">
        <v>230</v>
      </c>
      <c r="B23" s="203">
        <v>2.3409513024954257E-2</v>
      </c>
      <c r="C23" s="203">
        <v>2.1068561722458832E-2</v>
      </c>
      <c r="D23" s="203">
        <v>1.8727610419963407E-2</v>
      </c>
      <c r="E23" s="203">
        <v>1.8935508818907543E-2</v>
      </c>
      <c r="F23" s="203">
        <v>2.0118978120089264E-2</v>
      </c>
      <c r="G23" s="203">
        <v>2.1302447421270986E-2</v>
      </c>
      <c r="H23" s="203">
        <v>2.2485916722452703E-2</v>
      </c>
      <c r="I23" s="203">
        <v>2.4852855324816153E-2</v>
      </c>
      <c r="J23" s="203">
        <v>2.7219793927179589E-2</v>
      </c>
      <c r="K23" s="203">
        <v>2.8403263228361314E-2</v>
      </c>
      <c r="L23" s="203">
        <v>2.9586732529543035E-2</v>
      </c>
      <c r="M23" s="203">
        <v>2.7219793927179589E-2</v>
      </c>
      <c r="N23" s="204">
        <f t="shared" si="1"/>
        <v>0.2833309751871767</v>
      </c>
      <c r="R23" s="206" t="s">
        <v>230</v>
      </c>
      <c r="S23" s="203">
        <v>2.3409513024954257E-2</v>
      </c>
      <c r="T23" s="203">
        <v>2.1068561722458832E-2</v>
      </c>
      <c r="U23" s="203">
        <v>1.8727610419963407E-2</v>
      </c>
      <c r="V23" s="203">
        <v>1.8935508818907543E-2</v>
      </c>
      <c r="W23" s="203">
        <v>2.0118978120089264E-2</v>
      </c>
      <c r="X23" s="203">
        <v>2.1302447421270986E-2</v>
      </c>
      <c r="Y23" s="203">
        <v>2.2485916722452703E-2</v>
      </c>
      <c r="Z23" s="203">
        <v>2.4852855324816153E-2</v>
      </c>
      <c r="AA23" s="203">
        <v>2.7219793927179589E-2</v>
      </c>
      <c r="AB23" s="203">
        <v>2.8403263228361314E-2</v>
      </c>
      <c r="AC23" s="203">
        <v>2.9586732529543035E-2</v>
      </c>
      <c r="AD23" s="203">
        <v>2.7219793927179589E-2</v>
      </c>
      <c r="AE23" s="204">
        <f t="shared" si="2"/>
        <v>0.2833309751871767</v>
      </c>
      <c r="AG23" s="203">
        <v>0</v>
      </c>
    </row>
    <row r="24" spans="1:33" x14ac:dyDescent="0.25">
      <c r="A24" s="206" t="s">
        <v>231</v>
      </c>
      <c r="B24" s="203">
        <v>7.7191930459457866E-2</v>
      </c>
      <c r="C24" s="203">
        <v>6.9472737413512078E-2</v>
      </c>
      <c r="D24" s="203">
        <v>6.1753544367566297E-2</v>
      </c>
      <c r="E24" s="203">
        <v>6.258392980502496E-2</v>
      </c>
      <c r="F24" s="203">
        <v>6.6495425417839024E-2</v>
      </c>
      <c r="G24" s="203">
        <v>7.0406921030653088E-2</v>
      </c>
      <c r="H24" s="203">
        <v>7.4318416643467139E-2</v>
      </c>
      <c r="I24" s="203">
        <v>8.2141407869095268E-2</v>
      </c>
      <c r="J24" s="203">
        <v>8.9964399094723382E-2</v>
      </c>
      <c r="K24" s="203">
        <v>9.3875894707537447E-2</v>
      </c>
      <c r="L24" s="203">
        <v>9.7787390320351497E-2</v>
      </c>
      <c r="M24" s="203">
        <v>8.9964399094723382E-2</v>
      </c>
      <c r="N24" s="204">
        <f t="shared" si="1"/>
        <v>0.93595639622395166</v>
      </c>
      <c r="R24" s="206" t="s">
        <v>231</v>
      </c>
      <c r="S24" s="203">
        <v>7.7191930459457866E-2</v>
      </c>
      <c r="T24" s="203">
        <v>6.9472737413512078E-2</v>
      </c>
      <c r="U24" s="203">
        <v>6.1753544367566297E-2</v>
      </c>
      <c r="V24" s="203">
        <v>6.258392980502496E-2</v>
      </c>
      <c r="W24" s="203">
        <v>6.6495425417839024E-2</v>
      </c>
      <c r="X24" s="203">
        <v>7.0406921030653088E-2</v>
      </c>
      <c r="Y24" s="203">
        <v>7.4318416643467139E-2</v>
      </c>
      <c r="Z24" s="203">
        <v>8.2141407869095268E-2</v>
      </c>
      <c r="AA24" s="203">
        <v>8.9964399094723382E-2</v>
      </c>
      <c r="AB24" s="203">
        <v>9.3875894707537447E-2</v>
      </c>
      <c r="AC24" s="203">
        <v>9.7787390320351497E-2</v>
      </c>
      <c r="AD24" s="203">
        <v>8.9964399094723382E-2</v>
      </c>
      <c r="AE24" s="204">
        <f t="shared" si="2"/>
        <v>0.93595639622395166</v>
      </c>
      <c r="AG24" s="203">
        <v>0</v>
      </c>
    </row>
    <row r="25" spans="1:33" x14ac:dyDescent="0.25">
      <c r="A25" s="206" t="s">
        <v>232</v>
      </c>
      <c r="B25" s="203">
        <v>7.7191930459457866E-2</v>
      </c>
      <c r="C25" s="203">
        <v>6.9472737413512078E-2</v>
      </c>
      <c r="D25" s="203">
        <v>6.1753544367566297E-2</v>
      </c>
      <c r="E25" s="203">
        <v>6.258392980502496E-2</v>
      </c>
      <c r="F25" s="203">
        <v>6.6495425417839024E-2</v>
      </c>
      <c r="G25" s="203">
        <v>7.0406921030653088E-2</v>
      </c>
      <c r="H25" s="203">
        <v>7.4318416643467139E-2</v>
      </c>
      <c r="I25" s="203">
        <v>8.2141407869095268E-2</v>
      </c>
      <c r="J25" s="203">
        <v>8.9964399094723382E-2</v>
      </c>
      <c r="K25" s="203">
        <v>9.3875894707537447E-2</v>
      </c>
      <c r="L25" s="203">
        <v>9.7787390320351497E-2</v>
      </c>
      <c r="M25" s="203">
        <v>8.9964399094723382E-2</v>
      </c>
      <c r="N25" s="204">
        <f t="shared" si="1"/>
        <v>0.93595639622395166</v>
      </c>
      <c r="R25" s="206" t="s">
        <v>232</v>
      </c>
      <c r="S25" s="203">
        <v>7.7191930459457866E-2</v>
      </c>
      <c r="T25" s="203">
        <v>6.9472737413512078E-2</v>
      </c>
      <c r="U25" s="203">
        <v>6.1753544367566297E-2</v>
      </c>
      <c r="V25" s="203">
        <v>6.258392980502496E-2</v>
      </c>
      <c r="W25" s="203">
        <v>6.6495425417839024E-2</v>
      </c>
      <c r="X25" s="203">
        <v>7.0406921030653088E-2</v>
      </c>
      <c r="Y25" s="203">
        <v>7.4318416643467139E-2</v>
      </c>
      <c r="Z25" s="203">
        <v>8.2141407869095268E-2</v>
      </c>
      <c r="AA25" s="203">
        <v>8.9964399094723382E-2</v>
      </c>
      <c r="AB25" s="203">
        <v>9.3875894707537447E-2</v>
      </c>
      <c r="AC25" s="203">
        <v>9.7787390320351497E-2</v>
      </c>
      <c r="AD25" s="203">
        <v>8.9964399094723382E-2</v>
      </c>
      <c r="AE25" s="204">
        <f t="shared" si="2"/>
        <v>0.93595639622395166</v>
      </c>
      <c r="AG25" s="203">
        <v>0</v>
      </c>
    </row>
    <row r="26" spans="1:33" x14ac:dyDescent="0.25">
      <c r="A26" s="206" t="s">
        <v>233</v>
      </c>
      <c r="B26" s="203">
        <v>1.581702967054158</v>
      </c>
      <c r="C26" s="203">
        <v>1.195556144934304</v>
      </c>
      <c r="D26" s="203">
        <v>1.0629717327690882</v>
      </c>
      <c r="E26" s="203">
        <v>1.0762993733408295</v>
      </c>
      <c r="F26" s="203">
        <v>1.142636596197095</v>
      </c>
      <c r="G26" s="203">
        <v>1.2099188526400306</v>
      </c>
      <c r="H26" s="203">
        <v>1.2772011090829665</v>
      </c>
      <c r="I26" s="203">
        <v>1.410603858636023</v>
      </c>
      <c r="J26" s="203">
        <v>1.5451683715218945</v>
      </c>
      <c r="K26" s="203">
        <v>1.6136123912976454</v>
      </c>
      <c r="L26" s="203">
        <v>1.6808946477405815</v>
      </c>
      <c r="M26" s="203">
        <v>1.5498154248531548</v>
      </c>
      <c r="N26" s="204">
        <f t="shared" si="1"/>
        <v>16.346381470067772</v>
      </c>
      <c r="R26" s="206" t="s">
        <v>233</v>
      </c>
      <c r="S26" s="203">
        <v>1.581702967054158</v>
      </c>
      <c r="T26" s="203">
        <v>1.195556144934304</v>
      </c>
      <c r="U26" s="203">
        <v>1.0629717327690882</v>
      </c>
      <c r="V26" s="203">
        <v>1.0762993733408295</v>
      </c>
      <c r="W26" s="203">
        <v>1.142636596197095</v>
      </c>
      <c r="X26" s="203">
        <v>1.2099188526400306</v>
      </c>
      <c r="Y26" s="203">
        <v>1.2772011090829665</v>
      </c>
      <c r="Z26" s="203">
        <v>1.410603858636023</v>
      </c>
      <c r="AA26" s="203">
        <v>1.5451683715218945</v>
      </c>
      <c r="AB26" s="203">
        <v>1.6136123912976454</v>
      </c>
      <c r="AC26" s="203">
        <v>1.6808946477405815</v>
      </c>
      <c r="AD26" s="203">
        <v>1.5498154248531548</v>
      </c>
      <c r="AE26" s="204">
        <f t="shared" si="2"/>
        <v>16.346381470067772</v>
      </c>
      <c r="AG26" s="203">
        <v>6.07</v>
      </c>
    </row>
    <row r="27" spans="1:33" x14ac:dyDescent="0.25">
      <c r="A27" s="206" t="s">
        <v>234</v>
      </c>
      <c r="B27" s="203">
        <v>1.5624174092927134</v>
      </c>
      <c r="C27" s="203">
        <v>1.4061756683634421</v>
      </c>
      <c r="D27" s="203">
        <v>1.2499339274341708</v>
      </c>
      <c r="E27" s="203">
        <v>1.248422102575014</v>
      </c>
      <c r="F27" s="203">
        <v>1.3264484839859523</v>
      </c>
      <c r="G27" s="203">
        <v>1.4044748653968906</v>
      </c>
      <c r="H27" s="203">
        <v>1.4825012468078289</v>
      </c>
      <c r="I27" s="203">
        <v>1.6385540096297055</v>
      </c>
      <c r="J27" s="203">
        <v>1.7820642523774184</v>
      </c>
      <c r="K27" s="203">
        <v>1.8789044138996025</v>
      </c>
      <c r="L27" s="203">
        <v>1.956930795310541</v>
      </c>
      <c r="M27" s="203">
        <v>1.7946067724515822</v>
      </c>
      <c r="N27" s="204">
        <f t="shared" si="1"/>
        <v>18.731433947524863</v>
      </c>
      <c r="R27" s="206" t="s">
        <v>234</v>
      </c>
      <c r="S27" s="203">
        <v>1.5624174092927134</v>
      </c>
      <c r="T27" s="203">
        <v>1.4061756683634421</v>
      </c>
      <c r="U27" s="203">
        <v>1.2499339274341708</v>
      </c>
      <c r="V27" s="203">
        <v>1.248422102575014</v>
      </c>
      <c r="W27" s="203">
        <v>1.3264484839859523</v>
      </c>
      <c r="X27" s="203">
        <v>1.4044748653968906</v>
      </c>
      <c r="Y27" s="203">
        <v>1.4825012468078289</v>
      </c>
      <c r="Z27" s="203">
        <v>1.6385540096297055</v>
      </c>
      <c r="AA27" s="203">
        <v>1.7820642523774184</v>
      </c>
      <c r="AB27" s="203">
        <v>1.8789044138996025</v>
      </c>
      <c r="AC27" s="203">
        <v>1.956930795310541</v>
      </c>
      <c r="AD27" s="203">
        <v>1.7946067724515822</v>
      </c>
      <c r="AE27" s="204">
        <f t="shared" si="2"/>
        <v>18.731433947524863</v>
      </c>
      <c r="AG27" s="203">
        <v>11.554</v>
      </c>
    </row>
    <row r="28" spans="1:33" x14ac:dyDescent="0.25">
      <c r="A28" s="206" t="s">
        <v>235</v>
      </c>
      <c r="B28" s="203">
        <v>0.29942003873320322</v>
      </c>
      <c r="C28" s="203">
        <v>0.26947803485988292</v>
      </c>
      <c r="D28" s="203">
        <v>0.23953603098656262</v>
      </c>
      <c r="E28" s="203">
        <v>0.24596563210436667</v>
      </c>
      <c r="F28" s="203">
        <v>0.26133848411088956</v>
      </c>
      <c r="G28" s="203">
        <v>0.2767113361174125</v>
      </c>
      <c r="H28" s="203">
        <v>0.29208418812393538</v>
      </c>
      <c r="I28" s="203">
        <v>0.32282989213698127</v>
      </c>
      <c r="J28" s="203">
        <v>0.35357559615002704</v>
      </c>
      <c r="K28" s="203">
        <v>0.36894844815654998</v>
      </c>
      <c r="L28" s="203">
        <v>0.38432130016307292</v>
      </c>
      <c r="M28" s="203">
        <v>0.35357559615002704</v>
      </c>
      <c r="N28" s="204">
        <f t="shared" si="1"/>
        <v>3.667784577792911</v>
      </c>
      <c r="R28" s="206" t="s">
        <v>235</v>
      </c>
      <c r="S28" s="203">
        <v>0.29942003873320322</v>
      </c>
      <c r="T28" s="203">
        <v>0.26947803485988292</v>
      </c>
      <c r="U28" s="203">
        <v>0.23953603098656262</v>
      </c>
      <c r="V28" s="203">
        <v>0.24596563210436667</v>
      </c>
      <c r="W28" s="203">
        <v>0.26133848411088956</v>
      </c>
      <c r="X28" s="203">
        <v>0.2767113361174125</v>
      </c>
      <c r="Y28" s="203">
        <v>0.29208418812393538</v>
      </c>
      <c r="Z28" s="203">
        <v>0.32282989213698127</v>
      </c>
      <c r="AA28" s="203">
        <v>0.35357559615002704</v>
      </c>
      <c r="AB28" s="203">
        <v>0.36894844815654998</v>
      </c>
      <c r="AC28" s="203">
        <v>0.38432130016307292</v>
      </c>
      <c r="AD28" s="203">
        <v>0.35357559615002704</v>
      </c>
      <c r="AE28" s="204">
        <f t="shared" si="2"/>
        <v>3.667784577792911</v>
      </c>
      <c r="AG28" s="203">
        <v>0</v>
      </c>
    </row>
    <row r="29" spans="1:33" x14ac:dyDescent="0.25">
      <c r="A29" s="206" t="s">
        <v>236</v>
      </c>
      <c r="B29" s="203">
        <v>0.50335072543115245</v>
      </c>
      <c r="C29" s="203">
        <v>0.43847283143081522</v>
      </c>
      <c r="D29" s="203">
        <v>0.40274541553645254</v>
      </c>
      <c r="E29" s="203">
        <v>0.40274541553645254</v>
      </c>
      <c r="F29" s="203">
        <v>0.38650568103901495</v>
      </c>
      <c r="G29" s="203">
        <v>0.45308859247850913</v>
      </c>
      <c r="H29" s="203">
        <v>0.46283243317697159</v>
      </c>
      <c r="I29" s="203">
        <v>0.52860335789159396</v>
      </c>
      <c r="J29" s="203">
        <v>0.56027084016159712</v>
      </c>
      <c r="K29" s="203">
        <v>0.60411812330467884</v>
      </c>
      <c r="L29" s="203">
        <v>0.62928971177570714</v>
      </c>
      <c r="M29" s="203">
        <v>0.56027084016159712</v>
      </c>
      <c r="N29" s="204">
        <f t="shared" si="1"/>
        <v>5.9322939679245428</v>
      </c>
      <c r="R29" s="206" t="s">
        <v>236</v>
      </c>
      <c r="S29" s="203">
        <v>0.50335072543115245</v>
      </c>
      <c r="T29" s="203">
        <v>0.43847283143081522</v>
      </c>
      <c r="U29" s="203">
        <v>0.40274541553645254</v>
      </c>
      <c r="V29" s="203">
        <v>0.40274541553645254</v>
      </c>
      <c r="W29" s="203">
        <v>0.38650568103901495</v>
      </c>
      <c r="X29" s="203">
        <v>0.45308859247850913</v>
      </c>
      <c r="Y29" s="203">
        <v>0.46283243317697159</v>
      </c>
      <c r="Z29" s="203">
        <v>0.52860335789159396</v>
      </c>
      <c r="AA29" s="203">
        <v>0.56027084016159712</v>
      </c>
      <c r="AB29" s="203">
        <v>0.60411812330467884</v>
      </c>
      <c r="AC29" s="203">
        <v>0.62928971177570714</v>
      </c>
      <c r="AD29" s="203">
        <v>0.56027084016159712</v>
      </c>
      <c r="AE29" s="204">
        <f t="shared" si="2"/>
        <v>5.9322939679245428</v>
      </c>
      <c r="AG29" s="203">
        <v>5.9779999999999998</v>
      </c>
    </row>
    <row r="31" spans="1:33" s="207" customFormat="1" x14ac:dyDescent="0.25">
      <c r="A31" s="206" t="s">
        <v>281</v>
      </c>
      <c r="B31" s="206" t="s">
        <v>87</v>
      </c>
      <c r="C31" s="206" t="s">
        <v>88</v>
      </c>
      <c r="D31" s="206" t="s">
        <v>89</v>
      </c>
      <c r="E31" s="206" t="s">
        <v>90</v>
      </c>
      <c r="F31" s="206" t="s">
        <v>91</v>
      </c>
      <c r="G31" s="206" t="s">
        <v>6</v>
      </c>
      <c r="H31" s="206" t="s">
        <v>92</v>
      </c>
      <c r="I31" s="206" t="s">
        <v>8</v>
      </c>
      <c r="J31" s="206" t="s">
        <v>93</v>
      </c>
      <c r="K31" s="206" t="s">
        <v>94</v>
      </c>
      <c r="L31" s="206" t="s">
        <v>95</v>
      </c>
      <c r="M31" s="206" t="s">
        <v>96</v>
      </c>
      <c r="N31" s="205">
        <f>SUM(N32:N44)</f>
        <v>412.18163795644892</v>
      </c>
      <c r="P31" s="206" t="s">
        <v>223</v>
      </c>
      <c r="R31" s="206" t="s">
        <v>287</v>
      </c>
      <c r="S31" s="206" t="s">
        <v>87</v>
      </c>
      <c r="T31" s="206" t="s">
        <v>88</v>
      </c>
      <c r="U31" s="206" t="s">
        <v>89</v>
      </c>
      <c r="V31" s="206" t="s">
        <v>90</v>
      </c>
      <c r="W31" s="206" t="s">
        <v>91</v>
      </c>
      <c r="X31" s="206" t="s">
        <v>6</v>
      </c>
      <c r="Y31" s="206" t="s">
        <v>92</v>
      </c>
      <c r="Z31" s="206" t="s">
        <v>8</v>
      </c>
      <c r="AA31" s="206" t="s">
        <v>93</v>
      </c>
      <c r="AB31" s="206" t="s">
        <v>94</v>
      </c>
      <c r="AC31" s="206" t="s">
        <v>95</v>
      </c>
      <c r="AD31" s="206" t="s">
        <v>96</v>
      </c>
      <c r="AE31" s="205">
        <f>SUM(AE32:AE44)</f>
        <v>412.18163795644892</v>
      </c>
      <c r="AG31" s="206" t="s">
        <v>223</v>
      </c>
    </row>
    <row r="32" spans="1:33" x14ac:dyDescent="0.25">
      <c r="A32" s="206" t="s">
        <v>224</v>
      </c>
      <c r="B32" s="203">
        <v>0.88945502160738021</v>
      </c>
      <c r="C32" s="203">
        <v>0.80050951944664228</v>
      </c>
      <c r="D32" s="203">
        <v>0.71156401728590413</v>
      </c>
      <c r="E32" s="203">
        <v>0.72244915627183448</v>
      </c>
      <c r="F32" s="203">
        <v>0.76760222853882398</v>
      </c>
      <c r="G32" s="203">
        <v>0.81275530080581349</v>
      </c>
      <c r="H32" s="203">
        <v>0.85790837307280343</v>
      </c>
      <c r="I32" s="203">
        <v>0.94821451760678266</v>
      </c>
      <c r="J32" s="203">
        <v>1.1288268066747413</v>
      </c>
      <c r="K32" s="203">
        <v>1.0385206621407619</v>
      </c>
      <c r="L32" s="203">
        <v>1.0836737344077516</v>
      </c>
      <c r="M32" s="203">
        <v>1.0385206621407619</v>
      </c>
      <c r="N32" s="204">
        <f>SUM(B32:M32)</f>
        <v>10.8</v>
      </c>
      <c r="P32" s="203">
        <v>0.75</v>
      </c>
      <c r="R32" s="206" t="s">
        <v>224</v>
      </c>
      <c r="S32" s="203">
        <v>0.88945502160738021</v>
      </c>
      <c r="T32" s="203">
        <v>0.80050951944664228</v>
      </c>
      <c r="U32" s="203">
        <v>0.71156401728590413</v>
      </c>
      <c r="V32" s="203">
        <v>0.72244915627183448</v>
      </c>
      <c r="W32" s="203">
        <v>0.76760222853882398</v>
      </c>
      <c r="X32" s="203">
        <v>0.81275530080581349</v>
      </c>
      <c r="Y32" s="203">
        <v>0.85790837307280343</v>
      </c>
      <c r="Z32" s="203">
        <v>0.94821451760678266</v>
      </c>
      <c r="AA32" s="203">
        <v>1.1288268066747413</v>
      </c>
      <c r="AB32" s="203">
        <v>1.0385206621407619</v>
      </c>
      <c r="AC32" s="203">
        <v>1.0836737344077516</v>
      </c>
      <c r="AD32" s="203">
        <v>1.0385206621407619</v>
      </c>
      <c r="AE32" s="204">
        <f>SUM(S32:AD32)</f>
        <v>10.8</v>
      </c>
      <c r="AG32" s="203">
        <v>0.75</v>
      </c>
    </row>
    <row r="33" spans="1:33" x14ac:dyDescent="0.25">
      <c r="A33" s="206" t="s">
        <v>225</v>
      </c>
      <c r="B33" s="203">
        <v>4.8264670787068802</v>
      </c>
      <c r="C33" s="203">
        <v>4.343820370836192</v>
      </c>
      <c r="D33" s="203">
        <v>3.8611736629655038</v>
      </c>
      <c r="E33" s="203">
        <v>3.9202399043003382</v>
      </c>
      <c r="F33" s="203">
        <v>4.165254898319108</v>
      </c>
      <c r="G33" s="203">
        <v>4.4102698923378787</v>
      </c>
      <c r="H33" s="203">
        <v>4.6552848863566503</v>
      </c>
      <c r="I33" s="203">
        <v>5.1453148743941926</v>
      </c>
      <c r="J33" s="203">
        <v>6.1253748504692762</v>
      </c>
      <c r="K33" s="203">
        <v>5.6353448624317348</v>
      </c>
      <c r="L33" s="203">
        <v>5.8803598564505055</v>
      </c>
      <c r="M33" s="203">
        <v>5.6353448624317348</v>
      </c>
      <c r="N33" s="204">
        <f t="shared" ref="N33:N44" si="3">SUM(B33:M33)</f>
        <v>58.60425</v>
      </c>
      <c r="P33" s="203">
        <v>0.75</v>
      </c>
      <c r="R33" s="206" t="s">
        <v>225</v>
      </c>
      <c r="S33" s="203">
        <v>4.8264670787068802</v>
      </c>
      <c r="T33" s="203">
        <v>4.343820370836192</v>
      </c>
      <c r="U33" s="203">
        <v>3.8611736629655038</v>
      </c>
      <c r="V33" s="203">
        <v>3.9202399043003382</v>
      </c>
      <c r="W33" s="203">
        <v>4.165254898319108</v>
      </c>
      <c r="X33" s="203">
        <v>4.4102698923378787</v>
      </c>
      <c r="Y33" s="203">
        <v>4.6552848863566503</v>
      </c>
      <c r="Z33" s="203">
        <v>5.1453148743941926</v>
      </c>
      <c r="AA33" s="203">
        <v>6.1253748504692762</v>
      </c>
      <c r="AB33" s="203">
        <v>5.6353448624317348</v>
      </c>
      <c r="AC33" s="203">
        <v>5.8803598564505055</v>
      </c>
      <c r="AD33" s="203">
        <v>5.6353448624317348</v>
      </c>
      <c r="AE33" s="204">
        <f t="shared" ref="AE33:AE44" si="4">SUM(S33:AD33)</f>
        <v>58.60425</v>
      </c>
      <c r="AG33" s="203">
        <v>0.75</v>
      </c>
    </row>
    <row r="34" spans="1:33" x14ac:dyDescent="0.25">
      <c r="A34" s="206" t="s">
        <v>226</v>
      </c>
      <c r="B34" s="203">
        <v>25.649600771519996</v>
      </c>
      <c r="C34" s="203">
        <v>22.625516494368</v>
      </c>
      <c r="D34" s="203">
        <v>20.519680617215997</v>
      </c>
      <c r="E34" s="203">
        <v>20.519680617216004</v>
      </c>
      <c r="F34" s="203">
        <v>20.501308755791989</v>
      </c>
      <c r="G34" s="203">
        <v>23.084640694368005</v>
      </c>
      <c r="H34" s="203">
        <v>23.882489632943994</v>
      </c>
      <c r="I34" s="203">
        <v>26.932080810096011</v>
      </c>
      <c r="J34" s="203">
        <v>28.910382187247993</v>
      </c>
      <c r="K34" s="203">
        <v>30.779520925824006</v>
      </c>
      <c r="L34" s="203">
        <v>32.062000964400006</v>
      </c>
      <c r="M34" s="203">
        <v>28.910382187248004</v>
      </c>
      <c r="N34" s="204">
        <f t="shared" si="3"/>
        <v>304.37728465824</v>
      </c>
      <c r="P34" s="203">
        <v>0.75</v>
      </c>
      <c r="R34" s="206" t="s">
        <v>226</v>
      </c>
      <c r="S34" s="203">
        <v>25.649600771519996</v>
      </c>
      <c r="T34" s="203">
        <v>22.625516494368</v>
      </c>
      <c r="U34" s="203">
        <v>20.519680617215997</v>
      </c>
      <c r="V34" s="203">
        <v>20.519680617216004</v>
      </c>
      <c r="W34" s="203">
        <v>20.501308755791989</v>
      </c>
      <c r="X34" s="203">
        <v>23.084640694368005</v>
      </c>
      <c r="Y34" s="203">
        <v>23.882489632943994</v>
      </c>
      <c r="Z34" s="203">
        <v>26.932080810096011</v>
      </c>
      <c r="AA34" s="203">
        <v>28.910382187247993</v>
      </c>
      <c r="AB34" s="203">
        <v>30.779520925824006</v>
      </c>
      <c r="AC34" s="203">
        <v>32.062000964400006</v>
      </c>
      <c r="AD34" s="203">
        <v>28.910382187248004</v>
      </c>
      <c r="AE34" s="204">
        <f t="shared" si="4"/>
        <v>304.37728465824</v>
      </c>
      <c r="AG34" s="203">
        <v>0.75</v>
      </c>
    </row>
    <row r="35" spans="1:33" x14ac:dyDescent="0.25">
      <c r="A35" s="206" t="s">
        <v>227</v>
      </c>
      <c r="B35" s="203">
        <v>0</v>
      </c>
      <c r="C35" s="203">
        <v>0</v>
      </c>
      <c r="D35" s="203">
        <v>0</v>
      </c>
      <c r="E35" s="203">
        <v>0</v>
      </c>
      <c r="F35" s="203">
        <v>0</v>
      </c>
      <c r="G35" s="203">
        <v>0</v>
      </c>
      <c r="H35" s="203">
        <v>0</v>
      </c>
      <c r="I35" s="203">
        <v>0</v>
      </c>
      <c r="J35" s="203">
        <v>0</v>
      </c>
      <c r="K35" s="203">
        <v>0</v>
      </c>
      <c r="L35" s="203">
        <v>0</v>
      </c>
      <c r="M35" s="203">
        <v>0</v>
      </c>
      <c r="N35" s="204">
        <f t="shared" si="3"/>
        <v>0</v>
      </c>
      <c r="P35" s="203">
        <v>0.75</v>
      </c>
      <c r="R35" s="206" t="s">
        <v>227</v>
      </c>
      <c r="S35" s="203">
        <v>0</v>
      </c>
      <c r="T35" s="203">
        <v>0</v>
      </c>
      <c r="U35" s="203">
        <v>0</v>
      </c>
      <c r="V35" s="203">
        <v>0</v>
      </c>
      <c r="W35" s="203">
        <v>0</v>
      </c>
      <c r="X35" s="203">
        <v>0</v>
      </c>
      <c r="Y35" s="203">
        <v>0</v>
      </c>
      <c r="Z35" s="203">
        <v>0</v>
      </c>
      <c r="AA35" s="203">
        <v>0</v>
      </c>
      <c r="AB35" s="203">
        <v>0</v>
      </c>
      <c r="AC35" s="203">
        <v>0</v>
      </c>
      <c r="AD35" s="203">
        <v>0</v>
      </c>
      <c r="AE35" s="204">
        <f t="shared" si="4"/>
        <v>0</v>
      </c>
      <c r="AG35" s="203">
        <v>0.75</v>
      </c>
    </row>
    <row r="36" spans="1:33" x14ac:dyDescent="0.25">
      <c r="A36" s="206" t="s">
        <v>228</v>
      </c>
      <c r="B36" s="203">
        <v>0</v>
      </c>
      <c r="C36" s="203">
        <v>0</v>
      </c>
      <c r="D36" s="203">
        <v>0</v>
      </c>
      <c r="E36" s="203">
        <v>0</v>
      </c>
      <c r="F36" s="203">
        <v>0</v>
      </c>
      <c r="G36" s="203">
        <v>0</v>
      </c>
      <c r="H36" s="203">
        <v>0</v>
      </c>
      <c r="I36" s="203">
        <v>0</v>
      </c>
      <c r="J36" s="203">
        <v>0</v>
      </c>
      <c r="K36" s="203">
        <v>0</v>
      </c>
      <c r="L36" s="203">
        <v>0</v>
      </c>
      <c r="M36" s="203">
        <v>0</v>
      </c>
      <c r="N36" s="204">
        <f t="shared" si="3"/>
        <v>0</v>
      </c>
      <c r="P36" s="203">
        <v>0.75</v>
      </c>
      <c r="R36" s="206" t="s">
        <v>228</v>
      </c>
      <c r="S36" s="203">
        <v>0</v>
      </c>
      <c r="T36" s="203">
        <v>0</v>
      </c>
      <c r="U36" s="203">
        <v>0</v>
      </c>
      <c r="V36" s="203">
        <v>0</v>
      </c>
      <c r="W36" s="203">
        <v>0</v>
      </c>
      <c r="X36" s="203">
        <v>0</v>
      </c>
      <c r="Y36" s="203">
        <v>0</v>
      </c>
      <c r="Z36" s="203">
        <v>0</v>
      </c>
      <c r="AA36" s="203">
        <v>0</v>
      </c>
      <c r="AB36" s="203">
        <v>0</v>
      </c>
      <c r="AC36" s="203">
        <v>0</v>
      </c>
      <c r="AD36" s="203">
        <v>0</v>
      </c>
      <c r="AE36" s="204">
        <f t="shared" si="4"/>
        <v>0</v>
      </c>
      <c r="AG36" s="203">
        <v>0.75</v>
      </c>
    </row>
    <row r="37" spans="1:33" x14ac:dyDescent="0.25">
      <c r="A37" s="206" t="s">
        <v>229</v>
      </c>
      <c r="B37" s="203">
        <v>0.26973958884440474</v>
      </c>
      <c r="C37" s="203">
        <v>0.24276562995996426</v>
      </c>
      <c r="D37" s="203">
        <v>0.21579167107552377</v>
      </c>
      <c r="E37" s="203">
        <v>0.21909274065549308</v>
      </c>
      <c r="F37" s="203">
        <v>0.23278603694646133</v>
      </c>
      <c r="G37" s="203">
        <v>0.24647933323742963</v>
      </c>
      <c r="H37" s="203">
        <v>0.26017262952839798</v>
      </c>
      <c r="I37" s="203">
        <v>0.28755922211033458</v>
      </c>
      <c r="J37" s="203">
        <v>0.34233240727420788</v>
      </c>
      <c r="K37" s="203">
        <v>0.31494581469227118</v>
      </c>
      <c r="L37" s="203">
        <v>0.32863911098323956</v>
      </c>
      <c r="M37" s="203">
        <v>0.31494581469227118</v>
      </c>
      <c r="N37" s="204">
        <f t="shared" si="3"/>
        <v>3.2752499999999993</v>
      </c>
      <c r="P37" s="203">
        <v>0.75</v>
      </c>
      <c r="R37" s="206" t="s">
        <v>229</v>
      </c>
      <c r="S37" s="203">
        <v>0.26973958884440474</v>
      </c>
      <c r="T37" s="203">
        <v>0.24276562995996426</v>
      </c>
      <c r="U37" s="203">
        <v>0.21579167107552377</v>
      </c>
      <c r="V37" s="203">
        <v>0.21909274065549308</v>
      </c>
      <c r="W37" s="203">
        <v>0.23278603694646133</v>
      </c>
      <c r="X37" s="203">
        <v>0.24647933323742963</v>
      </c>
      <c r="Y37" s="203">
        <v>0.26017262952839798</v>
      </c>
      <c r="Z37" s="203">
        <v>0.28755922211033458</v>
      </c>
      <c r="AA37" s="203">
        <v>0.34233240727420788</v>
      </c>
      <c r="AB37" s="203">
        <v>0.31494581469227118</v>
      </c>
      <c r="AC37" s="203">
        <v>0.32863911098323956</v>
      </c>
      <c r="AD37" s="203">
        <v>0.31494581469227118</v>
      </c>
      <c r="AE37" s="204">
        <f t="shared" si="4"/>
        <v>3.2752499999999993</v>
      </c>
      <c r="AG37" s="203">
        <v>0.75</v>
      </c>
    </row>
    <row r="38" spans="1:33" x14ac:dyDescent="0.25">
      <c r="A38" s="206" t="s">
        <v>230</v>
      </c>
      <c r="B38" s="203">
        <v>1.7557134768715694E-2</v>
      </c>
      <c r="C38" s="203">
        <v>1.5801421291844125E-2</v>
      </c>
      <c r="D38" s="203">
        <v>1.4045707814972556E-2</v>
      </c>
      <c r="E38" s="203">
        <v>1.4201631614180657E-2</v>
      </c>
      <c r="F38" s="203">
        <v>1.5089233590066947E-2</v>
      </c>
      <c r="G38" s="203">
        <v>1.5976835565953237E-2</v>
      </c>
      <c r="H38" s="203">
        <v>1.6864437541839528E-2</v>
      </c>
      <c r="I38" s="203">
        <v>1.8639641493612115E-2</v>
      </c>
      <c r="J38" s="203">
        <v>2.0414845445384692E-2</v>
      </c>
      <c r="K38" s="203">
        <v>2.1302447421270986E-2</v>
      </c>
      <c r="L38" s="203">
        <v>2.2190049397157276E-2</v>
      </c>
      <c r="M38" s="203">
        <v>2.0414845445384692E-2</v>
      </c>
      <c r="N38" s="204">
        <f t="shared" si="3"/>
        <v>0.21249823139038249</v>
      </c>
      <c r="P38" s="203">
        <v>0.75</v>
      </c>
      <c r="R38" s="206" t="s">
        <v>230</v>
      </c>
      <c r="S38" s="203">
        <v>1.7557134768715694E-2</v>
      </c>
      <c r="T38" s="203">
        <v>1.5801421291844125E-2</v>
      </c>
      <c r="U38" s="203">
        <v>1.4045707814972556E-2</v>
      </c>
      <c r="V38" s="203">
        <v>1.4201631614180657E-2</v>
      </c>
      <c r="W38" s="203">
        <v>1.5089233590066947E-2</v>
      </c>
      <c r="X38" s="203">
        <v>1.5976835565953237E-2</v>
      </c>
      <c r="Y38" s="203">
        <v>1.6864437541839528E-2</v>
      </c>
      <c r="Z38" s="203">
        <v>1.8639641493612115E-2</v>
      </c>
      <c r="AA38" s="203">
        <v>2.0414845445384692E-2</v>
      </c>
      <c r="AB38" s="203">
        <v>2.1302447421270986E-2</v>
      </c>
      <c r="AC38" s="203">
        <v>2.2190049397157276E-2</v>
      </c>
      <c r="AD38" s="203">
        <v>2.0414845445384692E-2</v>
      </c>
      <c r="AE38" s="204">
        <f t="shared" si="4"/>
        <v>0.21249823139038249</v>
      </c>
      <c r="AG38" s="203">
        <v>0.75</v>
      </c>
    </row>
    <row r="39" spans="1:33" x14ac:dyDescent="0.25">
      <c r="A39" s="206" t="s">
        <v>231</v>
      </c>
      <c r="B39" s="203">
        <v>5.7893947844593396E-2</v>
      </c>
      <c r="C39" s="203">
        <v>5.2104553060134062E-2</v>
      </c>
      <c r="D39" s="203">
        <v>4.6315158275674721E-2</v>
      </c>
      <c r="E39" s="203">
        <v>4.6937947353768716E-2</v>
      </c>
      <c r="F39" s="203">
        <v>4.9871569063379265E-2</v>
      </c>
      <c r="G39" s="203">
        <v>5.2805190772989813E-2</v>
      </c>
      <c r="H39" s="203">
        <v>5.5738812482600354E-2</v>
      </c>
      <c r="I39" s="203">
        <v>6.1606055901821451E-2</v>
      </c>
      <c r="J39" s="203">
        <v>6.747329932104254E-2</v>
      </c>
      <c r="K39" s="203">
        <v>7.0406921030653088E-2</v>
      </c>
      <c r="L39" s="203">
        <v>7.3340542740263623E-2</v>
      </c>
      <c r="M39" s="203">
        <v>6.747329932104254E-2</v>
      </c>
      <c r="N39" s="204">
        <f t="shared" si="3"/>
        <v>0.70196729716796347</v>
      </c>
      <c r="P39" s="203">
        <v>0.75</v>
      </c>
      <c r="R39" s="206" t="s">
        <v>231</v>
      </c>
      <c r="S39" s="203">
        <v>5.7893947844593396E-2</v>
      </c>
      <c r="T39" s="203">
        <v>5.2104553060134062E-2</v>
      </c>
      <c r="U39" s="203">
        <v>4.6315158275674721E-2</v>
      </c>
      <c r="V39" s="203">
        <v>4.6937947353768716E-2</v>
      </c>
      <c r="W39" s="203">
        <v>4.9871569063379265E-2</v>
      </c>
      <c r="X39" s="203">
        <v>5.2805190772989813E-2</v>
      </c>
      <c r="Y39" s="203">
        <v>5.5738812482600354E-2</v>
      </c>
      <c r="Z39" s="203">
        <v>6.1606055901821451E-2</v>
      </c>
      <c r="AA39" s="203">
        <v>6.747329932104254E-2</v>
      </c>
      <c r="AB39" s="203">
        <v>7.0406921030653088E-2</v>
      </c>
      <c r="AC39" s="203">
        <v>7.3340542740263623E-2</v>
      </c>
      <c r="AD39" s="203">
        <v>6.747329932104254E-2</v>
      </c>
      <c r="AE39" s="204">
        <f t="shared" si="4"/>
        <v>0.70196729716796347</v>
      </c>
      <c r="AG39" s="203">
        <v>0.75</v>
      </c>
    </row>
    <row r="40" spans="1:33" x14ac:dyDescent="0.25">
      <c r="A40" s="206" t="s">
        <v>232</v>
      </c>
      <c r="B40" s="203">
        <v>5.7893947844593396E-2</v>
      </c>
      <c r="C40" s="203">
        <v>5.2104553060134062E-2</v>
      </c>
      <c r="D40" s="203">
        <v>4.6315158275674721E-2</v>
      </c>
      <c r="E40" s="203">
        <v>4.6937947353768716E-2</v>
      </c>
      <c r="F40" s="203">
        <v>4.9871569063379265E-2</v>
      </c>
      <c r="G40" s="203">
        <v>5.2805190772989813E-2</v>
      </c>
      <c r="H40" s="203">
        <v>5.5738812482600354E-2</v>
      </c>
      <c r="I40" s="203">
        <v>6.1606055901821451E-2</v>
      </c>
      <c r="J40" s="203">
        <v>6.747329932104254E-2</v>
      </c>
      <c r="K40" s="203">
        <v>7.0406921030653088E-2</v>
      </c>
      <c r="L40" s="203">
        <v>7.3340542740263623E-2</v>
      </c>
      <c r="M40" s="203">
        <v>6.747329932104254E-2</v>
      </c>
      <c r="N40" s="204">
        <f t="shared" si="3"/>
        <v>0.70196729716796347</v>
      </c>
      <c r="P40" s="203">
        <v>0.75</v>
      </c>
      <c r="R40" s="206" t="s">
        <v>232</v>
      </c>
      <c r="S40" s="203">
        <v>5.7893947844593396E-2</v>
      </c>
      <c r="T40" s="203">
        <v>5.2104553060134062E-2</v>
      </c>
      <c r="U40" s="203">
        <v>4.6315158275674721E-2</v>
      </c>
      <c r="V40" s="203">
        <v>4.6937947353768716E-2</v>
      </c>
      <c r="W40" s="203">
        <v>4.9871569063379265E-2</v>
      </c>
      <c r="X40" s="203">
        <v>5.2805190772989813E-2</v>
      </c>
      <c r="Y40" s="203">
        <v>5.5738812482600354E-2</v>
      </c>
      <c r="Z40" s="203">
        <v>6.1606055901821451E-2</v>
      </c>
      <c r="AA40" s="203">
        <v>6.747329932104254E-2</v>
      </c>
      <c r="AB40" s="203">
        <v>7.0406921030653088E-2</v>
      </c>
      <c r="AC40" s="203">
        <v>7.3340542740263623E-2</v>
      </c>
      <c r="AD40" s="203">
        <v>6.747329932104254E-2</v>
      </c>
      <c r="AE40" s="204">
        <f t="shared" si="4"/>
        <v>0.70196729716796347</v>
      </c>
      <c r="AG40" s="203">
        <v>0.75</v>
      </c>
    </row>
    <row r="41" spans="1:33" x14ac:dyDescent="0.25">
      <c r="A41" s="206" t="s">
        <v>233</v>
      </c>
      <c r="B41" s="203">
        <v>1.1862772252906186</v>
      </c>
      <c r="C41" s="203">
        <v>0.89666710870072797</v>
      </c>
      <c r="D41" s="203">
        <v>0.79722879957681614</v>
      </c>
      <c r="E41" s="203">
        <v>0.80722453000562211</v>
      </c>
      <c r="F41" s="203">
        <v>0.85697744714782131</v>
      </c>
      <c r="G41" s="203">
        <v>0.90743913948002297</v>
      </c>
      <c r="H41" s="203">
        <v>0.95790083181222485</v>
      </c>
      <c r="I41" s="203">
        <v>1.0579528939770173</v>
      </c>
      <c r="J41" s="203">
        <v>1.1588762786414208</v>
      </c>
      <c r="K41" s="203">
        <v>1.210209293473234</v>
      </c>
      <c r="L41" s="203">
        <v>1.2606709858054361</v>
      </c>
      <c r="M41" s="203">
        <v>1.1623615686398661</v>
      </c>
      <c r="N41" s="204">
        <f t="shared" si="3"/>
        <v>12.25978610255083</v>
      </c>
      <c r="P41" s="203">
        <v>0.75</v>
      </c>
      <c r="R41" s="206" t="s">
        <v>233</v>
      </c>
      <c r="S41" s="203">
        <v>1.1862772252906186</v>
      </c>
      <c r="T41" s="203">
        <v>0.89666710870072797</v>
      </c>
      <c r="U41" s="203">
        <v>0.79722879957681614</v>
      </c>
      <c r="V41" s="203">
        <v>0.80722453000562211</v>
      </c>
      <c r="W41" s="203">
        <v>0.85697744714782131</v>
      </c>
      <c r="X41" s="203">
        <v>0.90743913948002297</v>
      </c>
      <c r="Y41" s="203">
        <v>0.95790083181222485</v>
      </c>
      <c r="Z41" s="203">
        <v>1.0579528939770173</v>
      </c>
      <c r="AA41" s="203">
        <v>1.1588762786414208</v>
      </c>
      <c r="AB41" s="203">
        <v>1.210209293473234</v>
      </c>
      <c r="AC41" s="203">
        <v>1.2606709858054361</v>
      </c>
      <c r="AD41" s="203">
        <v>1.1623615686398661</v>
      </c>
      <c r="AE41" s="204">
        <f t="shared" si="4"/>
        <v>12.25978610255083</v>
      </c>
      <c r="AG41" s="203">
        <v>0.75</v>
      </c>
    </row>
    <row r="42" spans="1:33" x14ac:dyDescent="0.25">
      <c r="A42" s="206" t="s">
        <v>234</v>
      </c>
      <c r="B42" s="203">
        <v>1.1718130569695351</v>
      </c>
      <c r="C42" s="203">
        <v>1.0546317512725816</v>
      </c>
      <c r="D42" s="203">
        <v>0.93745044557562807</v>
      </c>
      <c r="E42" s="203">
        <v>0.93631657693126047</v>
      </c>
      <c r="F42" s="203">
        <v>0.99483636298946421</v>
      </c>
      <c r="G42" s="203">
        <v>1.0533561490476679</v>
      </c>
      <c r="H42" s="203">
        <v>1.1118759351058718</v>
      </c>
      <c r="I42" s="203">
        <v>1.228915507222279</v>
      </c>
      <c r="J42" s="203">
        <v>1.3365481892830637</v>
      </c>
      <c r="K42" s="203">
        <v>1.4091783104247018</v>
      </c>
      <c r="L42" s="203">
        <v>1.4676980964829058</v>
      </c>
      <c r="M42" s="203">
        <v>1.3459550793386867</v>
      </c>
      <c r="N42" s="204">
        <f t="shared" si="3"/>
        <v>14.048575460643647</v>
      </c>
      <c r="P42" s="203">
        <v>0.75</v>
      </c>
      <c r="R42" s="206" t="s">
        <v>234</v>
      </c>
      <c r="S42" s="203">
        <v>1.1718130569695351</v>
      </c>
      <c r="T42" s="203">
        <v>1.0546317512725816</v>
      </c>
      <c r="U42" s="203">
        <v>0.93745044557562807</v>
      </c>
      <c r="V42" s="203">
        <v>0.93631657693126047</v>
      </c>
      <c r="W42" s="203">
        <v>0.99483636298946421</v>
      </c>
      <c r="X42" s="203">
        <v>1.0533561490476679</v>
      </c>
      <c r="Y42" s="203">
        <v>1.1118759351058718</v>
      </c>
      <c r="Z42" s="203">
        <v>1.228915507222279</v>
      </c>
      <c r="AA42" s="203">
        <v>1.3365481892830637</v>
      </c>
      <c r="AB42" s="203">
        <v>1.4091783104247018</v>
      </c>
      <c r="AC42" s="203">
        <v>1.4676980964829058</v>
      </c>
      <c r="AD42" s="203">
        <v>1.3459550793386867</v>
      </c>
      <c r="AE42" s="204">
        <f t="shared" si="4"/>
        <v>14.048575460643647</v>
      </c>
      <c r="AG42" s="203">
        <v>0.75</v>
      </c>
    </row>
    <row r="43" spans="1:33" x14ac:dyDescent="0.25">
      <c r="A43" s="206" t="s">
        <v>235</v>
      </c>
      <c r="B43" s="203">
        <v>0.22456502904990241</v>
      </c>
      <c r="C43" s="203">
        <v>0.2021085261449122</v>
      </c>
      <c r="D43" s="203">
        <v>0.17965202323992197</v>
      </c>
      <c r="E43" s="203">
        <v>0.18447422407827502</v>
      </c>
      <c r="F43" s="203">
        <v>0.19600386308316717</v>
      </c>
      <c r="G43" s="203">
        <v>0.20753350208805937</v>
      </c>
      <c r="H43" s="203">
        <v>0.21906314109295155</v>
      </c>
      <c r="I43" s="203">
        <v>0.24212241910273596</v>
      </c>
      <c r="J43" s="203">
        <v>0.26518169711252026</v>
      </c>
      <c r="K43" s="203">
        <v>0.2767113361174125</v>
      </c>
      <c r="L43" s="203">
        <v>0.28824097512230468</v>
      </c>
      <c r="M43" s="203">
        <v>0.26518169711252026</v>
      </c>
      <c r="N43" s="204">
        <f t="shared" si="3"/>
        <v>2.7508384333446836</v>
      </c>
      <c r="P43" s="203">
        <v>0.75</v>
      </c>
      <c r="R43" s="206" t="s">
        <v>235</v>
      </c>
      <c r="S43" s="203">
        <v>0.22456502904990241</v>
      </c>
      <c r="T43" s="203">
        <v>0.2021085261449122</v>
      </c>
      <c r="U43" s="203">
        <v>0.17965202323992197</v>
      </c>
      <c r="V43" s="203">
        <v>0.18447422407827502</v>
      </c>
      <c r="W43" s="203">
        <v>0.19600386308316717</v>
      </c>
      <c r="X43" s="203">
        <v>0.20753350208805937</v>
      </c>
      <c r="Y43" s="203">
        <v>0.21906314109295155</v>
      </c>
      <c r="Z43" s="203">
        <v>0.24212241910273596</v>
      </c>
      <c r="AA43" s="203">
        <v>0.26518169711252026</v>
      </c>
      <c r="AB43" s="203">
        <v>0.2767113361174125</v>
      </c>
      <c r="AC43" s="203">
        <v>0.28824097512230468</v>
      </c>
      <c r="AD43" s="203">
        <v>0.26518169711252026</v>
      </c>
      <c r="AE43" s="204">
        <f t="shared" si="4"/>
        <v>2.7508384333446836</v>
      </c>
      <c r="AG43" s="203">
        <v>0.75</v>
      </c>
    </row>
    <row r="44" spans="1:33" x14ac:dyDescent="0.25">
      <c r="A44" s="206" t="s">
        <v>236</v>
      </c>
      <c r="B44" s="203">
        <v>0.37751304407336433</v>
      </c>
      <c r="C44" s="203">
        <v>0.3288546235731114</v>
      </c>
      <c r="D44" s="203">
        <v>0.30205906165233942</v>
      </c>
      <c r="E44" s="203">
        <v>0.30205906165233942</v>
      </c>
      <c r="F44" s="203">
        <v>0.28987926077926118</v>
      </c>
      <c r="G44" s="203">
        <v>0.33981644435888186</v>
      </c>
      <c r="H44" s="203">
        <v>0.34712432488272871</v>
      </c>
      <c r="I44" s="203">
        <v>0.39645251841869544</v>
      </c>
      <c r="J44" s="203">
        <v>0.42020313012119781</v>
      </c>
      <c r="K44" s="203">
        <v>0.45308859247850913</v>
      </c>
      <c r="L44" s="203">
        <v>0.47196728383178033</v>
      </c>
      <c r="M44" s="203">
        <v>0.42020313012119781</v>
      </c>
      <c r="N44" s="204">
        <f t="shared" si="3"/>
        <v>4.4492204759434069</v>
      </c>
      <c r="P44" s="203">
        <v>0.75</v>
      </c>
      <c r="R44" s="206" t="s">
        <v>236</v>
      </c>
      <c r="S44" s="203">
        <v>0.37751304407336433</v>
      </c>
      <c r="T44" s="203">
        <v>0.3288546235731114</v>
      </c>
      <c r="U44" s="203">
        <v>0.30205906165233942</v>
      </c>
      <c r="V44" s="203">
        <v>0.30205906165233942</v>
      </c>
      <c r="W44" s="203">
        <v>0.28987926077926118</v>
      </c>
      <c r="X44" s="203">
        <v>0.33981644435888186</v>
      </c>
      <c r="Y44" s="203">
        <v>0.34712432488272871</v>
      </c>
      <c r="Z44" s="203">
        <v>0.39645251841869544</v>
      </c>
      <c r="AA44" s="203">
        <v>0.42020313012119781</v>
      </c>
      <c r="AB44" s="203">
        <v>0.45308859247850913</v>
      </c>
      <c r="AC44" s="203">
        <v>0.47196728383178033</v>
      </c>
      <c r="AD44" s="203">
        <v>0.42020313012119781</v>
      </c>
      <c r="AE44" s="204">
        <f t="shared" si="4"/>
        <v>4.4492204759434069</v>
      </c>
      <c r="AG44" s="203">
        <v>0.75</v>
      </c>
    </row>
    <row r="46" spans="1:33" s="207" customFormat="1" x14ac:dyDescent="0.25">
      <c r="A46" s="206" t="s">
        <v>283</v>
      </c>
      <c r="B46" s="206" t="s">
        <v>87</v>
      </c>
      <c r="C46" s="206" t="s">
        <v>88</v>
      </c>
      <c r="D46" s="206" t="s">
        <v>89</v>
      </c>
      <c r="E46" s="206" t="s">
        <v>90</v>
      </c>
      <c r="F46" s="206" t="s">
        <v>91</v>
      </c>
      <c r="G46" s="206" t="s">
        <v>6</v>
      </c>
      <c r="H46" s="206" t="s">
        <v>92</v>
      </c>
      <c r="I46" s="206" t="s">
        <v>8</v>
      </c>
      <c r="J46" s="206" t="s">
        <v>93</v>
      </c>
      <c r="K46" s="206" t="s">
        <v>94</v>
      </c>
      <c r="L46" s="206" t="s">
        <v>95</v>
      </c>
      <c r="M46" s="206" t="s">
        <v>96</v>
      </c>
      <c r="N46" s="205">
        <f>SUM(N47:N59)</f>
        <v>149.7410057032256</v>
      </c>
      <c r="P46" s="206" t="s">
        <v>222</v>
      </c>
      <c r="R46" s="206" t="s">
        <v>289</v>
      </c>
      <c r="S46" s="206" t="s">
        <v>87</v>
      </c>
      <c r="T46" s="206" t="s">
        <v>88</v>
      </c>
      <c r="U46" s="206" t="s">
        <v>89</v>
      </c>
      <c r="V46" s="206" t="s">
        <v>90</v>
      </c>
      <c r="W46" s="206" t="s">
        <v>91</v>
      </c>
      <c r="X46" s="206" t="s">
        <v>6</v>
      </c>
      <c r="Y46" s="206" t="s">
        <v>92</v>
      </c>
      <c r="Z46" s="206" t="s">
        <v>8</v>
      </c>
      <c r="AA46" s="206" t="s">
        <v>93</v>
      </c>
      <c r="AB46" s="206" t="s">
        <v>94</v>
      </c>
      <c r="AC46" s="206" t="s">
        <v>95</v>
      </c>
      <c r="AD46" s="206" t="s">
        <v>96</v>
      </c>
      <c r="AE46" s="205">
        <f>SUM(AE47:AE59)</f>
        <v>149.7410057032256</v>
      </c>
      <c r="AG46" s="206" t="s">
        <v>222</v>
      </c>
    </row>
    <row r="47" spans="1:33" x14ac:dyDescent="0.25">
      <c r="A47" s="206" t="s">
        <v>224</v>
      </c>
      <c r="B47" s="203">
        <v>0.29648500720246007</v>
      </c>
      <c r="C47" s="203">
        <v>0.26683650648221408</v>
      </c>
      <c r="D47" s="203">
        <v>0.23718800576196805</v>
      </c>
      <c r="E47" s="203">
        <v>0.24081638542394485</v>
      </c>
      <c r="F47" s="203">
        <v>0.25586740951294135</v>
      </c>
      <c r="G47" s="203">
        <v>0.27091843360193785</v>
      </c>
      <c r="H47" s="203">
        <v>0.28596945769093446</v>
      </c>
      <c r="I47" s="203">
        <v>0.31607150586892757</v>
      </c>
      <c r="J47" s="203">
        <v>0.37627560222491374</v>
      </c>
      <c r="K47" s="203">
        <v>0.34617355404692063</v>
      </c>
      <c r="L47" s="203">
        <v>0.36122457813591718</v>
      </c>
      <c r="M47" s="203">
        <v>0.34617355404692063</v>
      </c>
      <c r="N47" s="204">
        <f>SUM(B47:M47)</f>
        <v>3.6000000000000005</v>
      </c>
      <c r="P47" s="203">
        <v>0.25</v>
      </c>
      <c r="R47" s="206" t="s">
        <v>224</v>
      </c>
      <c r="S47" s="203">
        <v>0.29648500720246007</v>
      </c>
      <c r="T47" s="203">
        <v>0.26683650648221408</v>
      </c>
      <c r="U47" s="203">
        <v>0.23718800576196805</v>
      </c>
      <c r="V47" s="203">
        <v>0.24081638542394485</v>
      </c>
      <c r="W47" s="203">
        <v>0.25586740951294135</v>
      </c>
      <c r="X47" s="203">
        <v>0.27091843360193785</v>
      </c>
      <c r="Y47" s="203">
        <v>0.28596945769093446</v>
      </c>
      <c r="Z47" s="203">
        <v>0.31607150586892757</v>
      </c>
      <c r="AA47" s="203">
        <v>0.37627560222491374</v>
      </c>
      <c r="AB47" s="203">
        <v>0.34617355404692063</v>
      </c>
      <c r="AC47" s="203">
        <v>0.36122457813591718</v>
      </c>
      <c r="AD47" s="203">
        <v>0.34617355404692063</v>
      </c>
      <c r="AE47" s="204">
        <f>SUM(S47:AD47)</f>
        <v>3.6000000000000005</v>
      </c>
      <c r="AG47" s="203">
        <v>0.25</v>
      </c>
    </row>
    <row r="48" spans="1:33" x14ac:dyDescent="0.25">
      <c r="A48" s="206" t="s">
        <v>225</v>
      </c>
      <c r="B48" s="203">
        <v>1.6088223595689599</v>
      </c>
      <c r="C48" s="203">
        <v>1.4479401236120639</v>
      </c>
      <c r="D48" s="203">
        <v>1.2870578876551679</v>
      </c>
      <c r="E48" s="203">
        <v>1.3067466347667793</v>
      </c>
      <c r="F48" s="203">
        <v>1.3884182994397027</v>
      </c>
      <c r="G48" s="203">
        <v>1.4700899641126262</v>
      </c>
      <c r="H48" s="203">
        <v>1.55176162878555</v>
      </c>
      <c r="I48" s="203">
        <v>1.7151049581313975</v>
      </c>
      <c r="J48" s="203">
        <v>2.0417916168230921</v>
      </c>
      <c r="K48" s="203">
        <v>1.8784482874772448</v>
      </c>
      <c r="L48" s="203">
        <v>1.9601199521501687</v>
      </c>
      <c r="M48" s="203">
        <v>1.8784482874772448</v>
      </c>
      <c r="N48" s="204">
        <f t="shared" ref="N48:N59" si="5">SUM(B48:M48)</f>
        <v>19.534749999999995</v>
      </c>
      <c r="P48" s="203">
        <v>0.25</v>
      </c>
      <c r="R48" s="206" t="s">
        <v>225</v>
      </c>
      <c r="S48" s="203">
        <v>1.6088223595689599</v>
      </c>
      <c r="T48" s="203">
        <v>1.4479401236120639</v>
      </c>
      <c r="U48" s="203">
        <v>1.2870578876551679</v>
      </c>
      <c r="V48" s="203">
        <v>1.3067466347667793</v>
      </c>
      <c r="W48" s="203">
        <v>1.3884182994397027</v>
      </c>
      <c r="X48" s="203">
        <v>1.4700899641126262</v>
      </c>
      <c r="Y48" s="203">
        <v>1.55176162878555</v>
      </c>
      <c r="Z48" s="203">
        <v>1.7151049581313975</v>
      </c>
      <c r="AA48" s="203">
        <v>2.0417916168230921</v>
      </c>
      <c r="AB48" s="203">
        <v>1.8784482874772448</v>
      </c>
      <c r="AC48" s="203">
        <v>1.9601199521501687</v>
      </c>
      <c r="AD48" s="203">
        <v>1.8784482874772448</v>
      </c>
      <c r="AE48" s="204">
        <f t="shared" ref="AE48:AE59" si="6">SUM(S48:AD48)</f>
        <v>19.534749999999995</v>
      </c>
      <c r="AG48" s="203">
        <v>0.25</v>
      </c>
    </row>
    <row r="49" spans="1:33" x14ac:dyDescent="0.25">
      <c r="A49" s="206" t="s">
        <v>226</v>
      </c>
      <c r="B49" s="203">
        <v>8.7760267927497715</v>
      </c>
      <c r="C49" s="203">
        <v>7.9028137946641728</v>
      </c>
      <c r="D49" s="203">
        <v>8.379232546450373</v>
      </c>
      <c r="E49" s="203">
        <v>8.3822431320505313</v>
      </c>
      <c r="F49" s="203">
        <v>8.7944704356876482</v>
      </c>
      <c r="G49" s="203">
        <v>10.525219854847316</v>
      </c>
      <c r="H49" s="203">
        <v>9.287673134873911</v>
      </c>
      <c r="I49" s="203">
        <v>10.107349539690617</v>
      </c>
      <c r="J49" s="203">
        <v>10.456036320994013</v>
      </c>
      <c r="K49" s="203">
        <v>10.602942707394288</v>
      </c>
      <c r="L49" s="203">
        <v>10.798517384357561</v>
      </c>
      <c r="M49" s="203">
        <v>9.7936956267291482</v>
      </c>
      <c r="N49" s="204">
        <f t="shared" si="5"/>
        <v>113.80622127048936</v>
      </c>
      <c r="P49" s="203">
        <v>0.25</v>
      </c>
      <c r="R49" s="206" t="s">
        <v>226</v>
      </c>
      <c r="S49" s="203">
        <v>8.7760267927497715</v>
      </c>
      <c r="T49" s="203">
        <v>7.9028137946641728</v>
      </c>
      <c r="U49" s="203">
        <v>8.379232546450373</v>
      </c>
      <c r="V49" s="203">
        <v>8.3822431320505313</v>
      </c>
      <c r="W49" s="203">
        <v>8.7944704356876482</v>
      </c>
      <c r="X49" s="203">
        <v>10.525219854847316</v>
      </c>
      <c r="Y49" s="203">
        <v>9.287673134873911</v>
      </c>
      <c r="Z49" s="203">
        <v>10.107349539690617</v>
      </c>
      <c r="AA49" s="203">
        <v>10.456036320994013</v>
      </c>
      <c r="AB49" s="203">
        <v>10.602942707394288</v>
      </c>
      <c r="AC49" s="203">
        <v>10.798517384357561</v>
      </c>
      <c r="AD49" s="203">
        <v>9.7936956267291482</v>
      </c>
      <c r="AE49" s="204">
        <f t="shared" si="6"/>
        <v>113.80622127048936</v>
      </c>
      <c r="AG49" s="203">
        <v>0.25</v>
      </c>
    </row>
    <row r="50" spans="1:33" x14ac:dyDescent="0.25">
      <c r="A50" s="206" t="s">
        <v>227</v>
      </c>
      <c r="B50" s="203">
        <v>0</v>
      </c>
      <c r="C50" s="203">
        <v>0</v>
      </c>
      <c r="D50" s="203">
        <v>0</v>
      </c>
      <c r="E50" s="203">
        <v>0</v>
      </c>
      <c r="F50" s="203">
        <v>0</v>
      </c>
      <c r="G50" s="203">
        <v>0</v>
      </c>
      <c r="H50" s="203">
        <v>0</v>
      </c>
      <c r="I50" s="203">
        <v>0</v>
      </c>
      <c r="J50" s="203">
        <v>0</v>
      </c>
      <c r="K50" s="203">
        <v>0</v>
      </c>
      <c r="L50" s="203">
        <v>0</v>
      </c>
      <c r="M50" s="203">
        <v>0</v>
      </c>
      <c r="N50" s="204">
        <f t="shared" si="5"/>
        <v>0</v>
      </c>
      <c r="P50" s="203">
        <v>0.25</v>
      </c>
      <c r="R50" s="206" t="s">
        <v>227</v>
      </c>
      <c r="S50" s="203">
        <v>0</v>
      </c>
      <c r="T50" s="203">
        <v>0</v>
      </c>
      <c r="U50" s="203">
        <v>0</v>
      </c>
      <c r="V50" s="203">
        <v>0</v>
      </c>
      <c r="W50" s="203">
        <v>0</v>
      </c>
      <c r="X50" s="203">
        <v>0</v>
      </c>
      <c r="Y50" s="203">
        <v>0</v>
      </c>
      <c r="Z50" s="203">
        <v>0</v>
      </c>
      <c r="AA50" s="203">
        <v>0</v>
      </c>
      <c r="AB50" s="203">
        <v>0</v>
      </c>
      <c r="AC50" s="203">
        <v>0</v>
      </c>
      <c r="AD50" s="203">
        <v>0</v>
      </c>
      <c r="AE50" s="204">
        <f t="shared" si="6"/>
        <v>0</v>
      </c>
      <c r="AG50" s="203">
        <v>0.25</v>
      </c>
    </row>
    <row r="51" spans="1:33" x14ac:dyDescent="0.25">
      <c r="A51" s="206" t="s">
        <v>228</v>
      </c>
      <c r="B51" s="203">
        <v>0</v>
      </c>
      <c r="C51" s="203">
        <v>0</v>
      </c>
      <c r="D51" s="203">
        <v>0</v>
      </c>
      <c r="E51" s="203">
        <v>0</v>
      </c>
      <c r="F51" s="203">
        <v>0</v>
      </c>
      <c r="G51" s="203">
        <v>0</v>
      </c>
      <c r="H51" s="203">
        <v>0</v>
      </c>
      <c r="I51" s="203">
        <v>0</v>
      </c>
      <c r="J51" s="203">
        <v>0</v>
      </c>
      <c r="K51" s="203">
        <v>0</v>
      </c>
      <c r="L51" s="203">
        <v>0</v>
      </c>
      <c r="M51" s="203">
        <v>0</v>
      </c>
      <c r="N51" s="204">
        <f t="shared" si="5"/>
        <v>0</v>
      </c>
      <c r="P51" s="203">
        <v>0.25</v>
      </c>
      <c r="R51" s="206" t="s">
        <v>228</v>
      </c>
      <c r="S51" s="203">
        <v>0</v>
      </c>
      <c r="T51" s="203">
        <v>0</v>
      </c>
      <c r="U51" s="203">
        <v>0</v>
      </c>
      <c r="V51" s="203">
        <v>0</v>
      </c>
      <c r="W51" s="203">
        <v>0</v>
      </c>
      <c r="X51" s="203">
        <v>0</v>
      </c>
      <c r="Y51" s="203">
        <v>0</v>
      </c>
      <c r="Z51" s="203">
        <v>0</v>
      </c>
      <c r="AA51" s="203">
        <v>0</v>
      </c>
      <c r="AB51" s="203">
        <v>0</v>
      </c>
      <c r="AC51" s="203">
        <v>0</v>
      </c>
      <c r="AD51" s="203">
        <v>0</v>
      </c>
      <c r="AE51" s="204">
        <f t="shared" si="6"/>
        <v>0</v>
      </c>
      <c r="AG51" s="203">
        <v>0.25</v>
      </c>
    </row>
    <row r="52" spans="1:33" x14ac:dyDescent="0.25">
      <c r="A52" s="206" t="s">
        <v>229</v>
      </c>
      <c r="B52" s="203">
        <v>8.9913196281468238E-2</v>
      </c>
      <c r="C52" s="203">
        <v>8.0921876653321415E-2</v>
      </c>
      <c r="D52" s="203">
        <v>7.1930557025174591E-2</v>
      </c>
      <c r="E52" s="203">
        <v>7.3030913551831028E-2</v>
      </c>
      <c r="F52" s="203">
        <v>7.7595345648820438E-2</v>
      </c>
      <c r="G52" s="203">
        <v>8.2159777745809875E-2</v>
      </c>
      <c r="H52" s="203">
        <v>8.6724209842799327E-2</v>
      </c>
      <c r="I52" s="203">
        <v>9.5853074036778202E-2</v>
      </c>
      <c r="J52" s="203">
        <v>0.11411080242473595</v>
      </c>
      <c r="K52" s="203">
        <v>0.10498193823075706</v>
      </c>
      <c r="L52" s="203">
        <v>0.10954637032774651</v>
      </c>
      <c r="M52" s="203">
        <v>0.10498193823075706</v>
      </c>
      <c r="N52" s="204">
        <f t="shared" si="5"/>
        <v>1.0917499999999996</v>
      </c>
      <c r="P52" s="203">
        <v>0.25</v>
      </c>
      <c r="R52" s="206" t="s">
        <v>229</v>
      </c>
      <c r="S52" s="203">
        <v>8.9913196281468238E-2</v>
      </c>
      <c r="T52" s="203">
        <v>8.0921876653321415E-2</v>
      </c>
      <c r="U52" s="203">
        <v>7.1930557025174591E-2</v>
      </c>
      <c r="V52" s="203">
        <v>7.3030913551831028E-2</v>
      </c>
      <c r="W52" s="203">
        <v>7.7595345648820438E-2</v>
      </c>
      <c r="X52" s="203">
        <v>8.2159777745809875E-2</v>
      </c>
      <c r="Y52" s="203">
        <v>8.6724209842799327E-2</v>
      </c>
      <c r="Z52" s="203">
        <v>9.5853074036778202E-2</v>
      </c>
      <c r="AA52" s="203">
        <v>0.11411080242473595</v>
      </c>
      <c r="AB52" s="203">
        <v>0.10498193823075706</v>
      </c>
      <c r="AC52" s="203">
        <v>0.10954637032774651</v>
      </c>
      <c r="AD52" s="203">
        <v>0.10498193823075706</v>
      </c>
      <c r="AE52" s="204">
        <f t="shared" si="6"/>
        <v>1.0917499999999996</v>
      </c>
      <c r="AG52" s="203">
        <v>0.25</v>
      </c>
    </row>
    <row r="53" spans="1:33" x14ac:dyDescent="0.25">
      <c r="A53" s="206" t="s">
        <v>230</v>
      </c>
      <c r="B53" s="203">
        <v>5.8523782562385643E-3</v>
      </c>
      <c r="C53" s="203">
        <v>5.267140430614708E-3</v>
      </c>
      <c r="D53" s="203">
        <v>4.6819026049908516E-3</v>
      </c>
      <c r="E53" s="203">
        <v>4.7338772047268857E-3</v>
      </c>
      <c r="F53" s="203">
        <v>5.029744530022316E-3</v>
      </c>
      <c r="G53" s="203">
        <v>5.3256118553177464E-3</v>
      </c>
      <c r="H53" s="203">
        <v>5.6214791806131759E-3</v>
      </c>
      <c r="I53" s="203">
        <v>6.2132138312040383E-3</v>
      </c>
      <c r="J53" s="203">
        <v>6.8049484817948973E-3</v>
      </c>
      <c r="K53" s="203">
        <v>7.1008158070903285E-3</v>
      </c>
      <c r="L53" s="203">
        <v>7.3966831323857589E-3</v>
      </c>
      <c r="M53" s="203">
        <v>6.8049484817948973E-3</v>
      </c>
      <c r="N53" s="204">
        <f t="shared" si="5"/>
        <v>7.0832743796794176E-2</v>
      </c>
      <c r="P53" s="203">
        <v>0.25</v>
      </c>
      <c r="R53" s="206" t="s">
        <v>230</v>
      </c>
      <c r="S53" s="203">
        <v>5.8523782562385643E-3</v>
      </c>
      <c r="T53" s="203">
        <v>5.267140430614708E-3</v>
      </c>
      <c r="U53" s="203">
        <v>4.6819026049908516E-3</v>
      </c>
      <c r="V53" s="203">
        <v>4.7338772047268857E-3</v>
      </c>
      <c r="W53" s="203">
        <v>5.029744530022316E-3</v>
      </c>
      <c r="X53" s="203">
        <v>5.3256118553177464E-3</v>
      </c>
      <c r="Y53" s="203">
        <v>5.6214791806131759E-3</v>
      </c>
      <c r="Z53" s="203">
        <v>6.2132138312040383E-3</v>
      </c>
      <c r="AA53" s="203">
        <v>6.8049484817948973E-3</v>
      </c>
      <c r="AB53" s="203">
        <v>7.1008158070903285E-3</v>
      </c>
      <c r="AC53" s="203">
        <v>7.3966831323857589E-3</v>
      </c>
      <c r="AD53" s="203">
        <v>6.8049484817948973E-3</v>
      </c>
      <c r="AE53" s="204">
        <f t="shared" si="6"/>
        <v>7.0832743796794176E-2</v>
      </c>
      <c r="AG53" s="203">
        <v>0.25</v>
      </c>
    </row>
    <row r="54" spans="1:33" x14ac:dyDescent="0.25">
      <c r="A54" s="206" t="s">
        <v>231</v>
      </c>
      <c r="B54" s="203">
        <v>1.9297982614864467E-2</v>
      </c>
      <c r="C54" s="203">
        <v>1.736818435337802E-2</v>
      </c>
      <c r="D54" s="203">
        <v>1.5438386091891574E-2</v>
      </c>
      <c r="E54" s="203">
        <v>1.564598245125624E-2</v>
      </c>
      <c r="F54" s="203">
        <v>1.6623856354459756E-2</v>
      </c>
      <c r="G54" s="203">
        <v>1.7601730257663272E-2</v>
      </c>
      <c r="H54" s="203">
        <v>1.8579604160866785E-2</v>
      </c>
      <c r="I54" s="203">
        <v>2.0535351967273817E-2</v>
      </c>
      <c r="J54" s="203">
        <v>2.2491099773680846E-2</v>
      </c>
      <c r="K54" s="203">
        <v>2.3468973676884362E-2</v>
      </c>
      <c r="L54" s="203">
        <v>2.4446847580087874E-2</v>
      </c>
      <c r="M54" s="203">
        <v>2.2491099773680846E-2</v>
      </c>
      <c r="N54" s="204">
        <f t="shared" si="5"/>
        <v>0.23398909905598791</v>
      </c>
      <c r="P54" s="203">
        <v>0.25</v>
      </c>
      <c r="R54" s="206" t="s">
        <v>231</v>
      </c>
      <c r="S54" s="203">
        <v>1.9297982614864467E-2</v>
      </c>
      <c r="T54" s="203">
        <v>1.736818435337802E-2</v>
      </c>
      <c r="U54" s="203">
        <v>1.5438386091891574E-2</v>
      </c>
      <c r="V54" s="203">
        <v>1.564598245125624E-2</v>
      </c>
      <c r="W54" s="203">
        <v>1.6623856354459756E-2</v>
      </c>
      <c r="X54" s="203">
        <v>1.7601730257663272E-2</v>
      </c>
      <c r="Y54" s="203">
        <v>1.8579604160866785E-2</v>
      </c>
      <c r="Z54" s="203">
        <v>2.0535351967273817E-2</v>
      </c>
      <c r="AA54" s="203">
        <v>2.2491099773680846E-2</v>
      </c>
      <c r="AB54" s="203">
        <v>2.3468973676884362E-2</v>
      </c>
      <c r="AC54" s="203">
        <v>2.4446847580087874E-2</v>
      </c>
      <c r="AD54" s="203">
        <v>2.2491099773680846E-2</v>
      </c>
      <c r="AE54" s="204">
        <f t="shared" si="6"/>
        <v>0.23398909905598791</v>
      </c>
      <c r="AG54" s="203">
        <v>0.25</v>
      </c>
    </row>
    <row r="55" spans="1:33" x14ac:dyDescent="0.25">
      <c r="A55" s="206" t="s">
        <v>232</v>
      </c>
      <c r="B55" s="203">
        <v>1.9297982614864467E-2</v>
      </c>
      <c r="C55" s="203">
        <v>1.736818435337802E-2</v>
      </c>
      <c r="D55" s="203">
        <v>1.5438386091891574E-2</v>
      </c>
      <c r="E55" s="203">
        <v>1.564598245125624E-2</v>
      </c>
      <c r="F55" s="203">
        <v>1.6623856354459756E-2</v>
      </c>
      <c r="G55" s="203">
        <v>1.7601730257663272E-2</v>
      </c>
      <c r="H55" s="203">
        <v>1.8579604160866785E-2</v>
      </c>
      <c r="I55" s="203">
        <v>2.0535351967273817E-2</v>
      </c>
      <c r="J55" s="203">
        <v>2.2491099773680846E-2</v>
      </c>
      <c r="K55" s="203">
        <v>2.3468973676884362E-2</v>
      </c>
      <c r="L55" s="203">
        <v>2.4446847580087874E-2</v>
      </c>
      <c r="M55" s="203">
        <v>2.2491099773680846E-2</v>
      </c>
      <c r="N55" s="204">
        <f t="shared" si="5"/>
        <v>0.23398909905598791</v>
      </c>
      <c r="P55" s="203">
        <v>0.25</v>
      </c>
      <c r="R55" s="206" t="s">
        <v>232</v>
      </c>
      <c r="S55" s="203">
        <v>1.9297982614864467E-2</v>
      </c>
      <c r="T55" s="203">
        <v>1.736818435337802E-2</v>
      </c>
      <c r="U55" s="203">
        <v>1.5438386091891574E-2</v>
      </c>
      <c r="V55" s="203">
        <v>1.564598245125624E-2</v>
      </c>
      <c r="W55" s="203">
        <v>1.6623856354459756E-2</v>
      </c>
      <c r="X55" s="203">
        <v>1.7601730257663272E-2</v>
      </c>
      <c r="Y55" s="203">
        <v>1.8579604160866785E-2</v>
      </c>
      <c r="Z55" s="203">
        <v>2.0535351967273817E-2</v>
      </c>
      <c r="AA55" s="203">
        <v>2.2491099773680846E-2</v>
      </c>
      <c r="AB55" s="203">
        <v>2.3468973676884362E-2</v>
      </c>
      <c r="AC55" s="203">
        <v>2.4446847580087874E-2</v>
      </c>
      <c r="AD55" s="203">
        <v>2.2491099773680846E-2</v>
      </c>
      <c r="AE55" s="204">
        <f t="shared" si="6"/>
        <v>0.23398909905598791</v>
      </c>
      <c r="AG55" s="203">
        <v>0.25</v>
      </c>
    </row>
    <row r="56" spans="1:33" x14ac:dyDescent="0.25">
      <c r="A56" s="206" t="s">
        <v>233</v>
      </c>
      <c r="B56" s="203">
        <v>0.39542574176353951</v>
      </c>
      <c r="C56" s="203">
        <v>0.29888903623357599</v>
      </c>
      <c r="D56" s="203">
        <v>0.26574293319227205</v>
      </c>
      <c r="E56" s="203">
        <v>0.26907484333520737</v>
      </c>
      <c r="F56" s="203">
        <v>0.28565914904927375</v>
      </c>
      <c r="G56" s="203">
        <v>0.30247971316000766</v>
      </c>
      <c r="H56" s="203">
        <v>0.31930027727074162</v>
      </c>
      <c r="I56" s="203">
        <v>0.35265096465900575</v>
      </c>
      <c r="J56" s="203">
        <v>0.38629209288047361</v>
      </c>
      <c r="K56" s="203">
        <v>0.40340309782441136</v>
      </c>
      <c r="L56" s="203">
        <v>0.42022366193514538</v>
      </c>
      <c r="M56" s="203">
        <v>0.38745385621328871</v>
      </c>
      <c r="N56" s="204">
        <f t="shared" si="5"/>
        <v>4.0865953675169431</v>
      </c>
      <c r="P56" s="203">
        <v>0.25</v>
      </c>
      <c r="R56" s="206" t="s">
        <v>233</v>
      </c>
      <c r="S56" s="203">
        <v>0.39542574176353951</v>
      </c>
      <c r="T56" s="203">
        <v>0.29888903623357599</v>
      </c>
      <c r="U56" s="203">
        <v>0.26574293319227205</v>
      </c>
      <c r="V56" s="203">
        <v>0.26907484333520737</v>
      </c>
      <c r="W56" s="203">
        <v>0.28565914904927375</v>
      </c>
      <c r="X56" s="203">
        <v>0.30247971316000766</v>
      </c>
      <c r="Y56" s="203">
        <v>0.31930027727074162</v>
      </c>
      <c r="Z56" s="203">
        <v>0.35265096465900575</v>
      </c>
      <c r="AA56" s="203">
        <v>0.38629209288047361</v>
      </c>
      <c r="AB56" s="203">
        <v>0.40340309782441136</v>
      </c>
      <c r="AC56" s="203">
        <v>0.42022366193514538</v>
      </c>
      <c r="AD56" s="203">
        <v>0.38745385621328871</v>
      </c>
      <c r="AE56" s="204">
        <f t="shared" si="6"/>
        <v>4.0865953675169431</v>
      </c>
      <c r="AG56" s="203">
        <v>0.25</v>
      </c>
    </row>
    <row r="57" spans="1:33" x14ac:dyDescent="0.25">
      <c r="A57" s="206" t="s">
        <v>234</v>
      </c>
      <c r="B57" s="203">
        <v>0.39060435232317836</v>
      </c>
      <c r="C57" s="203">
        <v>0.35154391709086052</v>
      </c>
      <c r="D57" s="203">
        <v>0.31248348185854269</v>
      </c>
      <c r="E57" s="203">
        <v>0.31210552564375349</v>
      </c>
      <c r="F57" s="203">
        <v>0.33161212099648807</v>
      </c>
      <c r="G57" s="203">
        <v>0.35111871634922265</v>
      </c>
      <c r="H57" s="203">
        <v>0.37062531170195723</v>
      </c>
      <c r="I57" s="203">
        <v>0.40963850240742639</v>
      </c>
      <c r="J57" s="203">
        <v>0.4455160630943546</v>
      </c>
      <c r="K57" s="203">
        <v>0.46972610347490062</v>
      </c>
      <c r="L57" s="203">
        <v>0.48923269882763526</v>
      </c>
      <c r="M57" s="203">
        <v>0.44865169311289554</v>
      </c>
      <c r="N57" s="204">
        <f t="shared" si="5"/>
        <v>4.6828584868812158</v>
      </c>
      <c r="P57" s="203">
        <v>0.25</v>
      </c>
      <c r="R57" s="206" t="s">
        <v>234</v>
      </c>
      <c r="S57" s="203">
        <v>0.39060435232317836</v>
      </c>
      <c r="T57" s="203">
        <v>0.35154391709086052</v>
      </c>
      <c r="U57" s="203">
        <v>0.31248348185854269</v>
      </c>
      <c r="V57" s="203">
        <v>0.31210552564375349</v>
      </c>
      <c r="W57" s="203">
        <v>0.33161212099648807</v>
      </c>
      <c r="X57" s="203">
        <v>0.35111871634922265</v>
      </c>
      <c r="Y57" s="203">
        <v>0.37062531170195723</v>
      </c>
      <c r="Z57" s="203">
        <v>0.40963850240742639</v>
      </c>
      <c r="AA57" s="203">
        <v>0.4455160630943546</v>
      </c>
      <c r="AB57" s="203">
        <v>0.46972610347490062</v>
      </c>
      <c r="AC57" s="203">
        <v>0.48923269882763526</v>
      </c>
      <c r="AD57" s="203">
        <v>0.44865169311289554</v>
      </c>
      <c r="AE57" s="204">
        <f t="shared" si="6"/>
        <v>4.6828584868812158</v>
      </c>
      <c r="AG57" s="203">
        <v>0.25</v>
      </c>
    </row>
    <row r="58" spans="1:33" x14ac:dyDescent="0.25">
      <c r="A58" s="206" t="s">
        <v>235</v>
      </c>
      <c r="B58" s="203">
        <v>7.4855009683300805E-2</v>
      </c>
      <c r="C58" s="203">
        <v>6.736950871497073E-2</v>
      </c>
      <c r="D58" s="203">
        <v>5.9884007746640655E-2</v>
      </c>
      <c r="E58" s="203">
        <v>6.1491408026091668E-2</v>
      </c>
      <c r="F58" s="203">
        <v>6.5334621027722389E-2</v>
      </c>
      <c r="G58" s="203">
        <v>6.9177834029353125E-2</v>
      </c>
      <c r="H58" s="203">
        <v>7.3021047030983846E-2</v>
      </c>
      <c r="I58" s="203">
        <v>8.0707473034245317E-2</v>
      </c>
      <c r="J58" s="203">
        <v>8.839389903750676E-2</v>
      </c>
      <c r="K58" s="203">
        <v>9.2237112039137495E-2</v>
      </c>
      <c r="L58" s="203">
        <v>9.608032504076823E-2</v>
      </c>
      <c r="M58" s="203">
        <v>8.839389903750676E-2</v>
      </c>
      <c r="N58" s="204">
        <f t="shared" si="5"/>
        <v>0.91694614444822775</v>
      </c>
      <c r="P58" s="203">
        <v>0.25</v>
      </c>
      <c r="R58" s="206" t="s">
        <v>235</v>
      </c>
      <c r="S58" s="203">
        <v>7.4855009683300805E-2</v>
      </c>
      <c r="T58" s="203">
        <v>6.736950871497073E-2</v>
      </c>
      <c r="U58" s="203">
        <v>5.9884007746640655E-2</v>
      </c>
      <c r="V58" s="203">
        <v>6.1491408026091668E-2</v>
      </c>
      <c r="W58" s="203">
        <v>6.5334621027722389E-2</v>
      </c>
      <c r="X58" s="203">
        <v>6.9177834029353125E-2</v>
      </c>
      <c r="Y58" s="203">
        <v>7.3021047030983846E-2</v>
      </c>
      <c r="Z58" s="203">
        <v>8.0707473034245317E-2</v>
      </c>
      <c r="AA58" s="203">
        <v>8.839389903750676E-2</v>
      </c>
      <c r="AB58" s="203">
        <v>9.2237112039137495E-2</v>
      </c>
      <c r="AC58" s="203">
        <v>9.608032504076823E-2</v>
      </c>
      <c r="AD58" s="203">
        <v>8.839389903750676E-2</v>
      </c>
      <c r="AE58" s="204">
        <f t="shared" si="6"/>
        <v>0.91694614444822775</v>
      </c>
      <c r="AG58" s="203">
        <v>0.25</v>
      </c>
    </row>
    <row r="59" spans="1:33" x14ac:dyDescent="0.25">
      <c r="A59" s="206" t="s">
        <v>236</v>
      </c>
      <c r="B59" s="203">
        <v>0.12583768135778811</v>
      </c>
      <c r="C59" s="203">
        <v>0.10961820785770381</v>
      </c>
      <c r="D59" s="203">
        <v>0.10068635388411314</v>
      </c>
      <c r="E59" s="203">
        <v>0.10068635388411314</v>
      </c>
      <c r="F59" s="203">
        <v>9.6626420259753737E-2</v>
      </c>
      <c r="G59" s="203">
        <v>0.11327214811962728</v>
      </c>
      <c r="H59" s="203">
        <v>0.1157081082942429</v>
      </c>
      <c r="I59" s="203">
        <v>0.13215083947289849</v>
      </c>
      <c r="J59" s="203">
        <v>0.14006771004039928</v>
      </c>
      <c r="K59" s="203">
        <v>0.15102953082616971</v>
      </c>
      <c r="L59" s="203">
        <v>0.15732242794392678</v>
      </c>
      <c r="M59" s="203">
        <v>0.14006771004039928</v>
      </c>
      <c r="N59" s="204">
        <f t="shared" si="5"/>
        <v>1.4830734919811357</v>
      </c>
      <c r="P59" s="203">
        <v>0.25</v>
      </c>
      <c r="R59" s="206" t="s">
        <v>236</v>
      </c>
      <c r="S59" s="203">
        <v>0.12583768135778811</v>
      </c>
      <c r="T59" s="203">
        <v>0.10961820785770381</v>
      </c>
      <c r="U59" s="203">
        <v>0.10068635388411314</v>
      </c>
      <c r="V59" s="203">
        <v>0.10068635388411314</v>
      </c>
      <c r="W59" s="203">
        <v>9.6626420259753737E-2</v>
      </c>
      <c r="X59" s="203">
        <v>0.11327214811962728</v>
      </c>
      <c r="Y59" s="203">
        <v>0.1157081082942429</v>
      </c>
      <c r="Z59" s="203">
        <v>0.13215083947289849</v>
      </c>
      <c r="AA59" s="203">
        <v>0.14006771004039928</v>
      </c>
      <c r="AB59" s="203">
        <v>0.15102953082616971</v>
      </c>
      <c r="AC59" s="203">
        <v>0.15732242794392678</v>
      </c>
      <c r="AD59" s="203">
        <v>0.14006771004039928</v>
      </c>
      <c r="AE59" s="204">
        <f t="shared" si="6"/>
        <v>1.4830734919811357</v>
      </c>
      <c r="AG59" s="203">
        <v>0.25</v>
      </c>
    </row>
    <row r="61" spans="1:33" x14ac:dyDescent="0.25">
      <c r="A61" s="206" t="s">
        <v>293</v>
      </c>
      <c r="B61" s="206" t="s">
        <v>87</v>
      </c>
      <c r="C61" s="206" t="s">
        <v>88</v>
      </c>
      <c r="D61" s="206" t="s">
        <v>89</v>
      </c>
      <c r="E61" s="206" t="s">
        <v>90</v>
      </c>
      <c r="F61" s="206" t="s">
        <v>91</v>
      </c>
      <c r="G61" s="206" t="s">
        <v>6</v>
      </c>
      <c r="H61" s="206" t="s">
        <v>92</v>
      </c>
      <c r="I61" s="206" t="s">
        <v>8</v>
      </c>
      <c r="J61" s="206" t="s">
        <v>93</v>
      </c>
      <c r="K61" s="206" t="s">
        <v>94</v>
      </c>
      <c r="L61" s="206" t="s">
        <v>95</v>
      </c>
      <c r="M61" s="206" t="s">
        <v>96</v>
      </c>
      <c r="N61" s="205">
        <f>SUM(N62:N74)</f>
        <v>-131.93774985255988</v>
      </c>
      <c r="O61" s="207"/>
      <c r="P61" s="206"/>
    </row>
    <row r="62" spans="1:33" x14ac:dyDescent="0.25">
      <c r="A62" s="206" t="s">
        <v>224</v>
      </c>
      <c r="B62" s="203">
        <v>-1.4945315071397336</v>
      </c>
      <c r="C62" s="203">
        <v>-1.3450783564257605</v>
      </c>
      <c r="D62" s="203">
        <v>-1.1956252057117871</v>
      </c>
      <c r="E62" s="203">
        <v>-1.2139152628578684</v>
      </c>
      <c r="F62" s="203">
        <v>-1.2897849667864849</v>
      </c>
      <c r="G62" s="203">
        <v>-1.3656546707151014</v>
      </c>
      <c r="H62" s="203">
        <v>-1.4415243746437183</v>
      </c>
      <c r="I62" s="203">
        <v>-1.5932637825009519</v>
      </c>
      <c r="J62" s="203">
        <v>-1.8967425982154191</v>
      </c>
      <c r="K62" s="203">
        <v>-1.7450031903581849</v>
      </c>
      <c r="L62" s="203">
        <v>-1.8208728942868022</v>
      </c>
      <c r="M62" s="203">
        <v>-1.7450031903581849</v>
      </c>
      <c r="N62" s="204">
        <f>SUM(B62:M62)</f>
        <v>-18.146999999999998</v>
      </c>
      <c r="P62" s="203"/>
    </row>
    <row r="63" spans="1:33" x14ac:dyDescent="0.25">
      <c r="A63" s="206" t="s">
        <v>225</v>
      </c>
      <c r="B63" s="203">
        <v>1.131543265682833</v>
      </c>
      <c r="C63" s="203">
        <v>1.0183889391145498</v>
      </c>
      <c r="D63" s="203">
        <v>0.90523461254626647</v>
      </c>
      <c r="E63" s="203">
        <v>0.9190824243145248</v>
      </c>
      <c r="F63" s="203">
        <v>0.97652507583418247</v>
      </c>
      <c r="G63" s="203">
        <v>1.0339677273538399</v>
      </c>
      <c r="H63" s="203">
        <v>1.0914103788734979</v>
      </c>
      <c r="I63" s="203">
        <v>1.2062956819128137</v>
      </c>
      <c r="J63" s="203">
        <v>1.4360662879914445</v>
      </c>
      <c r="K63" s="203">
        <v>1.3211809849521292</v>
      </c>
      <c r="L63" s="203">
        <v>1.378623636471787</v>
      </c>
      <c r="M63" s="203">
        <v>1.3211809849521292</v>
      </c>
      <c r="N63" s="204">
        <f t="shared" ref="N63:N74" si="7">SUM(B63:M63)</f>
        <v>13.739499999999996</v>
      </c>
      <c r="P63" s="203"/>
    </row>
    <row r="64" spans="1:33" x14ac:dyDescent="0.25">
      <c r="A64" s="206" t="s">
        <v>226</v>
      </c>
      <c r="B64" s="203">
        <v>-12.189502645574411</v>
      </c>
      <c r="C64" s="203">
        <v>-10.360462843827595</v>
      </c>
      <c r="D64" s="203">
        <v>-8.2896275777474386</v>
      </c>
      <c r="E64" s="203">
        <v>-8.2878718067803785</v>
      </c>
      <c r="F64" s="203">
        <v>-7.1326382717432697</v>
      </c>
      <c r="G64" s="203">
        <v>-7.5524909381066898</v>
      </c>
      <c r="H64" s="203">
        <v>-7.6153258789877878</v>
      </c>
      <c r="I64" s="203">
        <v>-10.014686595371113</v>
      </c>
      <c r="J64" s="203">
        <v>-12.789446626313893</v>
      </c>
      <c r="K64" s="203">
        <v>-14.55236969471361</v>
      </c>
      <c r="L64" s="203">
        <v>-15.405149915581108</v>
      </c>
      <c r="M64" s="203">
        <v>-13.544517207378746</v>
      </c>
      <c r="N64" s="204">
        <f t="shared" si="7"/>
        <v>-127.73409000212604</v>
      </c>
      <c r="P64" s="203"/>
    </row>
    <row r="65" spans="1:16" x14ac:dyDescent="0.25">
      <c r="A65" s="206" t="s">
        <v>227</v>
      </c>
      <c r="B65" s="203">
        <v>0</v>
      </c>
      <c r="C65" s="203">
        <v>0</v>
      </c>
      <c r="D65" s="203">
        <v>0</v>
      </c>
      <c r="E65" s="203">
        <v>0</v>
      </c>
      <c r="F65" s="203">
        <v>0</v>
      </c>
      <c r="G65" s="203">
        <v>0</v>
      </c>
      <c r="H65" s="203">
        <v>0</v>
      </c>
      <c r="I65" s="203">
        <v>0</v>
      </c>
      <c r="J65" s="203">
        <v>0</v>
      </c>
      <c r="K65" s="203">
        <v>0</v>
      </c>
      <c r="L65" s="203">
        <v>0</v>
      </c>
      <c r="M65" s="203">
        <v>0</v>
      </c>
      <c r="N65" s="204">
        <f t="shared" si="7"/>
        <v>0</v>
      </c>
      <c r="P65" s="203"/>
    </row>
    <row r="66" spans="1:16" x14ac:dyDescent="0.25">
      <c r="A66" s="206" t="s">
        <v>228</v>
      </c>
      <c r="B66" s="203">
        <v>0</v>
      </c>
      <c r="C66" s="203">
        <v>0</v>
      </c>
      <c r="D66" s="203">
        <v>0</v>
      </c>
      <c r="E66" s="203">
        <v>0</v>
      </c>
      <c r="F66" s="203">
        <v>0</v>
      </c>
      <c r="G66" s="203">
        <v>0</v>
      </c>
      <c r="H66" s="203">
        <v>0</v>
      </c>
      <c r="I66" s="203">
        <v>0</v>
      </c>
      <c r="J66" s="203">
        <v>0</v>
      </c>
      <c r="K66" s="203">
        <v>0</v>
      </c>
      <c r="L66" s="203">
        <v>0</v>
      </c>
      <c r="M66" s="203">
        <v>0</v>
      </c>
      <c r="N66" s="204">
        <f t="shared" si="7"/>
        <v>0</v>
      </c>
      <c r="P66" s="203"/>
    </row>
    <row r="67" spans="1:16" x14ac:dyDescent="0.25">
      <c r="A67" s="206" t="s">
        <v>229</v>
      </c>
      <c r="B67" s="203">
        <v>-0.30782019844977632</v>
      </c>
      <c r="C67" s="203">
        <v>-0.27703928971590974</v>
      </c>
      <c r="D67" s="203">
        <v>-0.2462583809820432</v>
      </c>
      <c r="E67" s="203">
        <v>-0.25002534458944276</v>
      </c>
      <c r="F67" s="203">
        <v>-0.26565123418183839</v>
      </c>
      <c r="G67" s="203">
        <v>-0.28127712377423414</v>
      </c>
      <c r="H67" s="203">
        <v>-0.29690301336662983</v>
      </c>
      <c r="I67" s="203">
        <v>-0.32815479255142127</v>
      </c>
      <c r="J67" s="203">
        <v>-0.39065835092100415</v>
      </c>
      <c r="K67" s="203">
        <v>-0.35940657173621265</v>
      </c>
      <c r="L67" s="203">
        <v>-0.37503246132860851</v>
      </c>
      <c r="M67" s="203">
        <v>-0.35940657173621265</v>
      </c>
      <c r="N67" s="204">
        <f t="shared" si="7"/>
        <v>-3.7376333333333336</v>
      </c>
      <c r="P67" s="203"/>
    </row>
    <row r="68" spans="1:16" x14ac:dyDescent="0.25">
      <c r="A68" s="206" t="s">
        <v>230</v>
      </c>
      <c r="B68" s="203">
        <v>5.8523782562385643E-3</v>
      </c>
      <c r="C68" s="203">
        <v>5.267140430614708E-3</v>
      </c>
      <c r="D68" s="203">
        <v>4.6819026049908516E-3</v>
      </c>
      <c r="E68" s="203">
        <v>4.7338772047268857E-3</v>
      </c>
      <c r="F68" s="203">
        <v>5.029744530022316E-3</v>
      </c>
      <c r="G68" s="203">
        <v>5.3256118553177464E-3</v>
      </c>
      <c r="H68" s="203">
        <v>5.6214791806131759E-3</v>
      </c>
      <c r="I68" s="203">
        <v>6.2132138312040383E-3</v>
      </c>
      <c r="J68" s="203">
        <v>6.8049484817948973E-3</v>
      </c>
      <c r="K68" s="203">
        <v>7.1008158070903285E-3</v>
      </c>
      <c r="L68" s="203">
        <v>7.3966831323857589E-3</v>
      </c>
      <c r="M68" s="203">
        <v>6.8049484817948973E-3</v>
      </c>
      <c r="N68" s="204">
        <f t="shared" si="7"/>
        <v>7.0832743796794176E-2</v>
      </c>
      <c r="P68" s="203"/>
    </row>
    <row r="69" spans="1:16" x14ac:dyDescent="0.25">
      <c r="A69" s="206" t="s">
        <v>231</v>
      </c>
      <c r="B69" s="203">
        <v>-5.7893947844593396E-2</v>
      </c>
      <c r="C69" s="203">
        <v>-5.2104553060134062E-2</v>
      </c>
      <c r="D69" s="203">
        <v>-4.6315158275674721E-2</v>
      </c>
      <c r="E69" s="203">
        <v>-4.6937947353768716E-2</v>
      </c>
      <c r="F69" s="203">
        <v>-4.9871569063379265E-2</v>
      </c>
      <c r="G69" s="203">
        <v>-5.2805190772989813E-2</v>
      </c>
      <c r="H69" s="203">
        <v>-5.5738812482600354E-2</v>
      </c>
      <c r="I69" s="203">
        <v>-6.1606055901821451E-2</v>
      </c>
      <c r="J69" s="203">
        <v>-6.747329932104254E-2</v>
      </c>
      <c r="K69" s="203">
        <v>-7.0406921030653088E-2</v>
      </c>
      <c r="L69" s="203">
        <v>-7.3340542740263623E-2</v>
      </c>
      <c r="M69" s="203">
        <v>-6.747329932104254E-2</v>
      </c>
      <c r="N69" s="204">
        <f t="shared" si="7"/>
        <v>-0.70196729716796347</v>
      </c>
      <c r="P69" s="203"/>
    </row>
    <row r="70" spans="1:16" x14ac:dyDescent="0.25">
      <c r="A70" s="206" t="s">
        <v>232</v>
      </c>
      <c r="B70" s="203">
        <v>1.9297982614864467E-2</v>
      </c>
      <c r="C70" s="203">
        <v>1.736818435337802E-2</v>
      </c>
      <c r="D70" s="203">
        <v>1.5438386091891574E-2</v>
      </c>
      <c r="E70" s="203">
        <v>1.564598245125624E-2</v>
      </c>
      <c r="F70" s="203">
        <v>1.6623856354459756E-2</v>
      </c>
      <c r="G70" s="203">
        <v>1.7601730257663272E-2</v>
      </c>
      <c r="H70" s="203">
        <v>1.8579604160866785E-2</v>
      </c>
      <c r="I70" s="203">
        <v>2.0535351967273817E-2</v>
      </c>
      <c r="J70" s="203">
        <v>2.2491099773680846E-2</v>
      </c>
      <c r="K70" s="203">
        <v>2.3468973676884362E-2</v>
      </c>
      <c r="L70" s="203">
        <v>2.4446847580087874E-2</v>
      </c>
      <c r="M70" s="203">
        <v>2.2491099773680846E-2</v>
      </c>
      <c r="N70" s="204">
        <f t="shared" si="7"/>
        <v>0.23398909905598791</v>
      </c>
      <c r="P70" s="203"/>
    </row>
    <row r="71" spans="1:16" x14ac:dyDescent="0.25">
      <c r="A71" s="206" t="s">
        <v>233</v>
      </c>
      <c r="B71" s="203">
        <v>6.3021692783619798E-2</v>
      </c>
      <c r="C71" s="203">
        <v>0.12327275347938857</v>
      </c>
      <c r="D71" s="203">
        <v>0.13457070770870139</v>
      </c>
      <c r="E71" s="203">
        <v>0.13044067822558938</v>
      </c>
      <c r="F71" s="203">
        <v>0.12197637060548427</v>
      </c>
      <c r="G71" s="203">
        <v>0.11351206298537914</v>
      </c>
      <c r="H71" s="203">
        <v>8.0102576803349479E-2</v>
      </c>
      <c r="I71" s="203">
        <v>5.4741602955045154E-3</v>
      </c>
      <c r="J71" s="203">
        <v>-6.6773856359611861E-2</v>
      </c>
      <c r="K71" s="203">
        <v>-0.10408806461353443</v>
      </c>
      <c r="L71" s="203">
        <v>-0.13426107330927139</v>
      </c>
      <c r="M71" s="203">
        <v>-0.57874256764342102</v>
      </c>
      <c r="N71" s="204">
        <f t="shared" si="7"/>
        <v>-0.11149455903882222</v>
      </c>
      <c r="P71" s="203"/>
    </row>
    <row r="72" spans="1:16" x14ac:dyDescent="0.25">
      <c r="A72" s="206" t="s">
        <v>234</v>
      </c>
      <c r="B72" s="203">
        <v>0.29795278757240962</v>
      </c>
      <c r="C72" s="203">
        <v>0.26815750881516864</v>
      </c>
      <c r="D72" s="203">
        <v>0.23836223005792767</v>
      </c>
      <c r="E72" s="203">
        <v>0.23685040519877074</v>
      </c>
      <c r="F72" s="203">
        <v>0.25165355552369395</v>
      </c>
      <c r="G72" s="203">
        <v>0.26645670584861708</v>
      </c>
      <c r="H72" s="203">
        <v>0.28125985617354021</v>
      </c>
      <c r="I72" s="203">
        <v>0.31086615682338653</v>
      </c>
      <c r="J72" s="203">
        <v>0.32792993739906906</v>
      </c>
      <c r="K72" s="203">
        <v>0.36154686783523793</v>
      </c>
      <c r="L72" s="203">
        <v>0.37635001816016111</v>
      </c>
      <c r="M72" s="203">
        <v>0.34047245747323285</v>
      </c>
      <c r="N72" s="204">
        <f t="shared" si="7"/>
        <v>3.5578584868812158</v>
      </c>
      <c r="P72" s="203"/>
    </row>
    <row r="73" spans="1:16" x14ac:dyDescent="0.25">
      <c r="A73" s="206" t="s">
        <v>235</v>
      </c>
      <c r="B73" s="203">
        <v>7.1460240337117661E-2</v>
      </c>
      <c r="C73" s="203">
        <v>6.3974739368787586E-2</v>
      </c>
      <c r="D73" s="203">
        <v>6.0671016829696924E-2</v>
      </c>
      <c r="E73" s="203">
        <v>6.3237980766874258E-2</v>
      </c>
      <c r="F73" s="203">
        <v>6.7081193768504993E-2</v>
      </c>
      <c r="G73" s="203">
        <v>7.0924406770135714E-2</v>
      </c>
      <c r="H73" s="203">
        <v>7.651419251254904E-2</v>
      </c>
      <c r="I73" s="203">
        <v>8.4200618515810496E-2</v>
      </c>
      <c r="J73" s="203">
        <v>9.0140471778289349E-2</v>
      </c>
      <c r="K73" s="203">
        <v>9.3983684779920085E-2</v>
      </c>
      <c r="L73" s="203">
        <v>9.2587179559203037E-2</v>
      </c>
      <c r="M73" s="203">
        <v>-0.9638411803980157</v>
      </c>
      <c r="N73" s="204">
        <f t="shared" si="7"/>
        <v>-0.12906545541112668</v>
      </c>
      <c r="P73" s="203"/>
    </row>
    <row r="74" spans="1:16" x14ac:dyDescent="0.25">
      <c r="A74" s="206" t="s">
        <v>236</v>
      </c>
      <c r="B74" s="203">
        <v>8.6658280865042417E-2</v>
      </c>
      <c r="C74" s="203">
        <v>7.5488719610515786E-2</v>
      </c>
      <c r="D74" s="203">
        <v>6.9337786901510809E-2</v>
      </c>
      <c r="E74" s="203">
        <v>6.9337786901510809E-2</v>
      </c>
      <c r="F74" s="203">
        <v>6.6541908397417637E-2</v>
      </c>
      <c r="G74" s="203">
        <v>7.8005010264199662E-2</v>
      </c>
      <c r="H74" s="203">
        <v>7.9682537366655551E-2</v>
      </c>
      <c r="I74" s="203">
        <v>9.1005845308232941E-2</v>
      </c>
      <c r="J74" s="203">
        <v>9.6457808391214608E-2</v>
      </c>
      <c r="K74" s="203">
        <v>0.10400668035226621</v>
      </c>
      <c r="L74" s="203">
        <v>0.10834029203361065</v>
      </c>
      <c r="M74" s="203">
        <v>9.6457808391214608E-2</v>
      </c>
      <c r="N74" s="204">
        <f t="shared" si="7"/>
        <v>1.0213204647833918</v>
      </c>
      <c r="P74" s="203"/>
    </row>
    <row r="76" spans="1:16" x14ac:dyDescent="0.25">
      <c r="A76" s="206" t="s">
        <v>216</v>
      </c>
      <c r="B76" s="206" t="s">
        <v>87</v>
      </c>
      <c r="C76" s="206" t="s">
        <v>88</v>
      </c>
      <c r="D76" s="206" t="s">
        <v>89</v>
      </c>
      <c r="E76" s="206" t="s">
        <v>90</v>
      </c>
      <c r="F76" s="206" t="s">
        <v>91</v>
      </c>
      <c r="G76" s="206" t="s">
        <v>6</v>
      </c>
      <c r="H76" s="206" t="s">
        <v>92</v>
      </c>
      <c r="I76" s="206" t="s">
        <v>8</v>
      </c>
      <c r="J76" s="206" t="s">
        <v>93</v>
      </c>
      <c r="K76" s="206" t="s">
        <v>94</v>
      </c>
      <c r="L76" s="206" t="s">
        <v>95</v>
      </c>
      <c r="M76" s="206" t="s">
        <v>96</v>
      </c>
      <c r="N76" s="205">
        <f>SUM(N77:N89)</f>
        <v>-131.93774985255988</v>
      </c>
    </row>
    <row r="77" spans="1:16" x14ac:dyDescent="0.25">
      <c r="A77" s="206" t="s">
        <v>224</v>
      </c>
      <c r="B77" s="203">
        <v>-1.4945315071397336</v>
      </c>
      <c r="C77" s="203">
        <v>-1.3450783564257605</v>
      </c>
      <c r="D77" s="203">
        <v>-1.1956252057117871</v>
      </c>
      <c r="E77" s="203">
        <v>-1.2139152628578684</v>
      </c>
      <c r="F77" s="203">
        <v>-1.2897849667864849</v>
      </c>
      <c r="G77" s="203">
        <v>-1.3656546707151014</v>
      </c>
      <c r="H77" s="203">
        <v>-1.4415243746437183</v>
      </c>
      <c r="I77" s="203">
        <v>-1.5932637825009519</v>
      </c>
      <c r="J77" s="203">
        <v>-1.8967425982154191</v>
      </c>
      <c r="K77" s="203">
        <v>-1.7450031903581849</v>
      </c>
      <c r="L77" s="203">
        <v>-1.8208728942868022</v>
      </c>
      <c r="M77" s="203">
        <v>-1.7450031903581849</v>
      </c>
      <c r="N77" s="204">
        <f>SUM(B77:M77)</f>
        <v>-18.146999999999998</v>
      </c>
    </row>
    <row r="78" spans="1:16" x14ac:dyDescent="0.25">
      <c r="A78" s="206" t="s">
        <v>225</v>
      </c>
      <c r="B78" s="203">
        <v>1.131543265682833</v>
      </c>
      <c r="C78" s="203">
        <v>1.0183889391145498</v>
      </c>
      <c r="D78" s="203">
        <v>0.90523461254626647</v>
      </c>
      <c r="E78" s="203">
        <v>0.9190824243145248</v>
      </c>
      <c r="F78" s="203">
        <v>0.97652507583418247</v>
      </c>
      <c r="G78" s="203">
        <v>1.0339677273538399</v>
      </c>
      <c r="H78" s="203">
        <v>1.0914103788734979</v>
      </c>
      <c r="I78" s="203">
        <v>1.2062956819128137</v>
      </c>
      <c r="J78" s="203">
        <v>1.4360662879914445</v>
      </c>
      <c r="K78" s="203">
        <v>1.3211809849521292</v>
      </c>
      <c r="L78" s="203">
        <v>1.378623636471787</v>
      </c>
      <c r="M78" s="203">
        <v>1.3211809849521292</v>
      </c>
      <c r="N78" s="204">
        <f t="shared" ref="N78:N89" si="8">SUM(B78:M78)</f>
        <v>13.739499999999996</v>
      </c>
    </row>
    <row r="79" spans="1:16" x14ac:dyDescent="0.25">
      <c r="A79" s="206" t="s">
        <v>226</v>
      </c>
      <c r="B79" s="203">
        <v>-12.189502645574411</v>
      </c>
      <c r="C79" s="203">
        <v>-10.360462843827595</v>
      </c>
      <c r="D79" s="203">
        <v>-8.2896275777474386</v>
      </c>
      <c r="E79" s="203">
        <v>-8.2878718067803785</v>
      </c>
      <c r="F79" s="203">
        <v>-7.1326382717432697</v>
      </c>
      <c r="G79" s="203">
        <v>-7.5524909381066898</v>
      </c>
      <c r="H79" s="203">
        <v>-7.6153258789877878</v>
      </c>
      <c r="I79" s="203">
        <v>-10.014686595371113</v>
      </c>
      <c r="J79" s="203">
        <v>-12.789446626313893</v>
      </c>
      <c r="K79" s="203">
        <v>-14.55236969471361</v>
      </c>
      <c r="L79" s="203">
        <v>-15.405149915581108</v>
      </c>
      <c r="M79" s="203">
        <v>-13.544517207378746</v>
      </c>
      <c r="N79" s="204">
        <f t="shared" si="8"/>
        <v>-127.73409000212604</v>
      </c>
    </row>
    <row r="80" spans="1:16" x14ac:dyDescent="0.25">
      <c r="A80" s="206" t="s">
        <v>227</v>
      </c>
      <c r="B80" s="203">
        <v>0</v>
      </c>
      <c r="C80" s="203">
        <v>0</v>
      </c>
      <c r="D80" s="203">
        <v>0</v>
      </c>
      <c r="E80" s="203">
        <v>0</v>
      </c>
      <c r="F80" s="203">
        <v>0</v>
      </c>
      <c r="G80" s="203">
        <v>0</v>
      </c>
      <c r="H80" s="203">
        <v>0</v>
      </c>
      <c r="I80" s="203">
        <v>0</v>
      </c>
      <c r="J80" s="203">
        <v>0</v>
      </c>
      <c r="K80" s="203">
        <v>0</v>
      </c>
      <c r="L80" s="203">
        <v>0</v>
      </c>
      <c r="M80" s="203">
        <v>0</v>
      </c>
      <c r="N80" s="204">
        <f t="shared" si="8"/>
        <v>0</v>
      </c>
    </row>
    <row r="81" spans="1:14" x14ac:dyDescent="0.25">
      <c r="A81" s="206" t="s">
        <v>228</v>
      </c>
      <c r="B81" s="203">
        <v>0</v>
      </c>
      <c r="C81" s="203">
        <v>0</v>
      </c>
      <c r="D81" s="203">
        <v>0</v>
      </c>
      <c r="E81" s="203">
        <v>0</v>
      </c>
      <c r="F81" s="203">
        <v>0</v>
      </c>
      <c r="G81" s="203">
        <v>0</v>
      </c>
      <c r="H81" s="203">
        <v>0</v>
      </c>
      <c r="I81" s="203">
        <v>0</v>
      </c>
      <c r="J81" s="203">
        <v>0</v>
      </c>
      <c r="K81" s="203">
        <v>0</v>
      </c>
      <c r="L81" s="203">
        <v>0</v>
      </c>
      <c r="M81" s="203">
        <v>0</v>
      </c>
      <c r="N81" s="204">
        <f t="shared" si="8"/>
        <v>0</v>
      </c>
    </row>
    <row r="82" spans="1:14" x14ac:dyDescent="0.25">
      <c r="A82" s="206" t="s">
        <v>229</v>
      </c>
      <c r="B82" s="203">
        <v>-0.30782019844977632</v>
      </c>
      <c r="C82" s="203">
        <v>-0.27703928971590974</v>
      </c>
      <c r="D82" s="203">
        <v>-0.2462583809820432</v>
      </c>
      <c r="E82" s="203">
        <v>-0.25002534458944276</v>
      </c>
      <c r="F82" s="203">
        <v>-0.26565123418183839</v>
      </c>
      <c r="G82" s="203">
        <v>-0.28127712377423414</v>
      </c>
      <c r="H82" s="203">
        <v>-0.29690301336662983</v>
      </c>
      <c r="I82" s="203">
        <v>-0.32815479255142127</v>
      </c>
      <c r="J82" s="203">
        <v>-0.39065835092100415</v>
      </c>
      <c r="K82" s="203">
        <v>-0.35940657173621265</v>
      </c>
      <c r="L82" s="203">
        <v>-0.37503246132860851</v>
      </c>
      <c r="M82" s="203">
        <v>-0.35940657173621265</v>
      </c>
      <c r="N82" s="204">
        <f t="shared" si="8"/>
        <v>-3.7376333333333336</v>
      </c>
    </row>
    <row r="83" spans="1:14" x14ac:dyDescent="0.25">
      <c r="A83" s="206" t="s">
        <v>230</v>
      </c>
      <c r="B83" s="203">
        <v>5.8523782562385643E-3</v>
      </c>
      <c r="C83" s="203">
        <v>5.267140430614708E-3</v>
      </c>
      <c r="D83" s="203">
        <v>4.6819026049908516E-3</v>
      </c>
      <c r="E83" s="203">
        <v>4.7338772047268857E-3</v>
      </c>
      <c r="F83" s="203">
        <v>5.029744530022316E-3</v>
      </c>
      <c r="G83" s="203">
        <v>5.3256118553177464E-3</v>
      </c>
      <c r="H83" s="203">
        <v>5.6214791806131759E-3</v>
      </c>
      <c r="I83" s="203">
        <v>6.2132138312040383E-3</v>
      </c>
      <c r="J83" s="203">
        <v>6.8049484817948973E-3</v>
      </c>
      <c r="K83" s="203">
        <v>7.1008158070903285E-3</v>
      </c>
      <c r="L83" s="203">
        <v>7.3966831323857589E-3</v>
      </c>
      <c r="M83" s="203">
        <v>6.8049484817948973E-3</v>
      </c>
      <c r="N83" s="204">
        <f t="shared" si="8"/>
        <v>7.0832743796794176E-2</v>
      </c>
    </row>
    <row r="84" spans="1:14" x14ac:dyDescent="0.25">
      <c r="A84" s="206" t="s">
        <v>231</v>
      </c>
      <c r="B84" s="203">
        <v>-5.7893947844593396E-2</v>
      </c>
      <c r="C84" s="203">
        <v>-5.2104553060134062E-2</v>
      </c>
      <c r="D84" s="203">
        <v>-4.6315158275674721E-2</v>
      </c>
      <c r="E84" s="203">
        <v>-4.6937947353768716E-2</v>
      </c>
      <c r="F84" s="203">
        <v>-4.9871569063379265E-2</v>
      </c>
      <c r="G84" s="203">
        <v>-5.2805190772989813E-2</v>
      </c>
      <c r="H84" s="203">
        <v>-5.5738812482600354E-2</v>
      </c>
      <c r="I84" s="203">
        <v>-6.1606055901821451E-2</v>
      </c>
      <c r="J84" s="203">
        <v>-6.747329932104254E-2</v>
      </c>
      <c r="K84" s="203">
        <v>-7.0406921030653088E-2</v>
      </c>
      <c r="L84" s="203">
        <v>-7.3340542740263623E-2</v>
      </c>
      <c r="M84" s="203">
        <v>-6.747329932104254E-2</v>
      </c>
      <c r="N84" s="204">
        <f t="shared" si="8"/>
        <v>-0.70196729716796347</v>
      </c>
    </row>
    <row r="85" spans="1:14" x14ac:dyDescent="0.25">
      <c r="A85" s="206" t="s">
        <v>232</v>
      </c>
      <c r="B85" s="203">
        <v>1.9297982614864467E-2</v>
      </c>
      <c r="C85" s="203">
        <v>1.736818435337802E-2</v>
      </c>
      <c r="D85" s="203">
        <v>1.5438386091891574E-2</v>
      </c>
      <c r="E85" s="203">
        <v>1.564598245125624E-2</v>
      </c>
      <c r="F85" s="203">
        <v>1.6623856354459756E-2</v>
      </c>
      <c r="G85" s="203">
        <v>1.7601730257663272E-2</v>
      </c>
      <c r="H85" s="203">
        <v>1.8579604160866785E-2</v>
      </c>
      <c r="I85" s="203">
        <v>2.0535351967273817E-2</v>
      </c>
      <c r="J85" s="203">
        <v>2.2491099773680846E-2</v>
      </c>
      <c r="K85" s="203">
        <v>2.3468973676884362E-2</v>
      </c>
      <c r="L85" s="203">
        <v>2.4446847580087874E-2</v>
      </c>
      <c r="M85" s="203">
        <v>2.2491099773680846E-2</v>
      </c>
      <c r="N85" s="204">
        <f t="shared" si="8"/>
        <v>0.23398909905598791</v>
      </c>
    </row>
    <row r="86" spans="1:14" x14ac:dyDescent="0.25">
      <c r="A86" s="206" t="s">
        <v>233</v>
      </c>
      <c r="B86" s="203">
        <v>6.3021692783619798E-2</v>
      </c>
      <c r="C86" s="203">
        <v>0.12327275347938857</v>
      </c>
      <c r="D86" s="203">
        <v>0.13457070770870139</v>
      </c>
      <c r="E86" s="203">
        <v>0.13044067822558938</v>
      </c>
      <c r="F86" s="203">
        <v>0.12197637060548427</v>
      </c>
      <c r="G86" s="203">
        <v>0.11351206298537914</v>
      </c>
      <c r="H86" s="203">
        <v>8.0102576803349479E-2</v>
      </c>
      <c r="I86" s="203">
        <v>5.4741602955045154E-3</v>
      </c>
      <c r="J86" s="203">
        <v>-6.6773856359611861E-2</v>
      </c>
      <c r="K86" s="203">
        <v>-0.10408806461353443</v>
      </c>
      <c r="L86" s="203">
        <v>-0.13426107330927139</v>
      </c>
      <c r="M86" s="203">
        <v>-0.57874256764342102</v>
      </c>
      <c r="N86" s="204">
        <f t="shared" si="8"/>
        <v>-0.11149455903882222</v>
      </c>
    </row>
    <row r="87" spans="1:14" x14ac:dyDescent="0.25">
      <c r="A87" s="206" t="s">
        <v>234</v>
      </c>
      <c r="B87" s="203">
        <v>0.29795278757240962</v>
      </c>
      <c r="C87" s="203">
        <v>0.26815750881516864</v>
      </c>
      <c r="D87" s="203">
        <v>0.23836223005792767</v>
      </c>
      <c r="E87" s="203">
        <v>0.23685040519877074</v>
      </c>
      <c r="F87" s="203">
        <v>0.25165355552369395</v>
      </c>
      <c r="G87" s="203">
        <v>0.26645670584861708</v>
      </c>
      <c r="H87" s="203">
        <v>0.28125985617354021</v>
      </c>
      <c r="I87" s="203">
        <v>0.31086615682338653</v>
      </c>
      <c r="J87" s="203">
        <v>0.32792993739906906</v>
      </c>
      <c r="K87" s="203">
        <v>0.36154686783523793</v>
      </c>
      <c r="L87" s="203">
        <v>0.37635001816016111</v>
      </c>
      <c r="M87" s="203">
        <v>0.34047245747323285</v>
      </c>
      <c r="N87" s="204">
        <f t="shared" si="8"/>
        <v>3.5578584868812158</v>
      </c>
    </row>
    <row r="88" spans="1:14" x14ac:dyDescent="0.25">
      <c r="A88" s="206" t="s">
        <v>235</v>
      </c>
      <c r="B88" s="203">
        <v>7.1460240337117661E-2</v>
      </c>
      <c r="C88" s="203">
        <v>6.3974739368787586E-2</v>
      </c>
      <c r="D88" s="203">
        <v>6.0671016829696924E-2</v>
      </c>
      <c r="E88" s="203">
        <v>6.3237980766874258E-2</v>
      </c>
      <c r="F88" s="203">
        <v>6.7081193768504993E-2</v>
      </c>
      <c r="G88" s="203">
        <v>7.0924406770135714E-2</v>
      </c>
      <c r="H88" s="203">
        <v>7.651419251254904E-2</v>
      </c>
      <c r="I88" s="203">
        <v>8.4200618515810496E-2</v>
      </c>
      <c r="J88" s="203">
        <v>9.0140471778289349E-2</v>
      </c>
      <c r="K88" s="203">
        <v>9.3983684779920085E-2</v>
      </c>
      <c r="L88" s="203">
        <v>9.2587179559203037E-2</v>
      </c>
      <c r="M88" s="203">
        <v>-0.9638411803980157</v>
      </c>
      <c r="N88" s="204">
        <f t="shared" si="8"/>
        <v>-0.12906545541112668</v>
      </c>
    </row>
    <row r="89" spans="1:14" x14ac:dyDescent="0.25">
      <c r="A89" s="206" t="s">
        <v>236</v>
      </c>
      <c r="B89" s="203">
        <v>8.6658280865042417E-2</v>
      </c>
      <c r="C89" s="203">
        <v>7.5488719610515786E-2</v>
      </c>
      <c r="D89" s="203">
        <v>6.9337786901510809E-2</v>
      </c>
      <c r="E89" s="203">
        <v>6.9337786901510809E-2</v>
      </c>
      <c r="F89" s="203">
        <v>6.6541908397417637E-2</v>
      </c>
      <c r="G89" s="203">
        <v>7.8005010264199662E-2</v>
      </c>
      <c r="H89" s="203">
        <v>7.9682537366655551E-2</v>
      </c>
      <c r="I89" s="203">
        <v>9.1005845308232941E-2</v>
      </c>
      <c r="J89" s="203">
        <v>9.6457808391214608E-2</v>
      </c>
      <c r="K89" s="203">
        <v>0.10400668035226621</v>
      </c>
      <c r="L89" s="203">
        <v>0.10834029203361065</v>
      </c>
      <c r="M89" s="203">
        <v>9.6457808391214608E-2</v>
      </c>
      <c r="N89" s="204">
        <f t="shared" si="8"/>
        <v>1.0213204647833918</v>
      </c>
    </row>
  </sheetData>
  <phoneticPr fontId="14"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F736D-81F1-4CCD-AE7C-F344B069DD01}">
  <sheetPr codeName="Sheet95">
    <tabColor theme="1" tint="0.14999847407452621"/>
  </sheetPr>
  <dimension ref="A1:V642"/>
  <sheetViews>
    <sheetView zoomScale="70" zoomScaleNormal="70" workbookViewId="0">
      <pane ySplit="1" topLeftCell="A2" activePane="bottomLeft" state="frozen"/>
      <selection activeCell="A76" sqref="A76"/>
      <selection pane="bottomLeft" activeCell="A76" sqref="A76"/>
    </sheetView>
  </sheetViews>
  <sheetFormatPr defaultRowHeight="15" x14ac:dyDescent="0.25"/>
  <cols>
    <col min="1" max="1" width="5.88671875" style="222" customWidth="1"/>
    <col min="2" max="2" width="7.5546875" style="393" customWidth="1"/>
    <col min="3" max="3" width="33.44140625" style="396" customWidth="1"/>
    <col min="4" max="4" width="24.109375" style="395" customWidth="1"/>
    <col min="5" max="5" width="7.5546875" style="393" customWidth="1"/>
    <col min="6" max="6" width="9.5546875" style="394" customWidth="1"/>
    <col min="7" max="18" width="9.33203125" style="405" customWidth="1"/>
    <col min="19" max="19" width="10.5546875" style="397" customWidth="1"/>
    <col min="20" max="20" width="9.33203125" style="398" customWidth="1"/>
    <col min="21" max="22" width="7.77734375" style="222" customWidth="1"/>
    <col min="23" max="23" width="22.88671875" style="223" customWidth="1"/>
    <col min="24" max="16384" width="8.88671875" style="223"/>
  </cols>
  <sheetData>
    <row r="1" spans="1:22" s="213" customFormat="1" ht="41.25" customHeight="1" x14ac:dyDescent="0.25">
      <c r="A1" s="208">
        <v>2025</v>
      </c>
      <c r="B1" s="208" t="s">
        <v>238</v>
      </c>
      <c r="C1" s="211" t="s">
        <v>241</v>
      </c>
      <c r="D1" s="210" t="s">
        <v>240</v>
      </c>
      <c r="E1" s="208" t="s">
        <v>237</v>
      </c>
      <c r="F1" s="209" t="s">
        <v>239</v>
      </c>
      <c r="G1" s="210" t="s">
        <v>87</v>
      </c>
      <c r="H1" s="210" t="s">
        <v>88</v>
      </c>
      <c r="I1" s="210" t="s">
        <v>89</v>
      </c>
      <c r="J1" s="210" t="s">
        <v>90</v>
      </c>
      <c r="K1" s="210" t="s">
        <v>91</v>
      </c>
      <c r="L1" s="210" t="s">
        <v>6</v>
      </c>
      <c r="M1" s="210" t="s">
        <v>92</v>
      </c>
      <c r="N1" s="210" t="s">
        <v>8</v>
      </c>
      <c r="O1" s="210" t="s">
        <v>93</v>
      </c>
      <c r="P1" s="210" t="s">
        <v>94</v>
      </c>
      <c r="Q1" s="210" t="s">
        <v>95</v>
      </c>
      <c r="R1" s="210" t="s">
        <v>96</v>
      </c>
      <c r="S1" s="210" t="s">
        <v>242</v>
      </c>
      <c r="T1" s="212" t="s">
        <v>243</v>
      </c>
      <c r="U1" s="208" t="s">
        <v>244</v>
      </c>
      <c r="V1" s="208" t="s">
        <v>245</v>
      </c>
    </row>
    <row r="2" spans="1:22" x14ac:dyDescent="0.25">
      <c r="A2" s="214">
        <v>26</v>
      </c>
      <c r="B2" s="215" t="s">
        <v>247</v>
      </c>
      <c r="C2" s="268" t="s">
        <v>300</v>
      </c>
      <c r="D2" s="265" t="s">
        <v>299</v>
      </c>
      <c r="E2" s="215" t="s">
        <v>246</v>
      </c>
      <c r="F2" s="216" t="s">
        <v>248</v>
      </c>
      <c r="G2" s="269">
        <v>8.2356946445127782E-2</v>
      </c>
      <c r="H2" s="269">
        <v>7.4121251800615004E-2</v>
      </c>
      <c r="I2" s="269">
        <v>6.5885557156102226E-2</v>
      </c>
      <c r="J2" s="269">
        <v>6.6893440395540224E-2</v>
      </c>
      <c r="K2" s="269">
        <v>7.1074280420261468E-2</v>
      </c>
      <c r="L2" s="269">
        <v>7.5255120444982726E-2</v>
      </c>
      <c r="M2" s="269">
        <v>7.9435960469703998E-2</v>
      </c>
      <c r="N2" s="269">
        <v>8.7797640519146528E-2</v>
      </c>
      <c r="O2" s="269">
        <v>0.10452100061803157</v>
      </c>
      <c r="P2" s="269">
        <v>9.6159320568589043E-2</v>
      </c>
      <c r="Q2" s="269">
        <v>0.10034016059331032</v>
      </c>
      <c r="R2" s="269">
        <v>9.6159320568589043E-2</v>
      </c>
      <c r="S2" s="408">
        <v>1</v>
      </c>
      <c r="T2" s="267"/>
      <c r="U2" s="222">
        <v>0</v>
      </c>
      <c r="V2" s="222">
        <v>1</v>
      </c>
    </row>
    <row r="3" spans="1:22" x14ac:dyDescent="0.25">
      <c r="A3" s="214">
        <v>26</v>
      </c>
      <c r="B3" s="215" t="s">
        <v>332</v>
      </c>
      <c r="C3" s="268" t="s">
        <v>300</v>
      </c>
      <c r="D3" s="265" t="s">
        <v>299</v>
      </c>
      <c r="E3" s="215" t="s">
        <v>331</v>
      </c>
      <c r="F3" s="216" t="s">
        <v>333</v>
      </c>
      <c r="G3" s="269">
        <v>8.2356946445127782E-2</v>
      </c>
      <c r="H3" s="269">
        <v>7.4121251800615004E-2</v>
      </c>
      <c r="I3" s="269">
        <v>6.5885557156102226E-2</v>
      </c>
      <c r="J3" s="269">
        <v>6.6893440395540224E-2</v>
      </c>
      <c r="K3" s="269">
        <v>7.1074280420261468E-2</v>
      </c>
      <c r="L3" s="269">
        <v>7.5255120444982726E-2</v>
      </c>
      <c r="M3" s="269">
        <v>7.9435960469703998E-2</v>
      </c>
      <c r="N3" s="269">
        <v>8.7797640519146528E-2</v>
      </c>
      <c r="O3" s="269">
        <v>0.10452100061803157</v>
      </c>
      <c r="P3" s="269">
        <v>9.6159320568589043E-2</v>
      </c>
      <c r="Q3" s="269">
        <v>0.10034016059331032</v>
      </c>
      <c r="R3" s="269">
        <v>9.6159320568589043E-2</v>
      </c>
      <c r="S3" s="408">
        <v>1</v>
      </c>
      <c r="T3" s="267"/>
      <c r="U3" s="222">
        <v>0</v>
      </c>
      <c r="V3" s="229">
        <v>1</v>
      </c>
    </row>
    <row r="4" spans="1:22" x14ac:dyDescent="0.25">
      <c r="A4" s="214">
        <v>26</v>
      </c>
      <c r="B4" s="215" t="s">
        <v>335</v>
      </c>
      <c r="C4" s="268" t="s">
        <v>300</v>
      </c>
      <c r="D4" s="265" t="s">
        <v>299</v>
      </c>
      <c r="E4" s="215" t="s">
        <v>334</v>
      </c>
      <c r="F4" s="216" t="s">
        <v>336</v>
      </c>
      <c r="G4" s="269">
        <v>8.2356946445127782E-2</v>
      </c>
      <c r="H4" s="269">
        <v>7.4121251800615004E-2</v>
      </c>
      <c r="I4" s="269">
        <v>6.5885557156102226E-2</v>
      </c>
      <c r="J4" s="269">
        <v>6.6893440395540224E-2</v>
      </c>
      <c r="K4" s="269">
        <v>7.1074280420261468E-2</v>
      </c>
      <c r="L4" s="269">
        <v>7.5255120444982726E-2</v>
      </c>
      <c r="M4" s="269">
        <v>7.9435960469703998E-2</v>
      </c>
      <c r="N4" s="269">
        <v>8.7797640519146528E-2</v>
      </c>
      <c r="O4" s="269">
        <v>0.10452100061803157</v>
      </c>
      <c r="P4" s="269">
        <v>9.6159320568589043E-2</v>
      </c>
      <c r="Q4" s="269">
        <v>0.10034016059331032</v>
      </c>
      <c r="R4" s="269">
        <v>9.6159320568589043E-2</v>
      </c>
      <c r="S4" s="408">
        <v>1</v>
      </c>
      <c r="T4" s="267"/>
      <c r="U4" s="222">
        <v>0</v>
      </c>
      <c r="V4" s="229">
        <v>1</v>
      </c>
    </row>
    <row r="5" spans="1:22" x14ac:dyDescent="0.25">
      <c r="A5" s="214">
        <v>26</v>
      </c>
      <c r="B5" s="215" t="s">
        <v>351</v>
      </c>
      <c r="C5" s="268" t="s">
        <v>300</v>
      </c>
      <c r="D5" s="265" t="s">
        <v>299</v>
      </c>
      <c r="E5" s="215" t="s">
        <v>350</v>
      </c>
      <c r="F5" s="216" t="s">
        <v>352</v>
      </c>
      <c r="G5" s="269">
        <v>8.2356946445127782E-2</v>
      </c>
      <c r="H5" s="269">
        <v>7.4121251800615004E-2</v>
      </c>
      <c r="I5" s="269">
        <v>6.5885557156102226E-2</v>
      </c>
      <c r="J5" s="269">
        <v>6.6893440395540224E-2</v>
      </c>
      <c r="K5" s="269">
        <v>7.1074280420261468E-2</v>
      </c>
      <c r="L5" s="269">
        <v>7.5255120444982726E-2</v>
      </c>
      <c r="M5" s="269">
        <v>7.9435960469703998E-2</v>
      </c>
      <c r="N5" s="269">
        <v>8.7797640519146528E-2</v>
      </c>
      <c r="O5" s="269">
        <v>0.10452100061803157</v>
      </c>
      <c r="P5" s="269">
        <v>9.6159320568589043E-2</v>
      </c>
      <c r="Q5" s="269">
        <v>0.10034016059331032</v>
      </c>
      <c r="R5" s="269">
        <v>9.6159320568589043E-2</v>
      </c>
      <c r="S5" s="408">
        <v>1</v>
      </c>
      <c r="T5" s="267"/>
      <c r="U5" s="229">
        <v>1</v>
      </c>
      <c r="V5" s="229">
        <v>-1</v>
      </c>
    </row>
    <row r="6" spans="1:22" x14ac:dyDescent="0.25">
      <c r="A6" s="214">
        <v>26</v>
      </c>
      <c r="B6" s="215" t="s">
        <v>351</v>
      </c>
      <c r="C6" s="268" t="s">
        <v>300</v>
      </c>
      <c r="D6" s="265" t="s">
        <v>299</v>
      </c>
      <c r="E6" s="215" t="s">
        <v>379</v>
      </c>
      <c r="F6" s="216" t="s">
        <v>16</v>
      </c>
      <c r="G6" s="269">
        <v>8.2356946445127782E-2</v>
      </c>
      <c r="H6" s="269">
        <v>7.4121251800615004E-2</v>
      </c>
      <c r="I6" s="269">
        <v>6.5885557156102226E-2</v>
      </c>
      <c r="J6" s="269">
        <v>6.6893440395540224E-2</v>
      </c>
      <c r="K6" s="269">
        <v>7.1074280420261468E-2</v>
      </c>
      <c r="L6" s="269">
        <v>7.5255120444982726E-2</v>
      </c>
      <c r="M6" s="269">
        <v>7.9435960469703998E-2</v>
      </c>
      <c r="N6" s="269">
        <v>8.7797640519146528E-2</v>
      </c>
      <c r="O6" s="269">
        <v>0.10452100061803157</v>
      </c>
      <c r="P6" s="269">
        <v>9.6159320568589043E-2</v>
      </c>
      <c r="Q6" s="269">
        <v>0.10034016059331032</v>
      </c>
      <c r="R6" s="269">
        <v>9.6159320568589043E-2</v>
      </c>
      <c r="S6" s="408">
        <v>1</v>
      </c>
      <c r="T6" s="267"/>
      <c r="U6" s="229">
        <v>1</v>
      </c>
      <c r="V6" s="229">
        <v>-1</v>
      </c>
    </row>
    <row r="7" spans="1:22" s="239" customFormat="1" x14ac:dyDescent="0.25">
      <c r="A7" s="214">
        <v>26</v>
      </c>
      <c r="B7" s="215" t="s">
        <v>335</v>
      </c>
      <c r="C7" s="268" t="s">
        <v>300</v>
      </c>
      <c r="D7" s="265" t="s">
        <v>299</v>
      </c>
      <c r="E7" s="215" t="s">
        <v>348</v>
      </c>
      <c r="F7" s="216" t="s">
        <v>349</v>
      </c>
      <c r="G7" s="269">
        <v>8.2356946445127782E-2</v>
      </c>
      <c r="H7" s="269">
        <v>7.4121251800615004E-2</v>
      </c>
      <c r="I7" s="269">
        <v>6.5885557156102226E-2</v>
      </c>
      <c r="J7" s="269">
        <v>6.6893440395540224E-2</v>
      </c>
      <c r="K7" s="269">
        <v>7.1074280420261468E-2</v>
      </c>
      <c r="L7" s="269">
        <v>7.5255120444982726E-2</v>
      </c>
      <c r="M7" s="269">
        <v>7.9435960469703998E-2</v>
      </c>
      <c r="N7" s="269">
        <v>8.7797640519146528E-2</v>
      </c>
      <c r="O7" s="269">
        <v>0.10452100061803157</v>
      </c>
      <c r="P7" s="269">
        <v>9.6159320568589043E-2</v>
      </c>
      <c r="Q7" s="269">
        <v>0.10034016059331032</v>
      </c>
      <c r="R7" s="269">
        <v>9.6159320568589043E-2</v>
      </c>
      <c r="S7" s="408">
        <v>1</v>
      </c>
      <c r="T7" s="267"/>
      <c r="U7" s="222">
        <v>0</v>
      </c>
      <c r="V7" s="229">
        <v>-1</v>
      </c>
    </row>
    <row r="8" spans="1:22" s="239" customFormat="1" x14ac:dyDescent="0.25">
      <c r="A8" s="214">
        <v>26</v>
      </c>
      <c r="B8" s="215" t="s">
        <v>351</v>
      </c>
      <c r="C8" s="268" t="s">
        <v>300</v>
      </c>
      <c r="D8" s="265" t="s">
        <v>299</v>
      </c>
      <c r="E8" s="215" t="s">
        <v>380</v>
      </c>
      <c r="F8" s="216" t="s">
        <v>381</v>
      </c>
      <c r="G8" s="269">
        <v>8.2356946445127782E-2</v>
      </c>
      <c r="H8" s="269">
        <v>7.4121251800615004E-2</v>
      </c>
      <c r="I8" s="269">
        <v>6.5885557156102226E-2</v>
      </c>
      <c r="J8" s="269">
        <v>6.6893440395540224E-2</v>
      </c>
      <c r="K8" s="269">
        <v>7.1074280420261468E-2</v>
      </c>
      <c r="L8" s="269">
        <v>7.5255120444982726E-2</v>
      </c>
      <c r="M8" s="269">
        <v>7.9435960469703998E-2</v>
      </c>
      <c r="N8" s="269">
        <v>8.7797640519146528E-2</v>
      </c>
      <c r="O8" s="269">
        <v>0.10452100061803157</v>
      </c>
      <c r="P8" s="269">
        <v>9.6159320568589043E-2</v>
      </c>
      <c r="Q8" s="269">
        <v>0.10034016059331032</v>
      </c>
      <c r="R8" s="269">
        <v>9.6159320568589043E-2</v>
      </c>
      <c r="S8" s="408">
        <v>1</v>
      </c>
      <c r="T8" s="267"/>
      <c r="U8" s="222">
        <v>0</v>
      </c>
      <c r="V8" s="229">
        <v>1</v>
      </c>
    </row>
    <row r="9" spans="1:22" s="239" customFormat="1" x14ac:dyDescent="0.25">
      <c r="A9" s="214">
        <v>26</v>
      </c>
      <c r="B9" s="215" t="s">
        <v>351</v>
      </c>
      <c r="C9" s="268" t="s">
        <v>300</v>
      </c>
      <c r="D9" s="265" t="s">
        <v>299</v>
      </c>
      <c r="E9" s="215" t="s">
        <v>382</v>
      </c>
      <c r="F9" s="216" t="s">
        <v>383</v>
      </c>
      <c r="G9" s="269">
        <v>8.2356946445127782E-2</v>
      </c>
      <c r="H9" s="269">
        <v>7.4121251800615004E-2</v>
      </c>
      <c r="I9" s="269">
        <v>6.5885557156102226E-2</v>
      </c>
      <c r="J9" s="269">
        <v>6.6893440395540224E-2</v>
      </c>
      <c r="K9" s="269">
        <v>7.1074280420261468E-2</v>
      </c>
      <c r="L9" s="269">
        <v>7.5255120444982726E-2</v>
      </c>
      <c r="M9" s="269">
        <v>7.9435960469703998E-2</v>
      </c>
      <c r="N9" s="269">
        <v>8.7797640519146528E-2</v>
      </c>
      <c r="O9" s="269">
        <v>0.10452100061803157</v>
      </c>
      <c r="P9" s="269">
        <v>9.6159320568589043E-2</v>
      </c>
      <c r="Q9" s="269">
        <v>0.10034016059331032</v>
      </c>
      <c r="R9" s="269">
        <v>9.6159320568589043E-2</v>
      </c>
      <c r="S9" s="408">
        <v>1</v>
      </c>
      <c r="T9" s="267"/>
      <c r="U9" s="229">
        <v>1</v>
      </c>
      <c r="V9" s="222">
        <v>0</v>
      </c>
    </row>
    <row r="10" spans="1:22" s="239" customFormat="1" x14ac:dyDescent="0.25">
      <c r="A10" s="214">
        <v>26</v>
      </c>
      <c r="B10" s="215" t="s">
        <v>351</v>
      </c>
      <c r="C10" s="268" t="s">
        <v>300</v>
      </c>
      <c r="D10" s="265" t="s">
        <v>299</v>
      </c>
      <c r="E10" s="215" t="s">
        <v>384</v>
      </c>
      <c r="F10" s="216" t="s">
        <v>385</v>
      </c>
      <c r="G10" s="269">
        <v>8.2356946445127782E-2</v>
      </c>
      <c r="H10" s="269">
        <v>7.4121251800615004E-2</v>
      </c>
      <c r="I10" s="269">
        <v>6.5885557156102226E-2</v>
      </c>
      <c r="J10" s="269">
        <v>6.6893440395540224E-2</v>
      </c>
      <c r="K10" s="269">
        <v>7.1074280420261468E-2</v>
      </c>
      <c r="L10" s="269">
        <v>7.5255120444982726E-2</v>
      </c>
      <c r="M10" s="269">
        <v>7.9435960469703998E-2</v>
      </c>
      <c r="N10" s="269">
        <v>8.7797640519146528E-2</v>
      </c>
      <c r="O10" s="269">
        <v>0.10452100061803157</v>
      </c>
      <c r="P10" s="269">
        <v>9.6159320568589043E-2</v>
      </c>
      <c r="Q10" s="269">
        <v>0.10034016059331032</v>
      </c>
      <c r="R10" s="269">
        <v>9.6159320568589043E-2</v>
      </c>
      <c r="S10" s="408">
        <v>1</v>
      </c>
      <c r="T10" s="267"/>
      <c r="U10" s="222">
        <v>0</v>
      </c>
      <c r="V10" s="229">
        <v>-1</v>
      </c>
    </row>
    <row r="11" spans="1:22" s="239" customFormat="1" x14ac:dyDescent="0.25">
      <c r="A11" s="214">
        <v>26</v>
      </c>
      <c r="B11" s="215" t="s">
        <v>351</v>
      </c>
      <c r="C11" s="369" t="s">
        <v>300</v>
      </c>
      <c r="D11" s="265" t="s">
        <v>299</v>
      </c>
      <c r="E11" s="215" t="s">
        <v>386</v>
      </c>
      <c r="F11" s="216" t="s">
        <v>387</v>
      </c>
      <c r="G11" s="367">
        <v>8.2356946445127782E-2</v>
      </c>
      <c r="H11" s="367">
        <v>7.4121251800615004E-2</v>
      </c>
      <c r="I11" s="367">
        <v>6.5885557156102226E-2</v>
      </c>
      <c r="J11" s="367">
        <v>6.6893440395540224E-2</v>
      </c>
      <c r="K11" s="367">
        <v>7.1074280420261468E-2</v>
      </c>
      <c r="L11" s="367">
        <v>7.5255120444982726E-2</v>
      </c>
      <c r="M11" s="367">
        <v>7.9435960469703998E-2</v>
      </c>
      <c r="N11" s="367">
        <v>8.7797640519146528E-2</v>
      </c>
      <c r="O11" s="367">
        <v>0.10452100061803157</v>
      </c>
      <c r="P11" s="367">
        <v>9.6159320568589043E-2</v>
      </c>
      <c r="Q11" s="367">
        <v>0.10034016059331032</v>
      </c>
      <c r="R11" s="367">
        <v>9.6159320568589043E-2</v>
      </c>
      <c r="S11" s="422">
        <v>1</v>
      </c>
      <c r="T11" s="368"/>
      <c r="U11" s="222">
        <v>0</v>
      </c>
      <c r="V11" s="229">
        <v>1</v>
      </c>
    </row>
    <row r="12" spans="1:22" x14ac:dyDescent="0.25">
      <c r="A12" s="214">
        <v>26</v>
      </c>
      <c r="B12" s="215" t="s">
        <v>389</v>
      </c>
      <c r="C12" s="369" t="s">
        <v>300</v>
      </c>
      <c r="D12" s="265" t="s">
        <v>299</v>
      </c>
      <c r="E12" s="215" t="s">
        <v>388</v>
      </c>
      <c r="F12" s="216" t="s">
        <v>112</v>
      </c>
      <c r="G12" s="367">
        <v>8.2356946445127782E-2</v>
      </c>
      <c r="H12" s="367">
        <v>7.4121251800615004E-2</v>
      </c>
      <c r="I12" s="367">
        <v>6.5885557156102226E-2</v>
      </c>
      <c r="J12" s="367">
        <v>6.6893440395540224E-2</v>
      </c>
      <c r="K12" s="367">
        <v>7.1074280420261468E-2</v>
      </c>
      <c r="L12" s="367">
        <v>7.5255120444982726E-2</v>
      </c>
      <c r="M12" s="367">
        <v>7.9435960469703998E-2</v>
      </c>
      <c r="N12" s="367">
        <v>8.7797640519146528E-2</v>
      </c>
      <c r="O12" s="367">
        <v>0.10452100061803157</v>
      </c>
      <c r="P12" s="269">
        <v>9.6159320568589043E-2</v>
      </c>
      <c r="Q12" s="269">
        <v>0.10034016059331032</v>
      </c>
      <c r="R12" s="269">
        <v>9.6159320568589043E-2</v>
      </c>
      <c r="S12" s="422">
        <v>1</v>
      </c>
      <c r="T12" s="267"/>
      <c r="U12" s="229">
        <v>1</v>
      </c>
      <c r="V12" s="222">
        <v>0</v>
      </c>
    </row>
    <row r="13" spans="1:22" x14ac:dyDescent="0.25">
      <c r="A13" s="214">
        <v>26</v>
      </c>
      <c r="B13" s="215" t="s">
        <v>351</v>
      </c>
      <c r="C13" s="268" t="s">
        <v>300</v>
      </c>
      <c r="D13" s="265" t="s">
        <v>299</v>
      </c>
      <c r="E13" s="215" t="s">
        <v>390</v>
      </c>
      <c r="F13" s="216" t="s">
        <v>391</v>
      </c>
      <c r="G13" s="269">
        <v>8.2356946445127782E-2</v>
      </c>
      <c r="H13" s="269">
        <v>7.4121251800615004E-2</v>
      </c>
      <c r="I13" s="269">
        <v>6.5885557156102226E-2</v>
      </c>
      <c r="J13" s="269">
        <v>6.6893440395540224E-2</v>
      </c>
      <c r="K13" s="269">
        <v>7.1074280420261468E-2</v>
      </c>
      <c r="L13" s="269">
        <v>7.5255120444982726E-2</v>
      </c>
      <c r="M13" s="269">
        <v>7.9435960469703998E-2</v>
      </c>
      <c r="N13" s="269">
        <v>8.7797640519146528E-2</v>
      </c>
      <c r="O13" s="269">
        <v>0.10452100061803157</v>
      </c>
      <c r="P13" s="269">
        <v>9.6159320568589043E-2</v>
      </c>
      <c r="Q13" s="269">
        <v>0.10034016059331032</v>
      </c>
      <c r="R13" s="269">
        <v>9.6159320568589043E-2</v>
      </c>
      <c r="S13" s="408">
        <v>1</v>
      </c>
      <c r="T13" s="267"/>
      <c r="U13" s="222">
        <v>0</v>
      </c>
      <c r="V13" s="222">
        <v>0</v>
      </c>
    </row>
    <row r="14" spans="1:22" x14ac:dyDescent="0.25">
      <c r="A14" s="214">
        <v>26</v>
      </c>
      <c r="B14" s="215" t="s">
        <v>393</v>
      </c>
      <c r="C14" s="268" t="s">
        <v>300</v>
      </c>
      <c r="D14" s="265" t="s">
        <v>299</v>
      </c>
      <c r="E14" s="215" t="s">
        <v>392</v>
      </c>
      <c r="F14" s="216" t="s">
        <v>394</v>
      </c>
      <c r="G14" s="269">
        <v>8.2356946445127782E-2</v>
      </c>
      <c r="H14" s="269">
        <v>7.4121251800615004E-2</v>
      </c>
      <c r="I14" s="269">
        <v>6.5885557156102226E-2</v>
      </c>
      <c r="J14" s="269">
        <v>6.6893440395540224E-2</v>
      </c>
      <c r="K14" s="269">
        <v>7.1074280420261468E-2</v>
      </c>
      <c r="L14" s="269">
        <v>7.5255120444982726E-2</v>
      </c>
      <c r="M14" s="269">
        <v>7.9435960469703998E-2</v>
      </c>
      <c r="N14" s="269">
        <v>8.7797640519146528E-2</v>
      </c>
      <c r="O14" s="269">
        <v>0.10452100061803157</v>
      </c>
      <c r="P14" s="269">
        <v>9.6159320568589043E-2</v>
      </c>
      <c r="Q14" s="269">
        <v>0.10034016059331032</v>
      </c>
      <c r="R14" s="269">
        <v>9.6159320568589043E-2</v>
      </c>
      <c r="S14" s="408">
        <v>1</v>
      </c>
      <c r="T14" s="267"/>
      <c r="U14" s="222">
        <v>0</v>
      </c>
      <c r="V14" s="229">
        <v>-1</v>
      </c>
    </row>
    <row r="15" spans="1:22" x14ac:dyDescent="0.25">
      <c r="A15" s="214">
        <v>19</v>
      </c>
      <c r="B15" s="215" t="s">
        <v>247</v>
      </c>
      <c r="C15" s="258" t="s">
        <v>286</v>
      </c>
      <c r="D15" s="255" t="s">
        <v>285</v>
      </c>
      <c r="E15" s="215" t="s">
        <v>246</v>
      </c>
      <c r="F15" s="216" t="s">
        <v>248</v>
      </c>
      <c r="G15" s="256">
        <v>2.3880220191229249</v>
      </c>
      <c r="H15" s="256">
        <v>2.1492198172106325</v>
      </c>
      <c r="I15" s="256">
        <v>1.9104176152983401</v>
      </c>
      <c r="J15" s="256">
        <v>1.9396421977090843</v>
      </c>
      <c r="K15" s="256">
        <v>2.0608698350659016</v>
      </c>
      <c r="L15" s="256">
        <v>2.1820974724227189</v>
      </c>
      <c r="M15" s="256">
        <v>2.3033251097795371</v>
      </c>
      <c r="N15" s="256">
        <v>2.5457803844931726</v>
      </c>
      <c r="O15" s="256">
        <v>3.0306909339204435</v>
      </c>
      <c r="P15" s="256">
        <v>2.7882356592068076</v>
      </c>
      <c r="Q15" s="256">
        <v>2.9094632965636258</v>
      </c>
      <c r="R15" s="256">
        <v>2.7882356592068076</v>
      </c>
      <c r="S15" s="423">
        <v>28.995999999999999</v>
      </c>
      <c r="T15" s="257">
        <v>1</v>
      </c>
      <c r="U15" s="222">
        <v>0</v>
      </c>
      <c r="V15" s="229">
        <v>1</v>
      </c>
    </row>
    <row r="16" spans="1:22" x14ac:dyDescent="0.25">
      <c r="A16" s="214">
        <v>19</v>
      </c>
      <c r="B16" s="215" t="s">
        <v>332</v>
      </c>
      <c r="C16" s="258" t="s">
        <v>286</v>
      </c>
      <c r="D16" s="255" t="s">
        <v>285</v>
      </c>
      <c r="E16" s="215" t="s">
        <v>331</v>
      </c>
      <c r="F16" s="216" t="s">
        <v>333</v>
      </c>
      <c r="G16" s="256">
        <v>0.63637212518150243</v>
      </c>
      <c r="H16" s="256">
        <v>0.57273491266335219</v>
      </c>
      <c r="I16" s="256">
        <v>0.50909770014520195</v>
      </c>
      <c r="J16" s="256">
        <v>0.51688561393633936</v>
      </c>
      <c r="K16" s="256">
        <v>0.5491909648073604</v>
      </c>
      <c r="L16" s="256">
        <v>0.58149631567838156</v>
      </c>
      <c r="M16" s="256">
        <v>0.61380166654940282</v>
      </c>
      <c r="N16" s="256">
        <v>0.67841236829144524</v>
      </c>
      <c r="O16" s="256">
        <v>0.80763377177552997</v>
      </c>
      <c r="P16" s="256">
        <v>0.74302307003348755</v>
      </c>
      <c r="Q16" s="256">
        <v>0.77532842090450882</v>
      </c>
      <c r="R16" s="256">
        <v>0.74302307003348755</v>
      </c>
      <c r="S16" s="259">
        <v>7.7270000000000003</v>
      </c>
      <c r="T16" s="257">
        <v>1</v>
      </c>
      <c r="U16" s="229">
        <v>1</v>
      </c>
      <c r="V16" s="222">
        <v>0</v>
      </c>
    </row>
    <row r="17" spans="1:22" x14ac:dyDescent="0.25">
      <c r="A17" s="214">
        <v>19</v>
      </c>
      <c r="B17" s="215" t="s">
        <v>335</v>
      </c>
      <c r="C17" s="258" t="s">
        <v>286</v>
      </c>
      <c r="D17" s="255" t="s">
        <v>285</v>
      </c>
      <c r="E17" s="215" t="s">
        <v>334</v>
      </c>
      <c r="F17" s="216" t="s">
        <v>336</v>
      </c>
      <c r="G17" s="256">
        <v>0.1367125310989121</v>
      </c>
      <c r="H17" s="256">
        <v>0.1230412779890209</v>
      </c>
      <c r="I17" s="256">
        <v>0.1093700248791297</v>
      </c>
      <c r="J17" s="256">
        <v>0.11104311105659677</v>
      </c>
      <c r="K17" s="256">
        <v>0.11798330549763403</v>
      </c>
      <c r="L17" s="256">
        <v>0.12492349993867131</v>
      </c>
      <c r="M17" s="256">
        <v>0.13186369437970863</v>
      </c>
      <c r="N17" s="256">
        <v>0.14574408326178323</v>
      </c>
      <c r="O17" s="256">
        <v>0.17350486102593241</v>
      </c>
      <c r="P17" s="256">
        <v>0.1596244721438578</v>
      </c>
      <c r="Q17" s="256">
        <v>0.1665646665848951</v>
      </c>
      <c r="R17" s="256">
        <v>0.1596244721438578</v>
      </c>
      <c r="S17" s="259">
        <v>1.66</v>
      </c>
      <c r="T17" s="257">
        <v>1</v>
      </c>
      <c r="U17" s="222">
        <v>0</v>
      </c>
      <c r="V17" s="229">
        <v>-1</v>
      </c>
    </row>
    <row r="18" spans="1:22" x14ac:dyDescent="0.25">
      <c r="A18" s="214">
        <v>19</v>
      </c>
      <c r="B18" s="215" t="s">
        <v>351</v>
      </c>
      <c r="C18" s="258" t="s">
        <v>286</v>
      </c>
      <c r="D18" s="255" t="s">
        <v>285</v>
      </c>
      <c r="E18" s="215" t="s">
        <v>350</v>
      </c>
      <c r="F18" s="216" t="s">
        <v>352</v>
      </c>
      <c r="G18" s="256">
        <v>0</v>
      </c>
      <c r="H18" s="256">
        <v>0</v>
      </c>
      <c r="I18" s="256">
        <v>0</v>
      </c>
      <c r="J18" s="256">
        <v>0</v>
      </c>
      <c r="K18" s="256">
        <v>0</v>
      </c>
      <c r="L18" s="256">
        <v>0</v>
      </c>
      <c r="M18" s="256">
        <v>0</v>
      </c>
      <c r="N18" s="256">
        <v>0</v>
      </c>
      <c r="O18" s="256">
        <v>0</v>
      </c>
      <c r="P18" s="256">
        <v>0</v>
      </c>
      <c r="Q18" s="256">
        <v>0</v>
      </c>
      <c r="R18" s="256">
        <v>0</v>
      </c>
      <c r="S18" s="259">
        <v>0</v>
      </c>
      <c r="T18" s="257">
        <v>1</v>
      </c>
      <c r="U18" s="222">
        <v>0</v>
      </c>
      <c r="V18" s="229">
        <v>1</v>
      </c>
    </row>
    <row r="19" spans="1:22" x14ac:dyDescent="0.25">
      <c r="A19" s="214">
        <v>19</v>
      </c>
      <c r="B19" s="215" t="s">
        <v>351</v>
      </c>
      <c r="C19" s="258" t="s">
        <v>286</v>
      </c>
      <c r="D19" s="255" t="s">
        <v>285</v>
      </c>
      <c r="E19" s="215" t="s">
        <v>379</v>
      </c>
      <c r="F19" s="216" t="s">
        <v>16</v>
      </c>
      <c r="G19" s="256">
        <v>0</v>
      </c>
      <c r="H19" s="256">
        <v>0</v>
      </c>
      <c r="I19" s="256">
        <v>0</v>
      </c>
      <c r="J19" s="256">
        <v>0</v>
      </c>
      <c r="K19" s="256">
        <v>0</v>
      </c>
      <c r="L19" s="256">
        <v>0</v>
      </c>
      <c r="M19" s="256">
        <v>0</v>
      </c>
      <c r="N19" s="256">
        <v>0</v>
      </c>
      <c r="O19" s="256">
        <v>0</v>
      </c>
      <c r="P19" s="256">
        <v>0</v>
      </c>
      <c r="Q19" s="256">
        <v>0</v>
      </c>
      <c r="R19" s="256">
        <v>0</v>
      </c>
      <c r="S19" s="259">
        <v>0</v>
      </c>
      <c r="T19" s="257">
        <v>1</v>
      </c>
      <c r="U19" s="222">
        <v>0</v>
      </c>
      <c r="V19" s="222">
        <v>0</v>
      </c>
    </row>
    <row r="20" spans="1:22" x14ac:dyDescent="0.25">
      <c r="A20" s="214">
        <v>19</v>
      </c>
      <c r="B20" s="215" t="s">
        <v>335</v>
      </c>
      <c r="C20" s="258" t="s">
        <v>286</v>
      </c>
      <c r="D20" s="255" t="s">
        <v>285</v>
      </c>
      <c r="E20" s="215" t="s">
        <v>348</v>
      </c>
      <c r="F20" s="216" t="s">
        <v>349</v>
      </c>
      <c r="G20" s="256">
        <v>0.53029637816017783</v>
      </c>
      <c r="H20" s="256">
        <v>0.47726674034416</v>
      </c>
      <c r="I20" s="256">
        <v>0.42423710252814223</v>
      </c>
      <c r="J20" s="256">
        <v>0.43072686270688348</v>
      </c>
      <c r="K20" s="256">
        <v>0.4576472916260636</v>
      </c>
      <c r="L20" s="256">
        <v>0.48456772054524377</v>
      </c>
      <c r="M20" s="256">
        <v>0.511488149464424</v>
      </c>
      <c r="N20" s="256">
        <v>0.56532900730278446</v>
      </c>
      <c r="O20" s="256">
        <v>0.67301072297950526</v>
      </c>
      <c r="P20" s="256">
        <v>0.6191698651411448</v>
      </c>
      <c r="Q20" s="256">
        <v>0.64609029406032514</v>
      </c>
      <c r="R20" s="256">
        <v>0.6191698651411448</v>
      </c>
      <c r="S20" s="259">
        <v>6.4390000000000001</v>
      </c>
      <c r="T20" s="257">
        <v>1</v>
      </c>
      <c r="U20" s="222">
        <v>0</v>
      </c>
      <c r="V20" s="222">
        <v>0</v>
      </c>
    </row>
    <row r="21" spans="1:22" x14ac:dyDescent="0.25">
      <c r="A21" s="214">
        <v>19</v>
      </c>
      <c r="B21" s="215" t="s">
        <v>351</v>
      </c>
      <c r="C21" s="258" t="s">
        <v>286</v>
      </c>
      <c r="D21" s="255" t="s">
        <v>285</v>
      </c>
      <c r="E21" s="215" t="s">
        <v>380</v>
      </c>
      <c r="F21" s="216" t="s">
        <v>381</v>
      </c>
      <c r="G21" s="256">
        <v>0</v>
      </c>
      <c r="H21" s="256">
        <v>0</v>
      </c>
      <c r="I21" s="256">
        <v>0</v>
      </c>
      <c r="J21" s="256">
        <v>0</v>
      </c>
      <c r="K21" s="256">
        <v>0</v>
      </c>
      <c r="L21" s="256">
        <v>0</v>
      </c>
      <c r="M21" s="256">
        <v>0</v>
      </c>
      <c r="N21" s="256">
        <v>0</v>
      </c>
      <c r="O21" s="256">
        <v>0</v>
      </c>
      <c r="P21" s="256">
        <v>0</v>
      </c>
      <c r="Q21" s="256">
        <v>0</v>
      </c>
      <c r="R21" s="256">
        <v>0</v>
      </c>
      <c r="S21" s="259">
        <v>0</v>
      </c>
      <c r="T21" s="257">
        <v>1</v>
      </c>
      <c r="U21" s="222">
        <v>0</v>
      </c>
      <c r="V21" s="229">
        <v>1</v>
      </c>
    </row>
    <row r="22" spans="1:22" x14ac:dyDescent="0.25">
      <c r="A22" s="214">
        <v>19</v>
      </c>
      <c r="B22" s="215" t="s">
        <v>351</v>
      </c>
      <c r="C22" s="258" t="s">
        <v>286</v>
      </c>
      <c r="D22" s="255" t="s">
        <v>285</v>
      </c>
      <c r="E22" s="215" t="s">
        <v>382</v>
      </c>
      <c r="F22" s="216" t="s">
        <v>383</v>
      </c>
      <c r="G22" s="256">
        <v>0.10292257394594383</v>
      </c>
      <c r="H22" s="256">
        <v>9.2630316551349443E-2</v>
      </c>
      <c r="I22" s="256">
        <v>8.2338059156755058E-2</v>
      </c>
      <c r="J22" s="256">
        <v>8.3445239740033275E-2</v>
      </c>
      <c r="K22" s="256">
        <v>8.8660567223785361E-2</v>
      </c>
      <c r="L22" s="256">
        <v>9.3875894707537447E-2</v>
      </c>
      <c r="M22" s="256">
        <v>9.9091222191289519E-2</v>
      </c>
      <c r="N22" s="256">
        <v>0.10952187715879369</v>
      </c>
      <c r="O22" s="256">
        <v>0.11995253212629785</v>
      </c>
      <c r="P22" s="256">
        <v>0.12516785961004992</v>
      </c>
      <c r="Q22" s="256">
        <v>0.13038318709380201</v>
      </c>
      <c r="R22" s="256">
        <v>0.11995253212629785</v>
      </c>
      <c r="S22" s="259">
        <v>1.2479418616319353</v>
      </c>
      <c r="T22" s="257">
        <v>1</v>
      </c>
      <c r="U22" s="222">
        <v>0</v>
      </c>
      <c r="V22" s="222">
        <v>0</v>
      </c>
    </row>
    <row r="23" spans="1:22" x14ac:dyDescent="0.25">
      <c r="A23" s="214">
        <v>19</v>
      </c>
      <c r="B23" s="215" t="s">
        <v>351</v>
      </c>
      <c r="C23" s="258" t="s">
        <v>286</v>
      </c>
      <c r="D23" s="255" t="s">
        <v>285</v>
      </c>
      <c r="E23" s="215" t="s">
        <v>384</v>
      </c>
      <c r="F23" s="216" t="s">
        <v>385</v>
      </c>
      <c r="G23" s="256">
        <v>0</v>
      </c>
      <c r="H23" s="256">
        <v>0</v>
      </c>
      <c r="I23" s="256">
        <v>0</v>
      </c>
      <c r="J23" s="256">
        <v>0</v>
      </c>
      <c r="K23" s="256">
        <v>0</v>
      </c>
      <c r="L23" s="256">
        <v>0</v>
      </c>
      <c r="M23" s="256">
        <v>0</v>
      </c>
      <c r="N23" s="256">
        <v>0</v>
      </c>
      <c r="O23" s="256">
        <v>0</v>
      </c>
      <c r="P23" s="256">
        <v>0</v>
      </c>
      <c r="Q23" s="256">
        <v>0</v>
      </c>
      <c r="R23" s="256">
        <v>0</v>
      </c>
      <c r="S23" s="259">
        <v>0</v>
      </c>
      <c r="T23" s="257">
        <v>1</v>
      </c>
      <c r="U23" s="222">
        <v>0</v>
      </c>
      <c r="V23" s="222">
        <v>0</v>
      </c>
    </row>
    <row r="24" spans="1:22" x14ac:dyDescent="0.25">
      <c r="A24" s="214">
        <v>19</v>
      </c>
      <c r="B24" s="215" t="s">
        <v>351</v>
      </c>
      <c r="C24" s="361" t="s">
        <v>286</v>
      </c>
      <c r="D24" s="255" t="s">
        <v>285</v>
      </c>
      <c r="E24" s="215" t="s">
        <v>386</v>
      </c>
      <c r="F24" s="216" t="s">
        <v>387</v>
      </c>
      <c r="G24" s="359">
        <v>0.44320539863989294</v>
      </c>
      <c r="H24" s="359">
        <v>0.2341550436722499</v>
      </c>
      <c r="I24" s="359">
        <v>0.17489630064476089</v>
      </c>
      <c r="J24" s="359">
        <v>0.18484555347949064</v>
      </c>
      <c r="K24" s="359">
        <v>0.2182437045917193</v>
      </c>
      <c r="L24" s="359">
        <v>0.25195686689950469</v>
      </c>
      <c r="M24" s="359">
        <v>0.31893026728985618</v>
      </c>
      <c r="N24" s="359">
        <v>0.46290240581800163</v>
      </c>
      <c r="O24" s="359">
        <v>0.60408793232011393</v>
      </c>
      <c r="P24" s="359">
        <v>0.67665488325059442</v>
      </c>
      <c r="Q24" s="359">
        <v>0.73931298032588899</v>
      </c>
      <c r="R24" s="359">
        <v>1.2882618984756131</v>
      </c>
      <c r="S24" s="362">
        <v>5.5974532354076878</v>
      </c>
      <c r="T24" s="360">
        <v>1</v>
      </c>
      <c r="U24" s="229">
        <v>1</v>
      </c>
      <c r="V24" s="222">
        <v>0</v>
      </c>
    </row>
    <row r="25" spans="1:22" x14ac:dyDescent="0.25">
      <c r="A25" s="214">
        <v>19</v>
      </c>
      <c r="B25" s="215" t="s">
        <v>389</v>
      </c>
      <c r="C25" s="361" t="s">
        <v>286</v>
      </c>
      <c r="D25" s="255" t="s">
        <v>285</v>
      </c>
      <c r="E25" s="215" t="s">
        <v>388</v>
      </c>
      <c r="F25" s="216" t="s">
        <v>112</v>
      </c>
      <c r="G25" s="390">
        <v>0.12353541966769167</v>
      </c>
      <c r="H25" s="390">
        <v>0.1111818777009225</v>
      </c>
      <c r="I25" s="390">
        <v>9.8828335734153339E-2</v>
      </c>
      <c r="J25" s="390">
        <v>0.10034016059331033</v>
      </c>
      <c r="K25" s="390">
        <v>0.1066114206303922</v>
      </c>
      <c r="L25" s="390">
        <v>0.11288268066747409</v>
      </c>
      <c r="M25" s="390">
        <v>0.119153940704556</v>
      </c>
      <c r="N25" s="390">
        <v>0.1316964607787198</v>
      </c>
      <c r="O25" s="390">
        <v>0.15678150092704735</v>
      </c>
      <c r="P25" s="390">
        <v>0.14423898085288356</v>
      </c>
      <c r="Q25" s="390">
        <v>0.15051024088996548</v>
      </c>
      <c r="R25" s="390">
        <v>0.14423898085288356</v>
      </c>
      <c r="S25" s="423">
        <v>1.5</v>
      </c>
      <c r="T25" s="257">
        <v>1</v>
      </c>
      <c r="U25" s="222">
        <v>0</v>
      </c>
      <c r="V25" s="222">
        <v>0</v>
      </c>
    </row>
    <row r="26" spans="1:22" x14ac:dyDescent="0.25">
      <c r="A26" s="214">
        <v>19</v>
      </c>
      <c r="B26" s="215" t="s">
        <v>351</v>
      </c>
      <c r="C26" s="258" t="s">
        <v>286</v>
      </c>
      <c r="D26" s="255" t="s">
        <v>285</v>
      </c>
      <c r="E26" s="215" t="s">
        <v>390</v>
      </c>
      <c r="F26" s="216" t="s">
        <v>391</v>
      </c>
      <c r="G26" s="256">
        <v>4.5263591282441911E-3</v>
      </c>
      <c r="H26" s="256">
        <v>4.5263591282441911E-3</v>
      </c>
      <c r="I26" s="256">
        <v>-1.0493454440750245E-3</v>
      </c>
      <c r="J26" s="256">
        <v>-2.3287636543767865E-3</v>
      </c>
      <c r="K26" s="256">
        <v>-2.3287636543768051E-3</v>
      </c>
      <c r="L26" s="256">
        <v>-2.3287636543767865E-3</v>
      </c>
      <c r="M26" s="256">
        <v>-4.6575273087535911E-3</v>
      </c>
      <c r="N26" s="256">
        <v>-4.6575273087535729E-3</v>
      </c>
      <c r="O26" s="256">
        <v>-2.3287636543767865E-3</v>
      </c>
      <c r="P26" s="256">
        <v>-2.3287636543767865E-3</v>
      </c>
      <c r="Q26" s="256">
        <v>4.6575273087535911E-3</v>
      </c>
      <c r="R26" s="256">
        <v>1.4029801059140299</v>
      </c>
      <c r="S26" s="259">
        <v>0.73345120099666372</v>
      </c>
      <c r="T26" s="257">
        <v>1</v>
      </c>
      <c r="U26" s="222">
        <v>0</v>
      </c>
      <c r="V26" s="222">
        <v>0</v>
      </c>
    </row>
    <row r="27" spans="1:22" x14ac:dyDescent="0.25">
      <c r="A27" s="214">
        <v>19</v>
      </c>
      <c r="B27" s="215" t="s">
        <v>393</v>
      </c>
      <c r="C27" s="258" t="s">
        <v>286</v>
      </c>
      <c r="D27" s="255" t="s">
        <v>285</v>
      </c>
      <c r="E27" s="215" t="s">
        <v>392</v>
      </c>
      <c r="F27" s="216" t="s">
        <v>394</v>
      </c>
      <c r="G27" s="390">
        <v>5.2239200656994257E-2</v>
      </c>
      <c r="H27" s="390">
        <v>4.5505984329584019E-2</v>
      </c>
      <c r="I27" s="390">
        <v>4.1798089310136441E-2</v>
      </c>
      <c r="J27" s="390">
        <v>4.1798089310136441E-2</v>
      </c>
      <c r="K27" s="390">
        <v>4.0112682483114809E-2</v>
      </c>
      <c r="L27" s="390">
        <v>4.7022850473903491E-2</v>
      </c>
      <c r="M27" s="390">
        <v>4.803409457011646E-2</v>
      </c>
      <c r="N27" s="390">
        <v>5.4859992219554066E-2</v>
      </c>
      <c r="O27" s="390">
        <v>5.8146535532246232E-2</v>
      </c>
      <c r="P27" s="390">
        <v>6.2697133965204668E-2</v>
      </c>
      <c r="Q27" s="390">
        <v>6.5309514547088193E-2</v>
      </c>
      <c r="R27" s="390">
        <v>5.8146535532246232E-2</v>
      </c>
      <c r="S27" s="423">
        <v>0.61558000000000002</v>
      </c>
      <c r="T27" s="257">
        <v>1</v>
      </c>
      <c r="U27" s="222">
        <v>0</v>
      </c>
      <c r="V27" s="222">
        <v>0</v>
      </c>
    </row>
    <row r="28" spans="1:22" x14ac:dyDescent="0.25">
      <c r="A28" s="214">
        <v>21</v>
      </c>
      <c r="B28" s="215" t="s">
        <v>247</v>
      </c>
      <c r="C28" s="258" t="s">
        <v>290</v>
      </c>
      <c r="D28" s="255" t="s">
        <v>289</v>
      </c>
      <c r="E28" s="215" t="s">
        <v>246</v>
      </c>
      <c r="F28" s="216" t="s">
        <v>248</v>
      </c>
      <c r="G28" s="256">
        <v>0.59700550478073122</v>
      </c>
      <c r="H28" s="256">
        <v>0.53730495430265812</v>
      </c>
      <c r="I28" s="256">
        <v>0.47760440382458502</v>
      </c>
      <c r="J28" s="256">
        <v>0.48491054942727108</v>
      </c>
      <c r="K28" s="256">
        <v>0.5152174587664754</v>
      </c>
      <c r="L28" s="256">
        <v>0.54552436810567972</v>
      </c>
      <c r="M28" s="256">
        <v>0.57583127744488427</v>
      </c>
      <c r="N28" s="256">
        <v>0.63644509612329314</v>
      </c>
      <c r="O28" s="256">
        <v>0.75767273348011088</v>
      </c>
      <c r="P28" s="256">
        <v>0.6970589148017019</v>
      </c>
      <c r="Q28" s="256">
        <v>0.72736582414090645</v>
      </c>
      <c r="R28" s="256">
        <v>0.6970589148017019</v>
      </c>
      <c r="S28" s="259">
        <v>7.2489999999999997</v>
      </c>
      <c r="T28" s="257">
        <v>0.25</v>
      </c>
      <c r="U28" s="229">
        <v>1</v>
      </c>
      <c r="V28" s="222">
        <v>-1</v>
      </c>
    </row>
    <row r="29" spans="1:22" x14ac:dyDescent="0.25">
      <c r="A29" s="214">
        <v>21</v>
      </c>
      <c r="B29" s="215" t="s">
        <v>332</v>
      </c>
      <c r="C29" s="258" t="s">
        <v>290</v>
      </c>
      <c r="D29" s="255" t="s">
        <v>289</v>
      </c>
      <c r="E29" s="215" t="s">
        <v>331</v>
      </c>
      <c r="F29" s="216" t="s">
        <v>333</v>
      </c>
      <c r="G29" s="256">
        <v>0.15909303129537561</v>
      </c>
      <c r="H29" s="256">
        <v>0.14318372816583805</v>
      </c>
      <c r="I29" s="256">
        <v>0.12727442503630049</v>
      </c>
      <c r="J29" s="256">
        <v>0.12922140348408484</v>
      </c>
      <c r="K29" s="256">
        <v>0.1372977412018401</v>
      </c>
      <c r="L29" s="256">
        <v>0.14537407891959539</v>
      </c>
      <c r="M29" s="256">
        <v>0.15345041663735071</v>
      </c>
      <c r="N29" s="256">
        <v>0.16960309207286131</v>
      </c>
      <c r="O29" s="256">
        <v>0.20190844294388249</v>
      </c>
      <c r="P29" s="256">
        <v>0.18575576750837189</v>
      </c>
      <c r="Q29" s="256">
        <v>0.1938321052261272</v>
      </c>
      <c r="R29" s="256">
        <v>0.18575576750837189</v>
      </c>
      <c r="S29" s="259">
        <v>1.9317500000000001</v>
      </c>
      <c r="T29" s="257">
        <v>0.25</v>
      </c>
      <c r="U29" s="222">
        <v>0</v>
      </c>
      <c r="V29" s="222">
        <v>0</v>
      </c>
    </row>
    <row r="30" spans="1:22" x14ac:dyDescent="0.25">
      <c r="A30" s="214">
        <v>21</v>
      </c>
      <c r="B30" s="215" t="s">
        <v>335</v>
      </c>
      <c r="C30" s="258" t="s">
        <v>290</v>
      </c>
      <c r="D30" s="255" t="s">
        <v>289</v>
      </c>
      <c r="E30" s="215" t="s">
        <v>334</v>
      </c>
      <c r="F30" s="216" t="s">
        <v>336</v>
      </c>
      <c r="G30" s="256">
        <v>3.4178132774728025E-2</v>
      </c>
      <c r="H30" s="256">
        <v>3.0760319497255224E-2</v>
      </c>
      <c r="I30" s="256">
        <v>2.7342506219782424E-2</v>
      </c>
      <c r="J30" s="256">
        <v>2.7760777764149192E-2</v>
      </c>
      <c r="K30" s="256">
        <v>2.9495826374408507E-2</v>
      </c>
      <c r="L30" s="256">
        <v>3.1230874984667829E-2</v>
      </c>
      <c r="M30" s="256">
        <v>3.2965923594927157E-2</v>
      </c>
      <c r="N30" s="256">
        <v>3.6436020815445808E-2</v>
      </c>
      <c r="O30" s="256">
        <v>4.3376215256483101E-2</v>
      </c>
      <c r="P30" s="256">
        <v>3.9906118035964451E-2</v>
      </c>
      <c r="Q30" s="256">
        <v>4.1641166646223776E-2</v>
      </c>
      <c r="R30" s="256">
        <v>3.9906118035964451E-2</v>
      </c>
      <c r="S30" s="259">
        <v>0.41499999999999998</v>
      </c>
      <c r="T30" s="257">
        <v>0.25</v>
      </c>
      <c r="U30" s="222">
        <v>0</v>
      </c>
      <c r="V30" s="222">
        <v>0</v>
      </c>
    </row>
    <row r="31" spans="1:22" x14ac:dyDescent="0.25">
      <c r="A31" s="214">
        <v>21</v>
      </c>
      <c r="B31" s="215" t="s">
        <v>351</v>
      </c>
      <c r="C31" s="258" t="s">
        <v>290</v>
      </c>
      <c r="D31" s="255" t="s">
        <v>289</v>
      </c>
      <c r="E31" s="215" t="s">
        <v>350</v>
      </c>
      <c r="F31" s="216" t="s">
        <v>352</v>
      </c>
      <c r="G31" s="256">
        <v>0</v>
      </c>
      <c r="H31" s="256">
        <v>0</v>
      </c>
      <c r="I31" s="256">
        <v>0</v>
      </c>
      <c r="J31" s="256">
        <v>0</v>
      </c>
      <c r="K31" s="256">
        <v>0</v>
      </c>
      <c r="L31" s="256">
        <v>0</v>
      </c>
      <c r="M31" s="256">
        <v>0</v>
      </c>
      <c r="N31" s="256">
        <v>0</v>
      </c>
      <c r="O31" s="256">
        <v>0</v>
      </c>
      <c r="P31" s="256">
        <v>0</v>
      </c>
      <c r="Q31" s="256">
        <v>0</v>
      </c>
      <c r="R31" s="256">
        <v>0</v>
      </c>
      <c r="S31" s="259">
        <v>0</v>
      </c>
      <c r="T31" s="257">
        <v>0.25</v>
      </c>
      <c r="U31" s="222">
        <v>0</v>
      </c>
      <c r="V31" s="222">
        <v>0</v>
      </c>
    </row>
    <row r="32" spans="1:22" x14ac:dyDescent="0.25">
      <c r="A32" s="214">
        <v>21</v>
      </c>
      <c r="B32" s="215" t="s">
        <v>351</v>
      </c>
      <c r="C32" s="258" t="s">
        <v>290</v>
      </c>
      <c r="D32" s="255" t="s">
        <v>289</v>
      </c>
      <c r="E32" s="215" t="s">
        <v>379</v>
      </c>
      <c r="F32" s="216" t="s">
        <v>16</v>
      </c>
      <c r="G32" s="256">
        <v>0</v>
      </c>
      <c r="H32" s="256">
        <v>0</v>
      </c>
      <c r="I32" s="256">
        <v>0</v>
      </c>
      <c r="J32" s="256">
        <v>0</v>
      </c>
      <c r="K32" s="256">
        <v>0</v>
      </c>
      <c r="L32" s="256">
        <v>0</v>
      </c>
      <c r="M32" s="256">
        <v>0</v>
      </c>
      <c r="N32" s="256">
        <v>0</v>
      </c>
      <c r="O32" s="256">
        <v>0</v>
      </c>
      <c r="P32" s="256">
        <v>0</v>
      </c>
      <c r="Q32" s="256">
        <v>0</v>
      </c>
      <c r="R32" s="256">
        <v>0</v>
      </c>
      <c r="S32" s="259">
        <v>0</v>
      </c>
      <c r="T32" s="257">
        <v>0.25</v>
      </c>
      <c r="U32" s="222">
        <v>0</v>
      </c>
      <c r="V32" s="222">
        <v>1</v>
      </c>
    </row>
    <row r="33" spans="1:22" x14ac:dyDescent="0.25">
      <c r="A33" s="214">
        <v>21</v>
      </c>
      <c r="B33" s="215" t="s">
        <v>335</v>
      </c>
      <c r="C33" s="258" t="s">
        <v>290</v>
      </c>
      <c r="D33" s="255" t="s">
        <v>289</v>
      </c>
      <c r="E33" s="215" t="s">
        <v>348</v>
      </c>
      <c r="F33" s="216" t="s">
        <v>349</v>
      </c>
      <c r="G33" s="256">
        <v>0.13257409454004446</v>
      </c>
      <c r="H33" s="256">
        <v>0.11931668508604</v>
      </c>
      <c r="I33" s="256">
        <v>0.10605927563203556</v>
      </c>
      <c r="J33" s="256">
        <v>0.10768171567672087</v>
      </c>
      <c r="K33" s="256">
        <v>0.1144118229065159</v>
      </c>
      <c r="L33" s="256">
        <v>0.12114193013631094</v>
      </c>
      <c r="M33" s="256">
        <v>0.127872037366106</v>
      </c>
      <c r="N33" s="256">
        <v>0.14133225182569611</v>
      </c>
      <c r="O33" s="256">
        <v>0.16825268074487632</v>
      </c>
      <c r="P33" s="256">
        <v>0.1547924662852862</v>
      </c>
      <c r="Q33" s="256">
        <v>0.16152257351508129</v>
      </c>
      <c r="R33" s="256">
        <v>0.1547924662852862</v>
      </c>
      <c r="S33" s="259">
        <v>1.60975</v>
      </c>
      <c r="T33" s="257">
        <v>0.25</v>
      </c>
      <c r="U33" s="222">
        <v>0</v>
      </c>
      <c r="V33" s="222">
        <v>1</v>
      </c>
    </row>
    <row r="34" spans="1:22" x14ac:dyDescent="0.25">
      <c r="A34" s="214">
        <v>21</v>
      </c>
      <c r="B34" s="215" t="s">
        <v>351</v>
      </c>
      <c r="C34" s="258" t="s">
        <v>290</v>
      </c>
      <c r="D34" s="255" t="s">
        <v>289</v>
      </c>
      <c r="E34" s="215" t="s">
        <v>380</v>
      </c>
      <c r="F34" s="216" t="s">
        <v>381</v>
      </c>
      <c r="G34" s="256">
        <v>0</v>
      </c>
      <c r="H34" s="256">
        <v>0</v>
      </c>
      <c r="I34" s="256">
        <v>0</v>
      </c>
      <c r="J34" s="256">
        <v>0</v>
      </c>
      <c r="K34" s="256">
        <v>0</v>
      </c>
      <c r="L34" s="256">
        <v>0</v>
      </c>
      <c r="M34" s="256">
        <v>0</v>
      </c>
      <c r="N34" s="256">
        <v>0</v>
      </c>
      <c r="O34" s="256">
        <v>0</v>
      </c>
      <c r="P34" s="256">
        <v>0</v>
      </c>
      <c r="Q34" s="256">
        <v>0</v>
      </c>
      <c r="R34" s="256">
        <v>0</v>
      </c>
      <c r="S34" s="259">
        <v>0</v>
      </c>
      <c r="T34" s="257">
        <v>0.25</v>
      </c>
      <c r="U34" s="222">
        <v>0</v>
      </c>
      <c r="V34" s="222">
        <v>1</v>
      </c>
    </row>
    <row r="35" spans="1:22" x14ac:dyDescent="0.25">
      <c r="A35" s="214">
        <v>21</v>
      </c>
      <c r="B35" s="215" t="s">
        <v>351</v>
      </c>
      <c r="C35" s="258" t="s">
        <v>290</v>
      </c>
      <c r="D35" s="255" t="s">
        <v>289</v>
      </c>
      <c r="E35" s="215" t="s">
        <v>382</v>
      </c>
      <c r="F35" s="216" t="s">
        <v>383</v>
      </c>
      <c r="G35" s="256">
        <v>2.5730643486485957E-2</v>
      </c>
      <c r="H35" s="256">
        <v>2.3157579137837361E-2</v>
      </c>
      <c r="I35" s="256">
        <v>2.0584514789188765E-2</v>
      </c>
      <c r="J35" s="256">
        <v>2.0861309935008319E-2</v>
      </c>
      <c r="K35" s="256">
        <v>2.216514180594634E-2</v>
      </c>
      <c r="L35" s="256">
        <v>2.3468973676884362E-2</v>
      </c>
      <c r="M35" s="256">
        <v>2.477280554782238E-2</v>
      </c>
      <c r="N35" s="256">
        <v>2.7380469289698423E-2</v>
      </c>
      <c r="O35" s="256">
        <v>2.9988133031574462E-2</v>
      </c>
      <c r="P35" s="256">
        <v>3.129196490251248E-2</v>
      </c>
      <c r="Q35" s="256">
        <v>3.2595796773450501E-2</v>
      </c>
      <c r="R35" s="256">
        <v>2.9988133031574462E-2</v>
      </c>
      <c r="S35" s="259">
        <v>0.31198546540798383</v>
      </c>
      <c r="T35" s="257">
        <v>0.25</v>
      </c>
      <c r="U35" s="222">
        <v>0</v>
      </c>
      <c r="V35" s="222">
        <v>-1</v>
      </c>
    </row>
    <row r="36" spans="1:22" x14ac:dyDescent="0.25">
      <c r="A36" s="214">
        <v>21</v>
      </c>
      <c r="B36" s="215" t="s">
        <v>351</v>
      </c>
      <c r="C36" s="258" t="s">
        <v>290</v>
      </c>
      <c r="D36" s="255" t="s">
        <v>289</v>
      </c>
      <c r="E36" s="215" t="s">
        <v>384</v>
      </c>
      <c r="F36" s="216" t="s">
        <v>385</v>
      </c>
      <c r="G36" s="256">
        <v>0</v>
      </c>
      <c r="H36" s="256">
        <v>0</v>
      </c>
      <c r="I36" s="256">
        <v>0</v>
      </c>
      <c r="J36" s="256">
        <v>0</v>
      </c>
      <c r="K36" s="256">
        <v>0</v>
      </c>
      <c r="L36" s="256">
        <v>0</v>
      </c>
      <c r="M36" s="256">
        <v>0</v>
      </c>
      <c r="N36" s="256">
        <v>0</v>
      </c>
      <c r="O36" s="256">
        <v>0</v>
      </c>
      <c r="P36" s="256">
        <v>0</v>
      </c>
      <c r="Q36" s="256">
        <v>0</v>
      </c>
      <c r="R36" s="256">
        <v>0</v>
      </c>
      <c r="S36" s="259">
        <v>0</v>
      </c>
      <c r="T36" s="257">
        <v>0.25</v>
      </c>
    </row>
    <row r="37" spans="1:22" x14ac:dyDescent="0.25">
      <c r="A37" s="214">
        <v>21</v>
      </c>
      <c r="B37" s="215" t="s">
        <v>351</v>
      </c>
      <c r="C37" s="361" t="s">
        <v>290</v>
      </c>
      <c r="D37" s="255" t="s">
        <v>289</v>
      </c>
      <c r="E37" s="215" t="s">
        <v>386</v>
      </c>
      <c r="F37" s="216" t="s">
        <v>387</v>
      </c>
      <c r="G37" s="359">
        <v>0.11080134965997324</v>
      </c>
      <c r="H37" s="359">
        <v>5.8538760918062475E-2</v>
      </c>
      <c r="I37" s="359">
        <v>4.3724075161190222E-2</v>
      </c>
      <c r="J37" s="359">
        <v>4.6211388369872659E-2</v>
      </c>
      <c r="K37" s="359">
        <v>5.4560926147929824E-2</v>
      </c>
      <c r="L37" s="359">
        <v>6.2989216724876174E-2</v>
      </c>
      <c r="M37" s="359">
        <v>7.9732566822464046E-2</v>
      </c>
      <c r="N37" s="359">
        <v>0.11572560145450041</v>
      </c>
      <c r="O37" s="359">
        <v>0.15102198308002848</v>
      </c>
      <c r="P37" s="359">
        <v>0.1691637208126486</v>
      </c>
      <c r="Q37" s="359">
        <v>0.18482824508147225</v>
      </c>
      <c r="R37" s="359">
        <v>0.32206547461890328</v>
      </c>
      <c r="S37" s="362">
        <v>1.3993633088519219</v>
      </c>
      <c r="T37" s="360">
        <v>0.25</v>
      </c>
    </row>
    <row r="38" spans="1:22" x14ac:dyDescent="0.25">
      <c r="A38" s="214">
        <v>21</v>
      </c>
      <c r="B38" s="215" t="s">
        <v>389</v>
      </c>
      <c r="C38" s="361" t="s">
        <v>290</v>
      </c>
      <c r="D38" s="255" t="s">
        <v>289</v>
      </c>
      <c r="E38" s="215" t="s">
        <v>388</v>
      </c>
      <c r="F38" s="216" t="s">
        <v>112</v>
      </c>
      <c r="G38" s="359">
        <v>3.0883854916922918E-2</v>
      </c>
      <c r="H38" s="359">
        <v>2.7795469425230625E-2</v>
      </c>
      <c r="I38" s="359">
        <v>2.4707083933538335E-2</v>
      </c>
      <c r="J38" s="359">
        <v>2.5085040148327582E-2</v>
      </c>
      <c r="K38" s="359">
        <v>2.6652855157598049E-2</v>
      </c>
      <c r="L38" s="359">
        <v>2.8220670166868522E-2</v>
      </c>
      <c r="M38" s="359">
        <v>2.9788485176138999E-2</v>
      </c>
      <c r="N38" s="359">
        <v>3.292411519467995E-2</v>
      </c>
      <c r="O38" s="359">
        <v>3.9195375231761836E-2</v>
      </c>
      <c r="P38" s="256">
        <v>3.605974521322089E-2</v>
      </c>
      <c r="Q38" s="256">
        <v>3.762756022249137E-2</v>
      </c>
      <c r="R38" s="256">
        <v>3.605974521322089E-2</v>
      </c>
      <c r="S38" s="362">
        <v>0.375</v>
      </c>
      <c r="T38" s="257">
        <v>0.25</v>
      </c>
    </row>
    <row r="39" spans="1:22" customFormat="1" x14ac:dyDescent="0.25">
      <c r="A39" s="214">
        <v>21</v>
      </c>
      <c r="B39" s="215" t="s">
        <v>351</v>
      </c>
      <c r="C39" s="258" t="s">
        <v>290</v>
      </c>
      <c r="D39" s="255" t="s">
        <v>289</v>
      </c>
      <c r="E39" s="215" t="s">
        <v>390</v>
      </c>
      <c r="F39" s="216" t="s">
        <v>391</v>
      </c>
      <c r="G39" s="256">
        <v>1.1315897820610478E-3</v>
      </c>
      <c r="H39" s="256">
        <v>1.1315897820610478E-3</v>
      </c>
      <c r="I39" s="256">
        <v>-2.6233636101875613E-4</v>
      </c>
      <c r="J39" s="256">
        <v>-5.8219091359419661E-4</v>
      </c>
      <c r="K39" s="256">
        <v>-5.8219091359420127E-4</v>
      </c>
      <c r="L39" s="256">
        <v>-5.8219091359419661E-4</v>
      </c>
      <c r="M39" s="256">
        <v>-1.1643818271883978E-3</v>
      </c>
      <c r="N39" s="256">
        <v>-1.1643818271883932E-3</v>
      </c>
      <c r="O39" s="256">
        <v>-5.8219091359419661E-4</v>
      </c>
      <c r="P39" s="256">
        <v>-5.8219091359419661E-4</v>
      </c>
      <c r="Q39" s="256">
        <v>1.1643818271883978E-3</v>
      </c>
      <c r="R39" s="256">
        <v>0.35074502647850747</v>
      </c>
      <c r="S39" s="259">
        <v>0.18336280024916593</v>
      </c>
      <c r="T39" s="257">
        <v>0.25</v>
      </c>
      <c r="U39" s="437"/>
      <c r="V39" s="437"/>
    </row>
    <row r="40" spans="1:22" x14ac:dyDescent="0.25">
      <c r="A40" s="214">
        <v>21</v>
      </c>
      <c r="B40" s="215" t="s">
        <v>393</v>
      </c>
      <c r="C40" s="258" t="s">
        <v>290</v>
      </c>
      <c r="D40" s="255" t="s">
        <v>289</v>
      </c>
      <c r="E40" s="215" t="s">
        <v>392</v>
      </c>
      <c r="F40" s="216" t="s">
        <v>394</v>
      </c>
      <c r="G40" s="256">
        <v>1.3059800164248564E-2</v>
      </c>
      <c r="H40" s="256">
        <v>1.1376496082396005E-2</v>
      </c>
      <c r="I40" s="256">
        <v>1.044952232753411E-2</v>
      </c>
      <c r="J40" s="256">
        <v>1.044952232753411E-2</v>
      </c>
      <c r="K40" s="256">
        <v>1.0028170620778702E-2</v>
      </c>
      <c r="L40" s="256">
        <v>1.1755712618475873E-2</v>
      </c>
      <c r="M40" s="256">
        <v>1.2008523642529115E-2</v>
      </c>
      <c r="N40" s="256">
        <v>1.3714998054888516E-2</v>
      </c>
      <c r="O40" s="256">
        <v>1.4536633883061558E-2</v>
      </c>
      <c r="P40" s="256">
        <v>1.5674283491301167E-2</v>
      </c>
      <c r="Q40" s="256">
        <v>1.6327378636772048E-2</v>
      </c>
      <c r="R40" s="256">
        <v>1.4536633883061558E-2</v>
      </c>
      <c r="S40" s="259">
        <v>0.153895</v>
      </c>
      <c r="T40" s="257">
        <v>0.25</v>
      </c>
    </row>
    <row r="41" spans="1:22" x14ac:dyDescent="0.25">
      <c r="A41" s="214">
        <v>20</v>
      </c>
      <c r="B41" s="215" t="s">
        <v>247</v>
      </c>
      <c r="C41" s="258" t="s">
        <v>288</v>
      </c>
      <c r="D41" s="255" t="s">
        <v>287</v>
      </c>
      <c r="E41" s="215" t="s">
        <v>246</v>
      </c>
      <c r="F41" s="216" t="s">
        <v>248</v>
      </c>
      <c r="G41" s="256">
        <v>1.7910165143421937</v>
      </c>
      <c r="H41" s="256">
        <v>1.6119148629079745</v>
      </c>
      <c r="I41" s="256">
        <v>1.4328132114737551</v>
      </c>
      <c r="J41" s="256">
        <v>1.4547316482818133</v>
      </c>
      <c r="K41" s="256">
        <v>1.5456523762994263</v>
      </c>
      <c r="L41" s="256">
        <v>1.6365731043170393</v>
      </c>
      <c r="M41" s="256">
        <v>1.7274938323346527</v>
      </c>
      <c r="N41" s="256">
        <v>1.9093352883698795</v>
      </c>
      <c r="O41" s="256">
        <v>2.2730182004403328</v>
      </c>
      <c r="P41" s="256">
        <v>2.0911767444051055</v>
      </c>
      <c r="Q41" s="256">
        <v>2.1820974724227193</v>
      </c>
      <c r="R41" s="256">
        <v>2.0911767444051055</v>
      </c>
      <c r="S41" s="259">
        <v>21.747</v>
      </c>
      <c r="T41" s="257">
        <v>0.75</v>
      </c>
    </row>
    <row r="42" spans="1:22" x14ac:dyDescent="0.25">
      <c r="A42" s="214">
        <v>20</v>
      </c>
      <c r="B42" s="215" t="s">
        <v>332</v>
      </c>
      <c r="C42" s="258" t="s">
        <v>288</v>
      </c>
      <c r="D42" s="255" t="s">
        <v>287</v>
      </c>
      <c r="E42" s="215" t="s">
        <v>331</v>
      </c>
      <c r="F42" s="216" t="s">
        <v>333</v>
      </c>
      <c r="G42" s="256">
        <v>0.47727909388612683</v>
      </c>
      <c r="H42" s="256">
        <v>0.42955118449751417</v>
      </c>
      <c r="I42" s="256">
        <v>0.38182327510890146</v>
      </c>
      <c r="J42" s="256">
        <v>0.38766421045225452</v>
      </c>
      <c r="K42" s="256">
        <v>0.41189322360552028</v>
      </c>
      <c r="L42" s="256">
        <v>0.43612223675878614</v>
      </c>
      <c r="M42" s="256">
        <v>0.46035124991205212</v>
      </c>
      <c r="N42" s="256">
        <v>0.50880927621858396</v>
      </c>
      <c r="O42" s="256">
        <v>0.60572532883164754</v>
      </c>
      <c r="P42" s="256">
        <v>0.55726730252511569</v>
      </c>
      <c r="Q42" s="256">
        <v>0.58149631567838167</v>
      </c>
      <c r="R42" s="256">
        <v>0.55726730252511569</v>
      </c>
      <c r="S42" s="259">
        <v>5.7952500000000002</v>
      </c>
      <c r="T42" s="257">
        <v>0.75</v>
      </c>
    </row>
    <row r="43" spans="1:22" x14ac:dyDescent="0.25">
      <c r="A43" s="214">
        <v>20</v>
      </c>
      <c r="B43" s="215" t="s">
        <v>335</v>
      </c>
      <c r="C43" s="258" t="s">
        <v>288</v>
      </c>
      <c r="D43" s="255" t="s">
        <v>287</v>
      </c>
      <c r="E43" s="215" t="s">
        <v>334</v>
      </c>
      <c r="F43" s="216" t="s">
        <v>336</v>
      </c>
      <c r="G43" s="256">
        <v>0.10253439832418407</v>
      </c>
      <c r="H43" s="256">
        <v>9.228095849176568E-2</v>
      </c>
      <c r="I43" s="256">
        <v>8.2027518659347265E-2</v>
      </c>
      <c r="J43" s="256">
        <v>8.328233329244758E-2</v>
      </c>
      <c r="K43" s="256">
        <v>8.8487479123225521E-2</v>
      </c>
      <c r="L43" s="256">
        <v>9.3692624954003489E-2</v>
      </c>
      <c r="M43" s="256">
        <v>9.8897770784781472E-2</v>
      </c>
      <c r="N43" s="256">
        <v>0.10930806244633742</v>
      </c>
      <c r="O43" s="256">
        <v>0.1301286457694493</v>
      </c>
      <c r="P43" s="256">
        <v>0.11971835410789336</v>
      </c>
      <c r="Q43" s="256">
        <v>0.12492349993867133</v>
      </c>
      <c r="R43" s="256">
        <v>0.11971835410789336</v>
      </c>
      <c r="S43" s="259">
        <v>1.2449999999999999</v>
      </c>
      <c r="T43" s="257">
        <v>0.75</v>
      </c>
    </row>
    <row r="44" spans="1:22" customFormat="1" x14ac:dyDescent="0.25">
      <c r="A44" s="214">
        <v>20</v>
      </c>
      <c r="B44" s="215" t="s">
        <v>351</v>
      </c>
      <c r="C44" s="258" t="s">
        <v>288</v>
      </c>
      <c r="D44" s="255" t="s">
        <v>287</v>
      </c>
      <c r="E44" s="215" t="s">
        <v>350</v>
      </c>
      <c r="F44" s="216" t="s">
        <v>352</v>
      </c>
      <c r="G44" s="256">
        <v>0</v>
      </c>
      <c r="H44" s="256">
        <v>0</v>
      </c>
      <c r="I44" s="256">
        <v>0</v>
      </c>
      <c r="J44" s="256">
        <v>0</v>
      </c>
      <c r="K44" s="256">
        <v>0</v>
      </c>
      <c r="L44" s="256">
        <v>0</v>
      </c>
      <c r="M44" s="256">
        <v>0</v>
      </c>
      <c r="N44" s="256">
        <v>0</v>
      </c>
      <c r="O44" s="256">
        <v>0</v>
      </c>
      <c r="P44" s="256">
        <v>0</v>
      </c>
      <c r="Q44" s="256">
        <v>0</v>
      </c>
      <c r="R44" s="256">
        <v>0</v>
      </c>
      <c r="S44" s="259">
        <v>0</v>
      </c>
      <c r="T44" s="257">
        <v>0.75</v>
      </c>
      <c r="U44" s="437"/>
      <c r="V44" s="437"/>
    </row>
    <row r="45" spans="1:22" customFormat="1" x14ac:dyDescent="0.25">
      <c r="A45" s="214">
        <v>20</v>
      </c>
      <c r="B45" s="215" t="s">
        <v>351</v>
      </c>
      <c r="C45" s="258" t="s">
        <v>288</v>
      </c>
      <c r="D45" s="255" t="s">
        <v>287</v>
      </c>
      <c r="E45" s="215" t="s">
        <v>379</v>
      </c>
      <c r="F45" s="216" t="s">
        <v>16</v>
      </c>
      <c r="G45" s="256">
        <v>0</v>
      </c>
      <c r="H45" s="256">
        <v>0</v>
      </c>
      <c r="I45" s="256">
        <v>0</v>
      </c>
      <c r="J45" s="256">
        <v>0</v>
      </c>
      <c r="K45" s="256">
        <v>0</v>
      </c>
      <c r="L45" s="256">
        <v>0</v>
      </c>
      <c r="M45" s="256">
        <v>0</v>
      </c>
      <c r="N45" s="256">
        <v>0</v>
      </c>
      <c r="O45" s="256">
        <v>0</v>
      </c>
      <c r="P45" s="256">
        <v>0</v>
      </c>
      <c r="Q45" s="256">
        <v>0</v>
      </c>
      <c r="R45" s="256">
        <v>0</v>
      </c>
      <c r="S45" s="259">
        <v>0</v>
      </c>
      <c r="T45" s="257">
        <v>0.75</v>
      </c>
      <c r="U45" s="222">
        <v>0</v>
      </c>
      <c r="V45" s="222">
        <v>1</v>
      </c>
    </row>
    <row r="46" spans="1:22" customFormat="1" x14ac:dyDescent="0.25">
      <c r="A46" s="214">
        <v>20</v>
      </c>
      <c r="B46" s="215" t="s">
        <v>335</v>
      </c>
      <c r="C46" s="258" t="s">
        <v>288</v>
      </c>
      <c r="D46" s="255" t="s">
        <v>287</v>
      </c>
      <c r="E46" s="215" t="s">
        <v>348</v>
      </c>
      <c r="F46" s="216" t="s">
        <v>349</v>
      </c>
      <c r="G46" s="256">
        <v>0.3977222836201334</v>
      </c>
      <c r="H46" s="256">
        <v>0.35795005525812001</v>
      </c>
      <c r="I46" s="256">
        <v>0.31817782689610669</v>
      </c>
      <c r="J46" s="256">
        <v>0.32304514703016263</v>
      </c>
      <c r="K46" s="256">
        <v>0.34323546871954769</v>
      </c>
      <c r="L46" s="256">
        <v>0.36342579040893286</v>
      </c>
      <c r="M46" s="256">
        <v>0.38361611209831803</v>
      </c>
      <c r="N46" s="256">
        <v>0.42399675547708837</v>
      </c>
      <c r="O46" s="256">
        <v>0.50475804223462895</v>
      </c>
      <c r="P46" s="256">
        <v>0.4643773988558586</v>
      </c>
      <c r="Q46" s="256">
        <v>0.48456772054524389</v>
      </c>
      <c r="R46" s="256">
        <v>0.4643773988558586</v>
      </c>
      <c r="S46" s="259">
        <v>4.82925</v>
      </c>
      <c r="T46" s="257">
        <v>0.75</v>
      </c>
      <c r="U46" s="222">
        <v>0</v>
      </c>
      <c r="V46" s="229">
        <v>1</v>
      </c>
    </row>
    <row r="47" spans="1:22" customFormat="1" x14ac:dyDescent="0.25">
      <c r="A47" s="214">
        <v>20</v>
      </c>
      <c r="B47" s="215" t="s">
        <v>351</v>
      </c>
      <c r="C47" s="258" t="s">
        <v>288</v>
      </c>
      <c r="D47" s="255" t="s">
        <v>287</v>
      </c>
      <c r="E47" s="215" t="s">
        <v>380</v>
      </c>
      <c r="F47" s="216" t="s">
        <v>381</v>
      </c>
      <c r="G47" s="256">
        <v>0</v>
      </c>
      <c r="H47" s="256">
        <v>0</v>
      </c>
      <c r="I47" s="256">
        <v>0</v>
      </c>
      <c r="J47" s="256">
        <v>0</v>
      </c>
      <c r="K47" s="256">
        <v>0</v>
      </c>
      <c r="L47" s="256">
        <v>0</v>
      </c>
      <c r="M47" s="256">
        <v>0</v>
      </c>
      <c r="N47" s="256">
        <v>0</v>
      </c>
      <c r="O47" s="256">
        <v>0</v>
      </c>
      <c r="P47" s="256">
        <v>0</v>
      </c>
      <c r="Q47" s="256">
        <v>0</v>
      </c>
      <c r="R47" s="256">
        <v>0</v>
      </c>
      <c r="S47" s="259">
        <v>0</v>
      </c>
      <c r="T47" s="257">
        <v>0.75</v>
      </c>
      <c r="U47" s="222">
        <v>0</v>
      </c>
      <c r="V47" s="229">
        <v>1</v>
      </c>
    </row>
    <row r="48" spans="1:22" customFormat="1" x14ac:dyDescent="0.25">
      <c r="A48" s="214">
        <v>20</v>
      </c>
      <c r="B48" s="215" t="s">
        <v>351</v>
      </c>
      <c r="C48" s="258" t="s">
        <v>288</v>
      </c>
      <c r="D48" s="255" t="s">
        <v>287</v>
      </c>
      <c r="E48" s="215" t="s">
        <v>382</v>
      </c>
      <c r="F48" s="216" t="s">
        <v>383</v>
      </c>
      <c r="G48" s="256">
        <v>7.7191930459457866E-2</v>
      </c>
      <c r="H48" s="256">
        <v>6.9472737413512078E-2</v>
      </c>
      <c r="I48" s="256">
        <v>6.1753544367566297E-2</v>
      </c>
      <c r="J48" s="256">
        <v>6.258392980502496E-2</v>
      </c>
      <c r="K48" s="256">
        <v>6.6495425417839024E-2</v>
      </c>
      <c r="L48" s="256">
        <v>7.0406921030653088E-2</v>
      </c>
      <c r="M48" s="256">
        <v>7.4318416643467139E-2</v>
      </c>
      <c r="N48" s="256">
        <v>8.2141407869095268E-2</v>
      </c>
      <c r="O48" s="256">
        <v>8.9964399094723382E-2</v>
      </c>
      <c r="P48" s="256">
        <v>9.3875894707537447E-2</v>
      </c>
      <c r="Q48" s="256">
        <v>9.7787390320351497E-2</v>
      </c>
      <c r="R48" s="256">
        <v>8.9964399094723382E-2</v>
      </c>
      <c r="S48" s="259">
        <v>0.93595639622395144</v>
      </c>
      <c r="T48" s="257">
        <v>0.75</v>
      </c>
      <c r="U48" s="229">
        <v>1</v>
      </c>
      <c r="V48" s="229">
        <v>-1</v>
      </c>
    </row>
    <row r="49" spans="1:22" customFormat="1" x14ac:dyDescent="0.25">
      <c r="A49" s="214">
        <v>20</v>
      </c>
      <c r="B49" s="215" t="s">
        <v>351</v>
      </c>
      <c r="C49" s="258" t="s">
        <v>288</v>
      </c>
      <c r="D49" s="255" t="s">
        <v>287</v>
      </c>
      <c r="E49" s="215" t="s">
        <v>384</v>
      </c>
      <c r="F49" s="216" t="s">
        <v>385</v>
      </c>
      <c r="G49" s="256">
        <v>0</v>
      </c>
      <c r="H49" s="256">
        <v>0</v>
      </c>
      <c r="I49" s="256">
        <v>0</v>
      </c>
      <c r="J49" s="256">
        <v>0</v>
      </c>
      <c r="K49" s="256">
        <v>0</v>
      </c>
      <c r="L49" s="256">
        <v>0</v>
      </c>
      <c r="M49" s="256">
        <v>0</v>
      </c>
      <c r="N49" s="256">
        <v>0</v>
      </c>
      <c r="O49" s="256">
        <v>0</v>
      </c>
      <c r="P49" s="256">
        <v>0</v>
      </c>
      <c r="Q49" s="256">
        <v>0</v>
      </c>
      <c r="R49" s="256">
        <v>0</v>
      </c>
      <c r="S49" s="259">
        <v>0</v>
      </c>
      <c r="T49" s="257">
        <v>0.75</v>
      </c>
      <c r="U49" s="229">
        <v>1</v>
      </c>
      <c r="V49" s="229">
        <v>-1</v>
      </c>
    </row>
    <row r="50" spans="1:22" customFormat="1" x14ac:dyDescent="0.25">
      <c r="A50" s="214">
        <v>20</v>
      </c>
      <c r="B50" s="215" t="s">
        <v>351</v>
      </c>
      <c r="C50" s="361" t="s">
        <v>288</v>
      </c>
      <c r="D50" s="255" t="s">
        <v>287</v>
      </c>
      <c r="E50" s="215" t="s">
        <v>386</v>
      </c>
      <c r="F50" s="216" t="s">
        <v>387</v>
      </c>
      <c r="G50" s="359">
        <v>0.33240404897991971</v>
      </c>
      <c r="H50" s="359">
        <v>0.17561628275418742</v>
      </c>
      <c r="I50" s="359">
        <v>0.13117222548357066</v>
      </c>
      <c r="J50" s="359">
        <v>0.13863416510961799</v>
      </c>
      <c r="K50" s="359">
        <v>0.16368277844378948</v>
      </c>
      <c r="L50" s="359">
        <v>0.18896765017462852</v>
      </c>
      <c r="M50" s="359">
        <v>0.23919770046739214</v>
      </c>
      <c r="N50" s="359">
        <v>0.34717680436350123</v>
      </c>
      <c r="O50" s="359">
        <v>0.45306594924008547</v>
      </c>
      <c r="P50" s="359">
        <v>0.50749116243794579</v>
      </c>
      <c r="Q50" s="359">
        <v>0.55448473524441677</v>
      </c>
      <c r="R50" s="359">
        <v>0.96619642385670979</v>
      </c>
      <c r="S50" s="362">
        <v>4.1980899265557658</v>
      </c>
      <c r="T50" s="360">
        <v>0.75</v>
      </c>
      <c r="U50" s="222">
        <v>0</v>
      </c>
      <c r="V50" s="229">
        <v>-1</v>
      </c>
    </row>
    <row r="51" spans="1:22" customFormat="1" x14ac:dyDescent="0.25">
      <c r="A51" s="214">
        <v>20</v>
      </c>
      <c r="B51" s="215" t="s">
        <v>389</v>
      </c>
      <c r="C51" s="361" t="s">
        <v>288</v>
      </c>
      <c r="D51" s="255" t="s">
        <v>287</v>
      </c>
      <c r="E51" s="215" t="s">
        <v>388</v>
      </c>
      <c r="F51" s="216" t="s">
        <v>112</v>
      </c>
      <c r="G51" s="359">
        <v>9.2651564750768758E-2</v>
      </c>
      <c r="H51" s="359">
        <v>8.3386408275691881E-2</v>
      </c>
      <c r="I51" s="359">
        <v>7.4121251800615004E-2</v>
      </c>
      <c r="J51" s="359">
        <v>7.5255120444982754E-2</v>
      </c>
      <c r="K51" s="359">
        <v>7.9958565472794146E-2</v>
      </c>
      <c r="L51" s="359">
        <v>8.4662010500605567E-2</v>
      </c>
      <c r="M51" s="359">
        <v>8.9365455528417001E-2</v>
      </c>
      <c r="N51" s="359">
        <v>9.8772345584039856E-2</v>
      </c>
      <c r="O51" s="359">
        <v>0.11758612569528551</v>
      </c>
      <c r="P51" s="256">
        <v>0.10817923563966267</v>
      </c>
      <c r="Q51" s="256">
        <v>0.11288268066747412</v>
      </c>
      <c r="R51" s="256">
        <v>0.10817923563966267</v>
      </c>
      <c r="S51" s="362">
        <v>1.125</v>
      </c>
      <c r="T51" s="257">
        <v>0.75</v>
      </c>
      <c r="U51" s="222">
        <v>0</v>
      </c>
      <c r="V51" s="229">
        <v>1</v>
      </c>
    </row>
    <row r="52" spans="1:22" customFormat="1" x14ac:dyDescent="0.25">
      <c r="A52" s="214">
        <v>20</v>
      </c>
      <c r="B52" s="215" t="s">
        <v>351</v>
      </c>
      <c r="C52" s="258" t="s">
        <v>288</v>
      </c>
      <c r="D52" s="255" t="s">
        <v>287</v>
      </c>
      <c r="E52" s="215" t="s">
        <v>390</v>
      </c>
      <c r="F52" s="216" t="s">
        <v>391</v>
      </c>
      <c r="G52" s="256">
        <v>3.3947693461831435E-3</v>
      </c>
      <c r="H52" s="256">
        <v>3.3947693461831435E-3</v>
      </c>
      <c r="I52" s="256">
        <v>-7.8700908305626843E-4</v>
      </c>
      <c r="J52" s="256">
        <v>-1.7465727407825898E-3</v>
      </c>
      <c r="K52" s="256">
        <v>-1.7465727407826037E-3</v>
      </c>
      <c r="L52" s="256">
        <v>-1.7465727407825898E-3</v>
      </c>
      <c r="M52" s="256">
        <v>-3.4931454815651936E-3</v>
      </c>
      <c r="N52" s="256">
        <v>-3.4931454815651797E-3</v>
      </c>
      <c r="O52" s="256">
        <v>-1.7465727407825898E-3</v>
      </c>
      <c r="P52" s="256">
        <v>-1.7465727407825898E-3</v>
      </c>
      <c r="Q52" s="256">
        <v>3.4931454815651936E-3</v>
      </c>
      <c r="R52" s="256">
        <v>1.0522350794355224</v>
      </c>
      <c r="S52" s="259">
        <v>0.55008840074749776</v>
      </c>
      <c r="T52" s="257">
        <v>0.75</v>
      </c>
      <c r="U52" s="229">
        <v>1</v>
      </c>
      <c r="V52" s="222">
        <v>0</v>
      </c>
    </row>
    <row r="53" spans="1:22" customFormat="1" x14ac:dyDescent="0.25">
      <c r="A53" s="214">
        <v>20</v>
      </c>
      <c r="B53" s="215" t="s">
        <v>393</v>
      </c>
      <c r="C53" s="258" t="s">
        <v>288</v>
      </c>
      <c r="D53" s="255" t="s">
        <v>287</v>
      </c>
      <c r="E53" s="215" t="s">
        <v>392</v>
      </c>
      <c r="F53" s="216" t="s">
        <v>394</v>
      </c>
      <c r="G53" s="256">
        <v>3.9179400492745695E-2</v>
      </c>
      <c r="H53" s="256">
        <v>3.4129488247188013E-2</v>
      </c>
      <c r="I53" s="256">
        <v>3.1348566982602327E-2</v>
      </c>
      <c r="J53" s="256">
        <v>3.1348566982602327E-2</v>
      </c>
      <c r="K53" s="256">
        <v>3.0084511862336107E-2</v>
      </c>
      <c r="L53" s="256">
        <v>3.5267137855427622E-2</v>
      </c>
      <c r="M53" s="256">
        <v>3.6025570927587347E-2</v>
      </c>
      <c r="N53" s="256">
        <v>4.1144994164665549E-2</v>
      </c>
      <c r="O53" s="256">
        <v>4.3609901649184671E-2</v>
      </c>
      <c r="P53" s="256">
        <v>4.7022850473903505E-2</v>
      </c>
      <c r="Q53" s="256">
        <v>4.8982135910316145E-2</v>
      </c>
      <c r="R53" s="256">
        <v>4.3609901649184671E-2</v>
      </c>
      <c r="S53" s="259">
        <v>0.46168500000000001</v>
      </c>
      <c r="T53" s="257">
        <v>0.75</v>
      </c>
      <c r="U53" s="222">
        <v>0</v>
      </c>
      <c r="V53" s="229">
        <v>-1</v>
      </c>
    </row>
    <row r="54" spans="1:22" customFormat="1" x14ac:dyDescent="0.25">
      <c r="A54" s="214">
        <v>29</v>
      </c>
      <c r="B54" s="215" t="s">
        <v>247</v>
      </c>
      <c r="C54" s="407" t="s">
        <v>306</v>
      </c>
      <c r="D54" s="274" t="s">
        <v>305</v>
      </c>
      <c r="E54" s="215" t="s">
        <v>246</v>
      </c>
      <c r="F54" s="216" t="s">
        <v>248</v>
      </c>
      <c r="G54" s="275">
        <v>1.5486400209541826</v>
      </c>
      <c r="H54" s="275">
        <v>1.3937760188587645</v>
      </c>
      <c r="I54" s="275">
        <v>1.2389120167633461</v>
      </c>
      <c r="J54" s="275">
        <v>1.2578642531977382</v>
      </c>
      <c r="K54" s="275">
        <v>1.3364807690225966</v>
      </c>
      <c r="L54" s="275">
        <v>1.415097284847455</v>
      </c>
      <c r="M54" s="275">
        <v>1.4937138006723139</v>
      </c>
      <c r="N54" s="275">
        <v>1.6509468323220311</v>
      </c>
      <c r="O54" s="275">
        <v>1.9654128956214656</v>
      </c>
      <c r="P54" s="275">
        <v>1.8081798639717481</v>
      </c>
      <c r="Q54" s="275">
        <v>1.886796379796607</v>
      </c>
      <c r="R54" s="275">
        <v>1.8081798639717481</v>
      </c>
      <c r="S54" s="412">
        <v>18.803999999999998</v>
      </c>
      <c r="T54" s="276"/>
      <c r="U54" s="222">
        <v>0</v>
      </c>
      <c r="V54" s="229">
        <v>1</v>
      </c>
    </row>
    <row r="55" spans="1:22" customFormat="1" x14ac:dyDescent="0.25">
      <c r="A55" s="214">
        <v>29</v>
      </c>
      <c r="B55" s="215" t="s">
        <v>332</v>
      </c>
      <c r="C55" s="407" t="s">
        <v>306</v>
      </c>
      <c r="D55" s="274" t="s">
        <v>305</v>
      </c>
      <c r="E55" s="215" t="s">
        <v>331</v>
      </c>
      <c r="F55" s="216" t="s">
        <v>333</v>
      </c>
      <c r="G55" s="275">
        <v>0.67145618436712684</v>
      </c>
      <c r="H55" s="275">
        <v>0.60431056593041421</v>
      </c>
      <c r="I55" s="275">
        <v>0.53716494749370147</v>
      </c>
      <c r="J55" s="275">
        <v>0.54538221954483945</v>
      </c>
      <c r="K55" s="275">
        <v>0.57946860826639179</v>
      </c>
      <c r="L55" s="275">
        <v>0.61355499698794425</v>
      </c>
      <c r="M55" s="275">
        <v>0.6476413857094967</v>
      </c>
      <c r="N55" s="275">
        <v>0.71581416315260171</v>
      </c>
      <c r="O55" s="275">
        <v>0.85215971803881152</v>
      </c>
      <c r="P55" s="275">
        <v>0.78398694059570651</v>
      </c>
      <c r="Q55" s="275">
        <v>0.81807332931725907</v>
      </c>
      <c r="R55" s="275">
        <v>0.78398694059570651</v>
      </c>
      <c r="S55" s="412">
        <v>8.1530000000000005</v>
      </c>
      <c r="T55" s="276"/>
      <c r="U55" s="229">
        <v>1</v>
      </c>
      <c r="V55" s="222">
        <v>0</v>
      </c>
    </row>
    <row r="56" spans="1:22" customFormat="1" x14ac:dyDescent="0.25">
      <c r="A56" s="214">
        <v>29</v>
      </c>
      <c r="B56" s="215" t="s">
        <v>335</v>
      </c>
      <c r="C56" s="407" t="s">
        <v>306</v>
      </c>
      <c r="D56" s="274" t="s">
        <v>305</v>
      </c>
      <c r="E56" s="215" t="s">
        <v>334</v>
      </c>
      <c r="F56" s="216" t="s">
        <v>336</v>
      </c>
      <c r="G56" s="275">
        <v>1.3004161843685675</v>
      </c>
      <c r="H56" s="275">
        <v>1.1703745659317109</v>
      </c>
      <c r="I56" s="275">
        <v>1.0403329474948542</v>
      </c>
      <c r="J56" s="275">
        <v>1.0562474238455801</v>
      </c>
      <c r="K56" s="275">
        <v>1.1222628878359284</v>
      </c>
      <c r="L56" s="275">
        <v>1.1882783518262772</v>
      </c>
      <c r="M56" s="275">
        <v>1.2542938158166261</v>
      </c>
      <c r="N56" s="275">
        <v>1.3863247437973236</v>
      </c>
      <c r="O56" s="275">
        <v>1.6503865997587184</v>
      </c>
      <c r="P56" s="275">
        <v>1.5183556717780209</v>
      </c>
      <c r="Q56" s="275">
        <v>1.5843711357683699</v>
      </c>
      <c r="R56" s="275">
        <v>1.5183556717780209</v>
      </c>
      <c r="S56" s="412">
        <v>15.79</v>
      </c>
      <c r="T56" s="276"/>
      <c r="U56" s="222">
        <v>0</v>
      </c>
      <c r="V56" s="222">
        <v>0</v>
      </c>
    </row>
    <row r="57" spans="1:22" customFormat="1" x14ac:dyDescent="0.25">
      <c r="A57" s="214">
        <v>29</v>
      </c>
      <c r="B57" s="215" t="s">
        <v>351</v>
      </c>
      <c r="C57" s="407" t="s">
        <v>306</v>
      </c>
      <c r="D57" s="274" t="s">
        <v>305</v>
      </c>
      <c r="E57" s="215" t="s">
        <v>350</v>
      </c>
      <c r="F57" s="216" t="s">
        <v>352</v>
      </c>
      <c r="G57" s="275">
        <v>0</v>
      </c>
      <c r="H57" s="275">
        <v>0</v>
      </c>
      <c r="I57" s="275">
        <v>0</v>
      </c>
      <c r="J57" s="275">
        <v>0</v>
      </c>
      <c r="K57" s="275">
        <v>0</v>
      </c>
      <c r="L57" s="275">
        <v>0</v>
      </c>
      <c r="M57" s="275">
        <v>0</v>
      </c>
      <c r="N57" s="275">
        <v>0</v>
      </c>
      <c r="O57" s="275">
        <v>0</v>
      </c>
      <c r="P57" s="275">
        <v>0</v>
      </c>
      <c r="Q57" s="275">
        <v>0</v>
      </c>
      <c r="R57" s="275">
        <v>0</v>
      </c>
      <c r="S57" s="412">
        <v>0</v>
      </c>
      <c r="T57" s="276"/>
      <c r="U57" s="222">
        <v>0</v>
      </c>
      <c r="V57" s="229">
        <v>-1</v>
      </c>
    </row>
    <row r="58" spans="1:22" customFormat="1" x14ac:dyDescent="0.25">
      <c r="A58" s="214">
        <v>29</v>
      </c>
      <c r="B58" s="215" t="s">
        <v>351</v>
      </c>
      <c r="C58" s="407" t="s">
        <v>306</v>
      </c>
      <c r="D58" s="274" t="s">
        <v>305</v>
      </c>
      <c r="E58" s="215" t="s">
        <v>379</v>
      </c>
      <c r="F58" s="216" t="s">
        <v>16</v>
      </c>
      <c r="G58" s="275">
        <v>0</v>
      </c>
      <c r="H58" s="275">
        <v>0</v>
      </c>
      <c r="I58" s="275">
        <v>0</v>
      </c>
      <c r="J58" s="275">
        <v>0</v>
      </c>
      <c r="K58" s="275">
        <v>0</v>
      </c>
      <c r="L58" s="275">
        <v>0</v>
      </c>
      <c r="M58" s="275">
        <v>0</v>
      </c>
      <c r="N58" s="275">
        <v>0</v>
      </c>
      <c r="O58" s="275">
        <v>0</v>
      </c>
      <c r="P58" s="275">
        <v>0</v>
      </c>
      <c r="Q58" s="275">
        <v>0</v>
      </c>
      <c r="R58" s="275">
        <v>0</v>
      </c>
      <c r="S58" s="412">
        <v>0</v>
      </c>
      <c r="T58" s="276"/>
      <c r="U58" s="222">
        <v>0</v>
      </c>
      <c r="V58" s="229">
        <v>1</v>
      </c>
    </row>
    <row r="59" spans="1:22" customFormat="1" x14ac:dyDescent="0.25">
      <c r="A59" s="214">
        <v>29</v>
      </c>
      <c r="B59" s="215" t="s">
        <v>335</v>
      </c>
      <c r="C59" s="407" t="s">
        <v>306</v>
      </c>
      <c r="D59" s="274" t="s">
        <v>305</v>
      </c>
      <c r="E59" s="215" t="s">
        <v>348</v>
      </c>
      <c r="F59" s="216" t="s">
        <v>349</v>
      </c>
      <c r="G59" s="275">
        <v>0.23809393217286443</v>
      </c>
      <c r="H59" s="275">
        <v>0.21428453895557797</v>
      </c>
      <c r="I59" s="275">
        <v>0.19047514573829152</v>
      </c>
      <c r="J59" s="275">
        <v>0.19338893618350678</v>
      </c>
      <c r="K59" s="275">
        <v>0.2054757446949759</v>
      </c>
      <c r="L59" s="275">
        <v>0.21756255320644508</v>
      </c>
      <c r="M59" s="275">
        <v>0.22964936171791425</v>
      </c>
      <c r="N59" s="275">
        <v>0.25382297874085263</v>
      </c>
      <c r="O59" s="275">
        <v>0.30217021278672929</v>
      </c>
      <c r="P59" s="275">
        <v>0.27799659576379093</v>
      </c>
      <c r="Q59" s="275">
        <v>0.29008340427526014</v>
      </c>
      <c r="R59" s="275">
        <v>0.27799659576379093</v>
      </c>
      <c r="S59" s="412">
        <v>2.891</v>
      </c>
      <c r="T59" s="276"/>
      <c r="U59" s="229">
        <v>1</v>
      </c>
      <c r="V59" s="222">
        <v>0</v>
      </c>
    </row>
    <row r="60" spans="1:22" customFormat="1" x14ac:dyDescent="0.25">
      <c r="A60" s="214">
        <v>29</v>
      </c>
      <c r="B60" s="215" t="s">
        <v>351</v>
      </c>
      <c r="C60" s="407" t="s">
        <v>306</v>
      </c>
      <c r="D60" s="274" t="s">
        <v>305</v>
      </c>
      <c r="E60" s="215" t="s">
        <v>380</v>
      </c>
      <c r="F60" s="216" t="s">
        <v>381</v>
      </c>
      <c r="G60" s="275">
        <v>0</v>
      </c>
      <c r="H60" s="275">
        <v>0</v>
      </c>
      <c r="I60" s="275">
        <v>0</v>
      </c>
      <c r="J60" s="275">
        <v>0</v>
      </c>
      <c r="K60" s="275">
        <v>0</v>
      </c>
      <c r="L60" s="275">
        <v>0</v>
      </c>
      <c r="M60" s="275">
        <v>0</v>
      </c>
      <c r="N60" s="275">
        <v>0</v>
      </c>
      <c r="O60" s="275">
        <v>0</v>
      </c>
      <c r="P60" s="275">
        <v>0</v>
      </c>
      <c r="Q60" s="275">
        <v>0</v>
      </c>
      <c r="R60" s="275">
        <v>0</v>
      </c>
      <c r="S60" s="412">
        <v>0</v>
      </c>
      <c r="T60" s="276"/>
      <c r="U60" s="222">
        <v>0</v>
      </c>
      <c r="V60" s="229">
        <v>-1</v>
      </c>
    </row>
    <row r="61" spans="1:22" customFormat="1" x14ac:dyDescent="0.25">
      <c r="A61" s="214">
        <v>29</v>
      </c>
      <c r="B61" s="215" t="s">
        <v>351</v>
      </c>
      <c r="C61" s="407" t="s">
        <v>306</v>
      </c>
      <c r="D61" s="274" t="s">
        <v>305</v>
      </c>
      <c r="E61" s="215" t="s">
        <v>382</v>
      </c>
      <c r="F61" s="216" t="s">
        <v>383</v>
      </c>
      <c r="G61" s="275">
        <v>0</v>
      </c>
      <c r="H61" s="275">
        <v>0</v>
      </c>
      <c r="I61" s="275">
        <v>0</v>
      </c>
      <c r="J61" s="275">
        <v>0</v>
      </c>
      <c r="K61" s="275">
        <v>0</v>
      </c>
      <c r="L61" s="275">
        <v>0</v>
      </c>
      <c r="M61" s="275">
        <v>0</v>
      </c>
      <c r="N61" s="275">
        <v>0</v>
      </c>
      <c r="O61" s="275">
        <v>0</v>
      </c>
      <c r="P61" s="275">
        <v>0</v>
      </c>
      <c r="Q61" s="275">
        <v>0</v>
      </c>
      <c r="R61" s="275">
        <v>0</v>
      </c>
      <c r="S61" s="412">
        <v>0</v>
      </c>
      <c r="T61" s="276"/>
      <c r="U61" s="222">
        <v>0</v>
      </c>
      <c r="V61" s="229">
        <v>1</v>
      </c>
    </row>
    <row r="62" spans="1:22" customFormat="1" x14ac:dyDescent="0.25">
      <c r="A62" s="214">
        <v>29</v>
      </c>
      <c r="B62" s="215" t="s">
        <v>351</v>
      </c>
      <c r="C62" s="407" t="s">
        <v>306</v>
      </c>
      <c r="D62" s="274" t="s">
        <v>305</v>
      </c>
      <c r="E62" s="215" t="s">
        <v>384</v>
      </c>
      <c r="F62" s="216" t="s">
        <v>385</v>
      </c>
      <c r="G62" s="275">
        <v>0</v>
      </c>
      <c r="H62" s="275">
        <v>0</v>
      </c>
      <c r="I62" s="275">
        <v>0</v>
      </c>
      <c r="J62" s="275">
        <v>0</v>
      </c>
      <c r="K62" s="275">
        <v>0</v>
      </c>
      <c r="L62" s="275">
        <v>0</v>
      </c>
      <c r="M62" s="275">
        <v>0</v>
      </c>
      <c r="N62" s="275">
        <v>0</v>
      </c>
      <c r="O62" s="275">
        <v>0</v>
      </c>
      <c r="P62" s="275">
        <v>0</v>
      </c>
      <c r="Q62" s="275">
        <v>0</v>
      </c>
      <c r="R62" s="275">
        <v>0</v>
      </c>
      <c r="S62" s="412">
        <v>0</v>
      </c>
      <c r="T62" s="276"/>
      <c r="U62" s="222">
        <v>0</v>
      </c>
      <c r="V62" s="222">
        <v>0</v>
      </c>
    </row>
    <row r="63" spans="1:22" customFormat="1" x14ac:dyDescent="0.25">
      <c r="A63" s="214">
        <v>29</v>
      </c>
      <c r="B63" s="215" t="s">
        <v>351</v>
      </c>
      <c r="C63" s="406" t="s">
        <v>306</v>
      </c>
      <c r="D63" s="274" t="s">
        <v>305</v>
      </c>
      <c r="E63" s="215" t="s">
        <v>386</v>
      </c>
      <c r="F63" s="216" t="s">
        <v>387</v>
      </c>
      <c r="G63" s="373">
        <v>0.46449317795052075</v>
      </c>
      <c r="H63" s="373">
        <v>0.41804386015546868</v>
      </c>
      <c r="I63" s="373">
        <v>0.37159454236041661</v>
      </c>
      <c r="J63" s="373">
        <v>0.37727900383084689</v>
      </c>
      <c r="K63" s="373">
        <v>0.40085894157027474</v>
      </c>
      <c r="L63" s="373">
        <v>0.42443887930970264</v>
      </c>
      <c r="M63" s="373">
        <v>0.4480188170491306</v>
      </c>
      <c r="N63" s="373">
        <v>0.49517869252798646</v>
      </c>
      <c r="O63" s="373">
        <v>0.58949844348569813</v>
      </c>
      <c r="P63" s="373">
        <v>0.54233856800684221</v>
      </c>
      <c r="Q63" s="373">
        <v>0.56591850574627023</v>
      </c>
      <c r="R63" s="373">
        <v>0.54233856800684221</v>
      </c>
      <c r="S63" s="414">
        <v>5.6400000000000006</v>
      </c>
      <c r="T63" s="374"/>
      <c r="U63" s="222">
        <v>0</v>
      </c>
      <c r="V63" s="222">
        <v>0</v>
      </c>
    </row>
    <row r="64" spans="1:22" customFormat="1" x14ac:dyDescent="0.25">
      <c r="A64" s="214">
        <v>29</v>
      </c>
      <c r="B64" s="215" t="s">
        <v>389</v>
      </c>
      <c r="C64" s="406" t="s">
        <v>306</v>
      </c>
      <c r="D64" s="274" t="s">
        <v>305</v>
      </c>
      <c r="E64" s="215" t="s">
        <v>388</v>
      </c>
      <c r="F64" s="216" t="s">
        <v>112</v>
      </c>
      <c r="G64" s="373">
        <v>2.0132979127975936</v>
      </c>
      <c r="H64" s="373">
        <v>1.8119681215178343</v>
      </c>
      <c r="I64" s="373">
        <v>1.6106383302380749</v>
      </c>
      <c r="J64" s="373">
        <v>1.6352770439093762</v>
      </c>
      <c r="K64" s="373">
        <v>1.7374818591537118</v>
      </c>
      <c r="L64" s="373">
        <v>1.8396866743980476</v>
      </c>
      <c r="M64" s="373">
        <v>1.9418914896423838</v>
      </c>
      <c r="N64" s="373">
        <v>2.146301120131056</v>
      </c>
      <c r="O64" s="373">
        <v>2.5551203811083996</v>
      </c>
      <c r="P64" s="275">
        <v>2.3507107506197276</v>
      </c>
      <c r="Q64" s="275">
        <v>2.4529155658640636</v>
      </c>
      <c r="R64" s="275">
        <v>2.3507107506197276</v>
      </c>
      <c r="S64" s="414">
        <v>24.445999999999998</v>
      </c>
      <c r="T64" s="276"/>
      <c r="U64" s="222">
        <v>0</v>
      </c>
      <c r="V64" s="229">
        <v>1</v>
      </c>
    </row>
    <row r="65" spans="1:22" customFormat="1" x14ac:dyDescent="0.25">
      <c r="A65" s="214">
        <v>29</v>
      </c>
      <c r="B65" s="215" t="s">
        <v>351</v>
      </c>
      <c r="C65" s="407" t="s">
        <v>306</v>
      </c>
      <c r="D65" s="274" t="s">
        <v>305</v>
      </c>
      <c r="E65" s="215" t="s">
        <v>390</v>
      </c>
      <c r="F65" s="216" t="s">
        <v>391</v>
      </c>
      <c r="G65" s="275">
        <v>0</v>
      </c>
      <c r="H65" s="275">
        <v>0</v>
      </c>
      <c r="I65" s="275">
        <v>0</v>
      </c>
      <c r="J65" s="275">
        <v>0</v>
      </c>
      <c r="K65" s="275">
        <v>0</v>
      </c>
      <c r="L65" s="275">
        <v>0</v>
      </c>
      <c r="M65" s="275">
        <v>0</v>
      </c>
      <c r="N65" s="275">
        <v>0</v>
      </c>
      <c r="O65" s="275">
        <v>0</v>
      </c>
      <c r="P65" s="275">
        <v>0</v>
      </c>
      <c r="Q65" s="275">
        <v>0</v>
      </c>
      <c r="R65" s="275">
        <v>0</v>
      </c>
      <c r="S65" s="412">
        <v>0</v>
      </c>
      <c r="T65" s="276"/>
      <c r="U65" s="222">
        <v>0</v>
      </c>
      <c r="V65" s="222">
        <v>0</v>
      </c>
    </row>
    <row r="66" spans="1:22" customFormat="1" x14ac:dyDescent="0.25">
      <c r="A66" s="214">
        <v>29</v>
      </c>
      <c r="B66" s="215" t="s">
        <v>393</v>
      </c>
      <c r="C66" s="407" t="s">
        <v>306</v>
      </c>
      <c r="D66" s="274" t="s">
        <v>305</v>
      </c>
      <c r="E66" s="215" t="s">
        <v>392</v>
      </c>
      <c r="F66" s="216" t="s">
        <v>394</v>
      </c>
      <c r="G66" s="275">
        <v>0.70761088385653792</v>
      </c>
      <c r="H66" s="275">
        <v>0.63684979547088416</v>
      </c>
      <c r="I66" s="275">
        <v>0.5660887070852304</v>
      </c>
      <c r="J66" s="275">
        <v>0.57474843987848168</v>
      </c>
      <c r="K66" s="275">
        <v>0.61067021737088656</v>
      </c>
      <c r="L66" s="275">
        <v>0.64659199486329166</v>
      </c>
      <c r="M66" s="275">
        <v>0.68251377235569677</v>
      </c>
      <c r="N66" s="275">
        <v>0.75435732734050698</v>
      </c>
      <c r="O66" s="275">
        <v>0.89804443731012729</v>
      </c>
      <c r="P66" s="275">
        <v>0.82620088232531708</v>
      </c>
      <c r="Q66" s="275">
        <v>0.86212265981772229</v>
      </c>
      <c r="R66" s="275">
        <v>0.82620088232531708</v>
      </c>
      <c r="S66" s="412">
        <v>8.5920000000000005</v>
      </c>
      <c r="T66" s="276"/>
      <c r="U66" s="222">
        <v>0</v>
      </c>
      <c r="V66" s="222">
        <v>0</v>
      </c>
    </row>
    <row r="67" spans="1:22" customFormat="1" x14ac:dyDescent="0.25">
      <c r="A67" s="214">
        <v>32</v>
      </c>
      <c r="B67" s="215" t="s">
        <v>247</v>
      </c>
      <c r="C67" s="278" t="s">
        <v>312</v>
      </c>
      <c r="D67" s="277" t="s">
        <v>311</v>
      </c>
      <c r="E67" s="215" t="s">
        <v>246</v>
      </c>
      <c r="F67" s="216" t="s">
        <v>248</v>
      </c>
      <c r="G67" s="279">
        <v>1.1614800157156369</v>
      </c>
      <c r="H67" s="279">
        <v>1.0453320141440734</v>
      </c>
      <c r="I67" s="279">
        <v>0.92918401257250949</v>
      </c>
      <c r="J67" s="279">
        <v>0.94339818989830371</v>
      </c>
      <c r="K67" s="279">
        <v>1.0023605767669475</v>
      </c>
      <c r="L67" s="279">
        <v>1.0613229636355912</v>
      </c>
      <c r="M67" s="279">
        <v>1.1202853505042354</v>
      </c>
      <c r="N67" s="279">
        <v>1.2382101242415233</v>
      </c>
      <c r="O67" s="279">
        <v>1.4740596717160992</v>
      </c>
      <c r="P67" s="279">
        <v>1.356134897978811</v>
      </c>
      <c r="Q67" s="279">
        <v>1.4150972848474552</v>
      </c>
      <c r="R67" s="279">
        <v>1.356134897978811</v>
      </c>
      <c r="S67" s="281">
        <v>14.102999999999998</v>
      </c>
      <c r="T67" s="280">
        <v>0.75</v>
      </c>
      <c r="U67" s="229">
        <v>1</v>
      </c>
      <c r="V67" s="222">
        <v>0</v>
      </c>
    </row>
    <row r="68" spans="1:22" customFormat="1" x14ac:dyDescent="0.25">
      <c r="A68" s="214">
        <v>32</v>
      </c>
      <c r="B68" s="215" t="s">
        <v>332</v>
      </c>
      <c r="C68" s="278" t="s">
        <v>312</v>
      </c>
      <c r="D68" s="277" t="s">
        <v>311</v>
      </c>
      <c r="E68" s="215" t="s">
        <v>331</v>
      </c>
      <c r="F68" s="216" t="s">
        <v>333</v>
      </c>
      <c r="G68" s="279">
        <v>0.5035921382753451</v>
      </c>
      <c r="H68" s="279">
        <v>0.45323292444781066</v>
      </c>
      <c r="I68" s="279">
        <v>0.4028737106202761</v>
      </c>
      <c r="J68" s="279">
        <v>0.40903666465862959</v>
      </c>
      <c r="K68" s="279">
        <v>0.43460145619979385</v>
      </c>
      <c r="L68" s="279">
        <v>0.46016624774095816</v>
      </c>
      <c r="M68" s="279">
        <v>0.48573103928212252</v>
      </c>
      <c r="N68" s="279">
        <v>0.53686062236445131</v>
      </c>
      <c r="O68" s="279">
        <v>0.63911978852910867</v>
      </c>
      <c r="P68" s="279">
        <v>0.58799020544677982</v>
      </c>
      <c r="Q68" s="279">
        <v>0.61355499698794436</v>
      </c>
      <c r="R68" s="279">
        <v>0.58799020544677982</v>
      </c>
      <c r="S68" s="281">
        <v>6.1147500000000008</v>
      </c>
      <c r="T68" s="280">
        <v>0.75</v>
      </c>
      <c r="U68" s="222">
        <v>0</v>
      </c>
      <c r="V68" s="222">
        <v>0</v>
      </c>
    </row>
    <row r="69" spans="1:22" customFormat="1" x14ac:dyDescent="0.25">
      <c r="A69" s="214">
        <v>32</v>
      </c>
      <c r="B69" s="215" t="s">
        <v>335</v>
      </c>
      <c r="C69" s="278" t="s">
        <v>312</v>
      </c>
      <c r="D69" s="277" t="s">
        <v>311</v>
      </c>
      <c r="E69" s="215" t="s">
        <v>334</v>
      </c>
      <c r="F69" s="216" t="s">
        <v>336</v>
      </c>
      <c r="G69" s="279">
        <v>0.9753121382764256</v>
      </c>
      <c r="H69" s="279">
        <v>0.87778092444878308</v>
      </c>
      <c r="I69" s="279">
        <v>0.78024971062114057</v>
      </c>
      <c r="J69" s="279">
        <v>0.79218556788418515</v>
      </c>
      <c r="K69" s="279">
        <v>0.84169716587694632</v>
      </c>
      <c r="L69" s="279">
        <v>0.89120876386970793</v>
      </c>
      <c r="M69" s="279">
        <v>0.94072036186246955</v>
      </c>
      <c r="N69" s="279">
        <v>1.0397435578479928</v>
      </c>
      <c r="O69" s="279">
        <v>1.2377899498190388</v>
      </c>
      <c r="P69" s="279">
        <v>1.1387667538335156</v>
      </c>
      <c r="Q69" s="279">
        <v>1.1882783518262774</v>
      </c>
      <c r="R69" s="279">
        <v>1.1387667538335156</v>
      </c>
      <c r="S69" s="281">
        <v>11.842499999999999</v>
      </c>
      <c r="T69" s="280">
        <v>0.75</v>
      </c>
      <c r="U69" s="222">
        <v>0</v>
      </c>
      <c r="V69" s="222">
        <v>0</v>
      </c>
    </row>
    <row r="70" spans="1:22" customFormat="1" x14ac:dyDescent="0.25">
      <c r="A70" s="214">
        <v>32</v>
      </c>
      <c r="B70" s="215" t="s">
        <v>351</v>
      </c>
      <c r="C70" s="278" t="s">
        <v>312</v>
      </c>
      <c r="D70" s="277" t="s">
        <v>311</v>
      </c>
      <c r="E70" s="215" t="s">
        <v>350</v>
      </c>
      <c r="F70" s="216" t="s">
        <v>352</v>
      </c>
      <c r="G70" s="279">
        <v>0</v>
      </c>
      <c r="H70" s="279">
        <v>0</v>
      </c>
      <c r="I70" s="279">
        <v>0</v>
      </c>
      <c r="J70" s="279">
        <v>0</v>
      </c>
      <c r="K70" s="279">
        <v>0</v>
      </c>
      <c r="L70" s="279">
        <v>0</v>
      </c>
      <c r="M70" s="279">
        <v>0</v>
      </c>
      <c r="N70" s="279">
        <v>0</v>
      </c>
      <c r="O70" s="279">
        <v>0</v>
      </c>
      <c r="P70" s="279">
        <v>0</v>
      </c>
      <c r="Q70" s="279">
        <v>0</v>
      </c>
      <c r="R70" s="279">
        <v>0</v>
      </c>
      <c r="S70" s="281">
        <v>0</v>
      </c>
      <c r="T70" s="280">
        <v>0.75</v>
      </c>
      <c r="U70" s="222">
        <v>0</v>
      </c>
      <c r="V70" s="222">
        <v>0</v>
      </c>
    </row>
    <row r="71" spans="1:22" customFormat="1" x14ac:dyDescent="0.25">
      <c r="A71" s="214">
        <v>32</v>
      </c>
      <c r="B71" s="215" t="s">
        <v>351</v>
      </c>
      <c r="C71" s="278" t="s">
        <v>312</v>
      </c>
      <c r="D71" s="277" t="s">
        <v>311</v>
      </c>
      <c r="E71" s="215" t="s">
        <v>379</v>
      </c>
      <c r="F71" s="216" t="s">
        <v>16</v>
      </c>
      <c r="G71" s="279">
        <v>0</v>
      </c>
      <c r="H71" s="279">
        <v>0</v>
      </c>
      <c r="I71" s="279">
        <v>0</v>
      </c>
      <c r="J71" s="279">
        <v>0</v>
      </c>
      <c r="K71" s="279">
        <v>0</v>
      </c>
      <c r="L71" s="279">
        <v>0</v>
      </c>
      <c r="M71" s="279">
        <v>0</v>
      </c>
      <c r="N71" s="279">
        <v>0</v>
      </c>
      <c r="O71" s="279">
        <v>0</v>
      </c>
      <c r="P71" s="279">
        <v>0</v>
      </c>
      <c r="Q71" s="279">
        <v>0</v>
      </c>
      <c r="R71" s="279">
        <v>0</v>
      </c>
      <c r="S71" s="281">
        <v>0</v>
      </c>
      <c r="T71" s="280">
        <v>0.75</v>
      </c>
      <c r="U71" s="229">
        <v>1</v>
      </c>
      <c r="V71" s="222">
        <v>-1</v>
      </c>
    </row>
    <row r="72" spans="1:22" customFormat="1" x14ac:dyDescent="0.25">
      <c r="A72" s="214">
        <v>32</v>
      </c>
      <c r="B72" s="215" t="s">
        <v>335</v>
      </c>
      <c r="C72" s="278" t="s">
        <v>312</v>
      </c>
      <c r="D72" s="277" t="s">
        <v>311</v>
      </c>
      <c r="E72" s="215" t="s">
        <v>348</v>
      </c>
      <c r="F72" s="216" t="s">
        <v>349</v>
      </c>
      <c r="G72" s="279">
        <v>0.17857044912964831</v>
      </c>
      <c r="H72" s="279">
        <v>0.16071340421668348</v>
      </c>
      <c r="I72" s="279">
        <v>0.14285635930371865</v>
      </c>
      <c r="J72" s="279">
        <v>0.14504170213763007</v>
      </c>
      <c r="K72" s="279">
        <v>0.15410680852123193</v>
      </c>
      <c r="L72" s="279">
        <v>0.16317191490483379</v>
      </c>
      <c r="M72" s="279">
        <v>0.17223702128843568</v>
      </c>
      <c r="N72" s="279">
        <v>0.19036723405563949</v>
      </c>
      <c r="O72" s="279">
        <v>0.22662765959004696</v>
      </c>
      <c r="P72" s="279">
        <v>0.20849744682284321</v>
      </c>
      <c r="Q72" s="279">
        <v>0.2175625532064451</v>
      </c>
      <c r="R72" s="279">
        <v>0.20849744682284321</v>
      </c>
      <c r="S72" s="281">
        <v>2.16825</v>
      </c>
      <c r="T72" s="280">
        <v>0.75</v>
      </c>
      <c r="U72" s="222">
        <v>0</v>
      </c>
      <c r="V72" s="222">
        <v>0</v>
      </c>
    </row>
    <row r="73" spans="1:22" customFormat="1" x14ac:dyDescent="0.25">
      <c r="A73" s="214">
        <v>32</v>
      </c>
      <c r="B73" s="215" t="s">
        <v>351</v>
      </c>
      <c r="C73" s="278" t="s">
        <v>312</v>
      </c>
      <c r="D73" s="277" t="s">
        <v>311</v>
      </c>
      <c r="E73" s="215" t="s">
        <v>380</v>
      </c>
      <c r="F73" s="216" t="s">
        <v>381</v>
      </c>
      <c r="G73" s="279">
        <v>0</v>
      </c>
      <c r="H73" s="279">
        <v>0</v>
      </c>
      <c r="I73" s="279">
        <v>0</v>
      </c>
      <c r="J73" s="279">
        <v>0</v>
      </c>
      <c r="K73" s="279">
        <v>0</v>
      </c>
      <c r="L73" s="279">
        <v>0</v>
      </c>
      <c r="M73" s="279">
        <v>0</v>
      </c>
      <c r="N73" s="279">
        <v>0</v>
      </c>
      <c r="O73" s="279">
        <v>0</v>
      </c>
      <c r="P73" s="279">
        <v>0</v>
      </c>
      <c r="Q73" s="279">
        <v>0</v>
      </c>
      <c r="R73" s="279">
        <v>0</v>
      </c>
      <c r="S73" s="281">
        <v>0</v>
      </c>
      <c r="T73" s="280">
        <v>0.75</v>
      </c>
      <c r="U73" s="222">
        <v>0</v>
      </c>
      <c r="V73" s="222">
        <v>0</v>
      </c>
    </row>
    <row r="74" spans="1:22" customFormat="1" x14ac:dyDescent="0.25">
      <c r="A74" s="214">
        <v>32</v>
      </c>
      <c r="B74" s="215" t="s">
        <v>351</v>
      </c>
      <c r="C74" s="278" t="s">
        <v>312</v>
      </c>
      <c r="D74" s="277" t="s">
        <v>311</v>
      </c>
      <c r="E74" s="215" t="s">
        <v>382</v>
      </c>
      <c r="F74" s="216" t="s">
        <v>383</v>
      </c>
      <c r="G74" s="279">
        <v>0</v>
      </c>
      <c r="H74" s="279">
        <v>0</v>
      </c>
      <c r="I74" s="279">
        <v>0</v>
      </c>
      <c r="J74" s="279">
        <v>0</v>
      </c>
      <c r="K74" s="279">
        <v>0</v>
      </c>
      <c r="L74" s="279">
        <v>0</v>
      </c>
      <c r="M74" s="279">
        <v>0</v>
      </c>
      <c r="N74" s="279">
        <v>0</v>
      </c>
      <c r="O74" s="279">
        <v>0</v>
      </c>
      <c r="P74" s="279">
        <v>0</v>
      </c>
      <c r="Q74" s="279">
        <v>0</v>
      </c>
      <c r="R74" s="279">
        <v>0</v>
      </c>
      <c r="S74" s="281">
        <v>0</v>
      </c>
      <c r="T74" s="280">
        <v>0.75</v>
      </c>
      <c r="U74" s="222">
        <v>0</v>
      </c>
      <c r="V74" s="222">
        <v>0</v>
      </c>
    </row>
    <row r="75" spans="1:22" customFormat="1" x14ac:dyDescent="0.25">
      <c r="A75" s="214">
        <v>32</v>
      </c>
      <c r="B75" s="215" t="s">
        <v>351</v>
      </c>
      <c r="C75" s="278" t="s">
        <v>312</v>
      </c>
      <c r="D75" s="277" t="s">
        <v>311</v>
      </c>
      <c r="E75" s="215" t="s">
        <v>384</v>
      </c>
      <c r="F75" s="216" t="s">
        <v>385</v>
      </c>
      <c r="G75" s="279">
        <v>0</v>
      </c>
      <c r="H75" s="279">
        <v>0</v>
      </c>
      <c r="I75" s="279">
        <v>0</v>
      </c>
      <c r="J75" s="279">
        <v>0</v>
      </c>
      <c r="K75" s="279">
        <v>0</v>
      </c>
      <c r="L75" s="279">
        <v>0</v>
      </c>
      <c r="M75" s="279">
        <v>0</v>
      </c>
      <c r="N75" s="279">
        <v>0</v>
      </c>
      <c r="O75" s="279">
        <v>0</v>
      </c>
      <c r="P75" s="279">
        <v>0</v>
      </c>
      <c r="Q75" s="279">
        <v>0</v>
      </c>
      <c r="R75" s="279">
        <v>0</v>
      </c>
      <c r="S75" s="281">
        <v>0</v>
      </c>
      <c r="T75" s="280">
        <v>0.75</v>
      </c>
      <c r="U75" s="222">
        <v>0</v>
      </c>
      <c r="V75" s="222">
        <v>1</v>
      </c>
    </row>
    <row r="76" spans="1:22" customFormat="1" x14ac:dyDescent="0.25">
      <c r="A76" s="214">
        <v>32</v>
      </c>
      <c r="B76" s="215" t="s">
        <v>351</v>
      </c>
      <c r="C76" s="375" t="s">
        <v>312</v>
      </c>
      <c r="D76" s="277" t="s">
        <v>311</v>
      </c>
      <c r="E76" s="215" t="s">
        <v>386</v>
      </c>
      <c r="F76" s="216" t="s">
        <v>387</v>
      </c>
      <c r="G76" s="376">
        <v>0.34836988346289055</v>
      </c>
      <c r="H76" s="376">
        <v>0.31353289511660154</v>
      </c>
      <c r="I76" s="376">
        <v>0.27869590677031247</v>
      </c>
      <c r="J76" s="376">
        <v>0.28295925287313517</v>
      </c>
      <c r="K76" s="376">
        <v>0.30064420617770604</v>
      </c>
      <c r="L76" s="376">
        <v>0.31832915948227697</v>
      </c>
      <c r="M76" s="376">
        <v>0.33601411278684795</v>
      </c>
      <c r="N76" s="376">
        <v>0.37138401939598986</v>
      </c>
      <c r="O76" s="376">
        <v>0.44212383261427357</v>
      </c>
      <c r="P76" s="376">
        <v>0.40675392600513166</v>
      </c>
      <c r="Q76" s="376">
        <v>0.4244388793097027</v>
      </c>
      <c r="R76" s="376">
        <v>0.40675392600513166</v>
      </c>
      <c r="S76" s="378">
        <v>4.2300000000000004</v>
      </c>
      <c r="T76" s="377">
        <v>0.75</v>
      </c>
      <c r="U76" s="222">
        <v>0</v>
      </c>
      <c r="V76" s="222">
        <v>1</v>
      </c>
    </row>
    <row r="77" spans="1:22" customFormat="1" x14ac:dyDescent="0.25">
      <c r="A77" s="214">
        <v>32</v>
      </c>
      <c r="B77" s="215" t="s">
        <v>389</v>
      </c>
      <c r="C77" s="375" t="s">
        <v>312</v>
      </c>
      <c r="D77" s="277" t="s">
        <v>311</v>
      </c>
      <c r="E77" s="215" t="s">
        <v>388</v>
      </c>
      <c r="F77" s="216" t="s">
        <v>112</v>
      </c>
      <c r="G77" s="376">
        <v>1.5099734345981952</v>
      </c>
      <c r="H77" s="376">
        <v>1.3589760911383757</v>
      </c>
      <c r="I77" s="376">
        <v>1.2079787476785562</v>
      </c>
      <c r="J77" s="376">
        <v>1.2264577829320322</v>
      </c>
      <c r="K77" s="376">
        <v>1.3031113943652839</v>
      </c>
      <c r="L77" s="376">
        <v>1.3797650057985358</v>
      </c>
      <c r="M77" s="376">
        <v>1.4564186172317879</v>
      </c>
      <c r="N77" s="376">
        <v>1.6097258400982919</v>
      </c>
      <c r="O77" s="376">
        <v>1.9163402858312997</v>
      </c>
      <c r="P77" s="279">
        <v>1.7630330629647957</v>
      </c>
      <c r="Q77" s="279">
        <v>1.8396866743980476</v>
      </c>
      <c r="R77" s="279">
        <v>1.7630330629647957</v>
      </c>
      <c r="S77" s="378">
        <v>18.334499999999998</v>
      </c>
      <c r="T77" s="280">
        <v>0.75</v>
      </c>
      <c r="U77" s="222">
        <v>0</v>
      </c>
      <c r="V77" s="222">
        <v>1</v>
      </c>
    </row>
    <row r="78" spans="1:22" customFormat="1" x14ac:dyDescent="0.25">
      <c r="A78" s="214">
        <v>32</v>
      </c>
      <c r="B78" s="215" t="s">
        <v>351</v>
      </c>
      <c r="C78" s="278" t="s">
        <v>312</v>
      </c>
      <c r="D78" s="277" t="s">
        <v>311</v>
      </c>
      <c r="E78" s="215" t="s">
        <v>390</v>
      </c>
      <c r="F78" s="216" t="s">
        <v>391</v>
      </c>
      <c r="G78" s="279">
        <v>0</v>
      </c>
      <c r="H78" s="279">
        <v>0</v>
      </c>
      <c r="I78" s="279">
        <v>0</v>
      </c>
      <c r="J78" s="279">
        <v>0</v>
      </c>
      <c r="K78" s="279">
        <v>0</v>
      </c>
      <c r="L78" s="279">
        <v>0</v>
      </c>
      <c r="M78" s="279">
        <v>0</v>
      </c>
      <c r="N78" s="279">
        <v>0</v>
      </c>
      <c r="O78" s="279">
        <v>0</v>
      </c>
      <c r="P78" s="279">
        <v>0</v>
      </c>
      <c r="Q78" s="279">
        <v>0</v>
      </c>
      <c r="R78" s="279">
        <v>0</v>
      </c>
      <c r="S78" s="281">
        <v>0</v>
      </c>
      <c r="T78" s="280">
        <v>0.75</v>
      </c>
      <c r="U78" s="222">
        <v>0</v>
      </c>
      <c r="V78" s="222">
        <v>-1</v>
      </c>
    </row>
    <row r="79" spans="1:22" customFormat="1" x14ac:dyDescent="0.25">
      <c r="A79" s="214">
        <v>32</v>
      </c>
      <c r="B79" s="215" t="s">
        <v>393</v>
      </c>
      <c r="C79" s="278" t="s">
        <v>312</v>
      </c>
      <c r="D79" s="277" t="s">
        <v>311</v>
      </c>
      <c r="E79" s="215" t="s">
        <v>392</v>
      </c>
      <c r="F79" s="216" t="s">
        <v>394</v>
      </c>
      <c r="G79" s="279">
        <v>0.53070816289240341</v>
      </c>
      <c r="H79" s="279">
        <v>0.47763734660316315</v>
      </c>
      <c r="I79" s="279">
        <v>0.42456653031392277</v>
      </c>
      <c r="J79" s="279">
        <v>0.43106132990886126</v>
      </c>
      <c r="K79" s="279">
        <v>0.45800266302816495</v>
      </c>
      <c r="L79" s="279">
        <v>0.48494399614746875</v>
      </c>
      <c r="M79" s="279">
        <v>0.51188532926677255</v>
      </c>
      <c r="N79" s="279">
        <v>0.56576799550538026</v>
      </c>
      <c r="O79" s="279">
        <v>0.67353332798259546</v>
      </c>
      <c r="P79" s="279">
        <v>0.61965066174398786</v>
      </c>
      <c r="Q79" s="279">
        <v>0.64659199486329166</v>
      </c>
      <c r="R79" s="279">
        <v>0.61965066174398786</v>
      </c>
      <c r="S79" s="281">
        <v>6.4440000000000008</v>
      </c>
      <c r="T79" s="280">
        <v>0.75</v>
      </c>
      <c r="U79" s="222"/>
      <c r="V79" s="222"/>
    </row>
    <row r="80" spans="1:22" customFormat="1" x14ac:dyDescent="0.25">
      <c r="A80" s="214">
        <v>30</v>
      </c>
      <c r="B80" s="215" t="s">
        <v>247</v>
      </c>
      <c r="C80" s="407" t="s">
        <v>308</v>
      </c>
      <c r="D80" s="274" t="s">
        <v>307</v>
      </c>
      <c r="E80" s="215" t="s">
        <v>246</v>
      </c>
      <c r="F80" s="216" t="s">
        <v>248</v>
      </c>
      <c r="G80" s="275">
        <v>0.77500000000000002</v>
      </c>
      <c r="H80" s="275">
        <v>0.77500000000000002</v>
      </c>
      <c r="I80" s="275">
        <v>0.77500000000000002</v>
      </c>
      <c r="J80" s="275">
        <v>0.77500000000000002</v>
      </c>
      <c r="K80" s="275">
        <v>0.77500000000000002</v>
      </c>
      <c r="L80" s="275">
        <v>0.77500000000000002</v>
      </c>
      <c r="M80" s="275">
        <v>0.77500000000000002</v>
      </c>
      <c r="N80" s="275">
        <v>0.77500000000000002</v>
      </c>
      <c r="O80" s="275">
        <v>0.77500000000000002</v>
      </c>
      <c r="P80" s="275">
        <v>0.77500000000000002</v>
      </c>
      <c r="Q80" s="275">
        <v>0.77500000000000002</v>
      </c>
      <c r="R80" s="275">
        <v>0.77500000000000002</v>
      </c>
      <c r="S80" s="412">
        <v>9.3000000000000007</v>
      </c>
      <c r="T80" s="276"/>
      <c r="U80" s="222"/>
      <c r="V80" s="222"/>
    </row>
    <row r="81" spans="1:22" customFormat="1" x14ac:dyDescent="0.25">
      <c r="A81" s="214">
        <v>30</v>
      </c>
      <c r="B81" s="215" t="s">
        <v>332</v>
      </c>
      <c r="C81" s="407" t="s">
        <v>308</v>
      </c>
      <c r="D81" s="274" t="s">
        <v>307</v>
      </c>
      <c r="E81" s="215" t="s">
        <v>331</v>
      </c>
      <c r="F81" s="216" t="s">
        <v>333</v>
      </c>
      <c r="G81" s="275">
        <v>5.6591666666666667</v>
      </c>
      <c r="H81" s="275">
        <v>5.6591666666666667</v>
      </c>
      <c r="I81" s="275">
        <v>5.6591666666666667</v>
      </c>
      <c r="J81" s="275">
        <v>5.6591666666666667</v>
      </c>
      <c r="K81" s="275">
        <v>5.6591666666666667</v>
      </c>
      <c r="L81" s="275">
        <v>5.6591666666666667</v>
      </c>
      <c r="M81" s="275">
        <v>5.6591666666666667</v>
      </c>
      <c r="N81" s="275">
        <v>5.6591666666666667</v>
      </c>
      <c r="O81" s="275">
        <v>5.6591666666666667</v>
      </c>
      <c r="P81" s="275">
        <v>5.6591666666666667</v>
      </c>
      <c r="Q81" s="275">
        <v>5.6591666666666667</v>
      </c>
      <c r="R81" s="275">
        <v>5.6591666666666667</v>
      </c>
      <c r="S81" s="412">
        <v>67.91</v>
      </c>
      <c r="T81" s="276"/>
      <c r="U81" s="222"/>
      <c r="V81" s="222"/>
    </row>
    <row r="82" spans="1:22" customFormat="1" x14ac:dyDescent="0.25">
      <c r="A82" s="214">
        <v>30</v>
      </c>
      <c r="B82" s="215" t="s">
        <v>335</v>
      </c>
      <c r="C82" s="407" t="s">
        <v>308</v>
      </c>
      <c r="D82" s="274" t="s">
        <v>307</v>
      </c>
      <c r="E82" s="215" t="s">
        <v>334</v>
      </c>
      <c r="F82" s="216" t="s">
        <v>336</v>
      </c>
      <c r="G82" s="275">
        <v>2.813333333333333</v>
      </c>
      <c r="H82" s="275">
        <v>2.813333333333333</v>
      </c>
      <c r="I82" s="275">
        <v>2.813333333333333</v>
      </c>
      <c r="J82" s="275">
        <v>2.813333333333333</v>
      </c>
      <c r="K82" s="275">
        <v>2.813333333333333</v>
      </c>
      <c r="L82" s="275">
        <v>2.813333333333333</v>
      </c>
      <c r="M82" s="275">
        <v>2.813333333333333</v>
      </c>
      <c r="N82" s="275">
        <v>2.813333333333333</v>
      </c>
      <c r="O82" s="275">
        <v>2.813333333333333</v>
      </c>
      <c r="P82" s="275">
        <v>2.813333333333333</v>
      </c>
      <c r="Q82" s="275">
        <v>2.813333333333333</v>
      </c>
      <c r="R82" s="275">
        <v>2.813333333333333</v>
      </c>
      <c r="S82" s="412">
        <v>33.76</v>
      </c>
      <c r="T82" s="276"/>
      <c r="U82" s="437"/>
      <c r="V82" s="437"/>
    </row>
    <row r="83" spans="1:22" customFormat="1" x14ac:dyDescent="0.25">
      <c r="A83" s="214">
        <v>30</v>
      </c>
      <c r="B83" s="215" t="s">
        <v>351</v>
      </c>
      <c r="C83" s="407" t="s">
        <v>308</v>
      </c>
      <c r="D83" s="274" t="s">
        <v>307</v>
      </c>
      <c r="E83" s="215" t="s">
        <v>350</v>
      </c>
      <c r="F83" s="216" t="s">
        <v>352</v>
      </c>
      <c r="G83" s="275">
        <v>0</v>
      </c>
      <c r="H83" s="275">
        <v>0</v>
      </c>
      <c r="I83" s="275">
        <v>0</v>
      </c>
      <c r="J83" s="275">
        <v>0</v>
      </c>
      <c r="K83" s="275">
        <v>0</v>
      </c>
      <c r="L83" s="275">
        <v>0</v>
      </c>
      <c r="M83" s="275">
        <v>0</v>
      </c>
      <c r="N83" s="275">
        <v>0</v>
      </c>
      <c r="O83" s="275">
        <v>0</v>
      </c>
      <c r="P83" s="275">
        <v>0</v>
      </c>
      <c r="Q83" s="275">
        <v>0</v>
      </c>
      <c r="R83" s="275">
        <v>0</v>
      </c>
      <c r="S83" s="412">
        <v>0</v>
      </c>
      <c r="T83" s="276"/>
      <c r="U83" s="222"/>
      <c r="V83" s="222"/>
    </row>
    <row r="84" spans="1:22" customFormat="1" x14ac:dyDescent="0.25">
      <c r="A84" s="214">
        <v>30</v>
      </c>
      <c r="B84" s="215" t="s">
        <v>351</v>
      </c>
      <c r="C84" s="407" t="s">
        <v>308</v>
      </c>
      <c r="D84" s="274" t="s">
        <v>307</v>
      </c>
      <c r="E84" s="215" t="s">
        <v>379</v>
      </c>
      <c r="F84" s="216" t="s">
        <v>16</v>
      </c>
      <c r="G84" s="275">
        <v>0</v>
      </c>
      <c r="H84" s="275">
        <v>0</v>
      </c>
      <c r="I84" s="275">
        <v>0</v>
      </c>
      <c r="J84" s="275">
        <v>0</v>
      </c>
      <c r="K84" s="275">
        <v>0</v>
      </c>
      <c r="L84" s="275">
        <v>0</v>
      </c>
      <c r="M84" s="275">
        <v>0</v>
      </c>
      <c r="N84" s="275">
        <v>0</v>
      </c>
      <c r="O84" s="275">
        <v>0</v>
      </c>
      <c r="P84" s="275">
        <v>0</v>
      </c>
      <c r="Q84" s="275">
        <v>0</v>
      </c>
      <c r="R84" s="275">
        <v>0</v>
      </c>
      <c r="S84" s="412">
        <v>0</v>
      </c>
      <c r="T84" s="276"/>
      <c r="U84" s="222"/>
      <c r="V84" s="222"/>
    </row>
    <row r="85" spans="1:22" customFormat="1" x14ac:dyDescent="0.25">
      <c r="A85" s="214">
        <v>30</v>
      </c>
      <c r="B85" s="215" t="s">
        <v>335</v>
      </c>
      <c r="C85" s="407" t="s">
        <v>308</v>
      </c>
      <c r="D85" s="274" t="s">
        <v>307</v>
      </c>
      <c r="E85" s="215" t="s">
        <v>348</v>
      </c>
      <c r="F85" s="216" t="s">
        <v>349</v>
      </c>
      <c r="G85" s="275">
        <v>0</v>
      </c>
      <c r="H85" s="275">
        <v>0</v>
      </c>
      <c r="I85" s="275">
        <v>0</v>
      </c>
      <c r="J85" s="275">
        <v>0</v>
      </c>
      <c r="K85" s="275">
        <v>0</v>
      </c>
      <c r="L85" s="275">
        <v>0</v>
      </c>
      <c r="M85" s="275">
        <v>0</v>
      </c>
      <c r="N85" s="275">
        <v>0</v>
      </c>
      <c r="O85" s="275">
        <v>0</v>
      </c>
      <c r="P85" s="275">
        <v>0</v>
      </c>
      <c r="Q85" s="275">
        <v>0</v>
      </c>
      <c r="R85" s="275">
        <v>0</v>
      </c>
      <c r="S85" s="412">
        <v>0</v>
      </c>
      <c r="T85" s="276"/>
      <c r="U85" s="222"/>
      <c r="V85" s="222"/>
    </row>
    <row r="86" spans="1:22" customFormat="1" x14ac:dyDescent="0.25">
      <c r="A86" s="214">
        <v>30</v>
      </c>
      <c r="B86" s="215" t="s">
        <v>351</v>
      </c>
      <c r="C86" s="407" t="s">
        <v>308</v>
      </c>
      <c r="D86" s="274" t="s">
        <v>307</v>
      </c>
      <c r="E86" s="215" t="s">
        <v>380</v>
      </c>
      <c r="F86" s="216" t="s">
        <v>381</v>
      </c>
      <c r="G86" s="275">
        <v>0</v>
      </c>
      <c r="H86" s="275">
        <v>0</v>
      </c>
      <c r="I86" s="275">
        <v>0</v>
      </c>
      <c r="J86" s="275">
        <v>0</v>
      </c>
      <c r="K86" s="275">
        <v>0</v>
      </c>
      <c r="L86" s="275">
        <v>0</v>
      </c>
      <c r="M86" s="275">
        <v>0</v>
      </c>
      <c r="N86" s="275">
        <v>0</v>
      </c>
      <c r="O86" s="275">
        <v>0</v>
      </c>
      <c r="P86" s="275">
        <v>0</v>
      </c>
      <c r="Q86" s="275">
        <v>0</v>
      </c>
      <c r="R86" s="275">
        <v>0</v>
      </c>
      <c r="S86" s="412">
        <v>0</v>
      </c>
      <c r="T86" s="276"/>
      <c r="U86" s="222"/>
      <c r="V86" s="222"/>
    </row>
    <row r="87" spans="1:22" customFormat="1" x14ac:dyDescent="0.25">
      <c r="A87" s="214">
        <v>30</v>
      </c>
      <c r="B87" s="215" t="s">
        <v>351</v>
      </c>
      <c r="C87" s="407" t="s">
        <v>308</v>
      </c>
      <c r="D87" s="274" t="s">
        <v>307</v>
      </c>
      <c r="E87" s="215" t="s">
        <v>382</v>
      </c>
      <c r="F87" s="216" t="s">
        <v>383</v>
      </c>
      <c r="G87" s="275">
        <v>0</v>
      </c>
      <c r="H87" s="275">
        <v>0</v>
      </c>
      <c r="I87" s="275">
        <v>0</v>
      </c>
      <c r="J87" s="275">
        <v>0</v>
      </c>
      <c r="K87" s="275">
        <v>0</v>
      </c>
      <c r="L87" s="275">
        <v>0</v>
      </c>
      <c r="M87" s="275">
        <v>0</v>
      </c>
      <c r="N87" s="275">
        <v>0</v>
      </c>
      <c r="O87" s="275">
        <v>0</v>
      </c>
      <c r="P87" s="275">
        <v>0</v>
      </c>
      <c r="Q87" s="275">
        <v>0</v>
      </c>
      <c r="R87" s="275">
        <v>0</v>
      </c>
      <c r="S87" s="412">
        <v>0</v>
      </c>
      <c r="T87" s="276"/>
      <c r="U87" s="437"/>
      <c r="V87" s="437"/>
    </row>
    <row r="88" spans="1:22" customFormat="1" x14ac:dyDescent="0.25">
      <c r="A88" s="214">
        <v>30</v>
      </c>
      <c r="B88" s="215" t="s">
        <v>351</v>
      </c>
      <c r="C88" s="407" t="s">
        <v>308</v>
      </c>
      <c r="D88" s="274" t="s">
        <v>307</v>
      </c>
      <c r="E88" s="215" t="s">
        <v>384</v>
      </c>
      <c r="F88" s="216" t="s">
        <v>385</v>
      </c>
      <c r="G88" s="275">
        <v>0</v>
      </c>
      <c r="H88" s="275">
        <v>0</v>
      </c>
      <c r="I88" s="275">
        <v>0</v>
      </c>
      <c r="J88" s="275">
        <v>0</v>
      </c>
      <c r="K88" s="275">
        <v>0</v>
      </c>
      <c r="L88" s="275">
        <v>0</v>
      </c>
      <c r="M88" s="275">
        <v>0</v>
      </c>
      <c r="N88" s="275">
        <v>0</v>
      </c>
      <c r="O88" s="275">
        <v>0</v>
      </c>
      <c r="P88" s="275">
        <v>0</v>
      </c>
      <c r="Q88" s="275">
        <v>0</v>
      </c>
      <c r="R88" s="275">
        <v>0</v>
      </c>
      <c r="S88" s="412">
        <v>0</v>
      </c>
      <c r="T88" s="276"/>
      <c r="U88" s="222">
        <v>0</v>
      </c>
      <c r="V88" s="222">
        <v>1</v>
      </c>
    </row>
    <row r="89" spans="1:22" customFormat="1" x14ac:dyDescent="0.25">
      <c r="A89" s="214">
        <v>30</v>
      </c>
      <c r="B89" s="215" t="s">
        <v>351</v>
      </c>
      <c r="C89" s="406" t="s">
        <v>308</v>
      </c>
      <c r="D89" s="274" t="s">
        <v>307</v>
      </c>
      <c r="E89" s="215" t="s">
        <v>386</v>
      </c>
      <c r="F89" s="216" t="s">
        <v>387</v>
      </c>
      <c r="G89" s="373">
        <v>2.7333333333333329</v>
      </c>
      <c r="H89" s="373">
        <v>2.7333333333333329</v>
      </c>
      <c r="I89" s="373">
        <v>2.7333333333333329</v>
      </c>
      <c r="J89" s="373">
        <v>2.7333333333333329</v>
      </c>
      <c r="K89" s="373">
        <v>2.7333333333333329</v>
      </c>
      <c r="L89" s="373">
        <v>2.7333333333333329</v>
      </c>
      <c r="M89" s="373">
        <v>2.7333333333333329</v>
      </c>
      <c r="N89" s="373">
        <v>2.7333333333333329</v>
      </c>
      <c r="O89" s="373">
        <v>2.7333333333333329</v>
      </c>
      <c r="P89" s="373">
        <v>2.7333333333333329</v>
      </c>
      <c r="Q89" s="373">
        <v>2.7333333333333329</v>
      </c>
      <c r="R89" s="373">
        <v>2.7333333333333329</v>
      </c>
      <c r="S89" s="414">
        <v>32.799999999999997</v>
      </c>
      <c r="T89" s="374"/>
      <c r="U89" s="222">
        <v>0</v>
      </c>
      <c r="V89" s="229">
        <v>1</v>
      </c>
    </row>
    <row r="90" spans="1:22" customFormat="1" x14ac:dyDescent="0.25">
      <c r="A90" s="214">
        <v>30</v>
      </c>
      <c r="B90" s="215" t="s">
        <v>389</v>
      </c>
      <c r="C90" s="406" t="s">
        <v>308</v>
      </c>
      <c r="D90" s="274" t="s">
        <v>307</v>
      </c>
      <c r="E90" s="215" t="s">
        <v>388</v>
      </c>
      <c r="F90" s="216" t="s">
        <v>112</v>
      </c>
      <c r="G90" s="373">
        <v>0.83333333333333337</v>
      </c>
      <c r="H90" s="373">
        <v>0.83333333333333337</v>
      </c>
      <c r="I90" s="373">
        <v>0.83333333333333337</v>
      </c>
      <c r="J90" s="373">
        <v>0.83333333333333337</v>
      </c>
      <c r="K90" s="373">
        <v>0.83333333333333337</v>
      </c>
      <c r="L90" s="373">
        <v>0.83333333333333337</v>
      </c>
      <c r="M90" s="373">
        <v>0.83333333333333337</v>
      </c>
      <c r="N90" s="373">
        <v>0.83333333333333337</v>
      </c>
      <c r="O90" s="373">
        <v>0.83333333333333337</v>
      </c>
      <c r="P90" s="275">
        <v>0.83333333333333337</v>
      </c>
      <c r="Q90" s="275">
        <v>0.83333333333333337</v>
      </c>
      <c r="R90" s="275">
        <v>0.83333333333333337</v>
      </c>
      <c r="S90" s="414">
        <v>10</v>
      </c>
      <c r="T90" s="276"/>
      <c r="U90" s="222">
        <v>-1</v>
      </c>
      <c r="V90" s="229">
        <v>1</v>
      </c>
    </row>
    <row r="91" spans="1:22" customFormat="1" x14ac:dyDescent="0.25">
      <c r="A91" s="214">
        <v>30</v>
      </c>
      <c r="B91" s="215" t="s">
        <v>351</v>
      </c>
      <c r="C91" s="407" t="s">
        <v>308</v>
      </c>
      <c r="D91" s="274" t="s">
        <v>307</v>
      </c>
      <c r="E91" s="215" t="s">
        <v>390</v>
      </c>
      <c r="F91" s="216" t="s">
        <v>391</v>
      </c>
      <c r="G91" s="275">
        <v>0</v>
      </c>
      <c r="H91" s="275">
        <v>0</v>
      </c>
      <c r="I91" s="275">
        <v>0</v>
      </c>
      <c r="J91" s="275">
        <v>0</v>
      </c>
      <c r="K91" s="275">
        <v>0</v>
      </c>
      <c r="L91" s="275">
        <v>0</v>
      </c>
      <c r="M91" s="275">
        <v>0</v>
      </c>
      <c r="N91" s="275">
        <v>0</v>
      </c>
      <c r="O91" s="275">
        <v>0</v>
      </c>
      <c r="P91" s="275">
        <v>0</v>
      </c>
      <c r="Q91" s="275">
        <v>0</v>
      </c>
      <c r="R91" s="275">
        <v>0</v>
      </c>
      <c r="S91" s="412">
        <v>0</v>
      </c>
      <c r="T91" s="276"/>
      <c r="U91" s="229">
        <v>1</v>
      </c>
      <c r="V91" s="229">
        <v>-1</v>
      </c>
    </row>
    <row r="92" spans="1:22" customFormat="1" x14ac:dyDescent="0.25">
      <c r="A92" s="214">
        <v>30</v>
      </c>
      <c r="B92" s="215" t="s">
        <v>393</v>
      </c>
      <c r="C92" s="407" t="s">
        <v>308</v>
      </c>
      <c r="D92" s="274" t="s">
        <v>307</v>
      </c>
      <c r="E92" s="215" t="s">
        <v>392</v>
      </c>
      <c r="F92" s="216" t="s">
        <v>394</v>
      </c>
      <c r="G92" s="275">
        <v>1.8550000000000002</v>
      </c>
      <c r="H92" s="275">
        <v>1.8550000000000002</v>
      </c>
      <c r="I92" s="275">
        <v>1.8550000000000002</v>
      </c>
      <c r="J92" s="275">
        <v>1.8550000000000002</v>
      </c>
      <c r="K92" s="275">
        <v>1.8550000000000002</v>
      </c>
      <c r="L92" s="275">
        <v>1.8550000000000002</v>
      </c>
      <c r="M92" s="275">
        <v>1.8550000000000002</v>
      </c>
      <c r="N92" s="275">
        <v>1.8550000000000002</v>
      </c>
      <c r="O92" s="275">
        <v>1.8550000000000002</v>
      </c>
      <c r="P92" s="275">
        <v>1.8550000000000002</v>
      </c>
      <c r="Q92" s="275">
        <v>1.8550000000000002</v>
      </c>
      <c r="R92" s="275">
        <v>1.8550000000000002</v>
      </c>
      <c r="S92" s="412">
        <v>22.26</v>
      </c>
      <c r="T92" s="276"/>
      <c r="U92" s="229">
        <v>1</v>
      </c>
      <c r="V92" s="229">
        <v>-1</v>
      </c>
    </row>
    <row r="93" spans="1:22" customFormat="1" x14ac:dyDescent="0.25">
      <c r="A93" s="214">
        <v>33</v>
      </c>
      <c r="B93" s="215" t="s">
        <v>247</v>
      </c>
      <c r="C93" s="278" t="s">
        <v>314</v>
      </c>
      <c r="D93" s="277" t="s">
        <v>313</v>
      </c>
      <c r="E93" s="215" t="s">
        <v>246</v>
      </c>
      <c r="F93" s="216" t="s">
        <v>248</v>
      </c>
      <c r="G93" s="279">
        <v>0.58125000000000004</v>
      </c>
      <c r="H93" s="279">
        <v>0.58125000000000004</v>
      </c>
      <c r="I93" s="279">
        <v>0.58125000000000004</v>
      </c>
      <c r="J93" s="279">
        <v>0.58125000000000004</v>
      </c>
      <c r="K93" s="279">
        <v>0.58125000000000004</v>
      </c>
      <c r="L93" s="279">
        <v>0.58125000000000004</v>
      </c>
      <c r="M93" s="279">
        <v>0.58125000000000004</v>
      </c>
      <c r="N93" s="279">
        <v>0.58125000000000004</v>
      </c>
      <c r="O93" s="279">
        <v>0.58125000000000004</v>
      </c>
      <c r="P93" s="279">
        <v>0.58125000000000004</v>
      </c>
      <c r="Q93" s="279">
        <v>0.58125000000000004</v>
      </c>
      <c r="R93" s="279">
        <v>0.58125000000000004</v>
      </c>
      <c r="S93" s="281">
        <v>6.9750000000000005</v>
      </c>
      <c r="T93" s="280">
        <v>0.75</v>
      </c>
      <c r="U93" s="222">
        <v>0</v>
      </c>
      <c r="V93" s="229">
        <v>-1</v>
      </c>
    </row>
    <row r="94" spans="1:22" customFormat="1" x14ac:dyDescent="0.25">
      <c r="A94" s="214">
        <v>33</v>
      </c>
      <c r="B94" s="215" t="s">
        <v>332</v>
      </c>
      <c r="C94" s="278" t="s">
        <v>314</v>
      </c>
      <c r="D94" s="277" t="s">
        <v>313</v>
      </c>
      <c r="E94" s="215" t="s">
        <v>331</v>
      </c>
      <c r="F94" s="216" t="s">
        <v>333</v>
      </c>
      <c r="G94" s="279">
        <v>4.2443749999999998</v>
      </c>
      <c r="H94" s="279">
        <v>4.2443749999999998</v>
      </c>
      <c r="I94" s="279">
        <v>4.2443749999999998</v>
      </c>
      <c r="J94" s="279">
        <v>4.2443749999999998</v>
      </c>
      <c r="K94" s="279">
        <v>4.2443749999999998</v>
      </c>
      <c r="L94" s="279">
        <v>4.2443749999999998</v>
      </c>
      <c r="M94" s="279">
        <v>4.2443749999999998</v>
      </c>
      <c r="N94" s="279">
        <v>4.2443749999999998</v>
      </c>
      <c r="O94" s="279">
        <v>4.2443749999999998</v>
      </c>
      <c r="P94" s="279">
        <v>4.2443749999999998</v>
      </c>
      <c r="Q94" s="279">
        <v>4.2443749999999998</v>
      </c>
      <c r="R94" s="279">
        <v>4.2443749999999998</v>
      </c>
      <c r="S94" s="281">
        <v>50.932499999999997</v>
      </c>
      <c r="T94" s="280">
        <v>0.75</v>
      </c>
      <c r="U94" s="222">
        <v>0</v>
      </c>
      <c r="V94" s="229">
        <v>1</v>
      </c>
    </row>
    <row r="95" spans="1:22" customFormat="1" x14ac:dyDescent="0.25">
      <c r="A95" s="214">
        <v>33</v>
      </c>
      <c r="B95" s="215" t="s">
        <v>335</v>
      </c>
      <c r="C95" s="278" t="s">
        <v>314</v>
      </c>
      <c r="D95" s="277" t="s">
        <v>313</v>
      </c>
      <c r="E95" s="215" t="s">
        <v>334</v>
      </c>
      <c r="F95" s="216" t="s">
        <v>336</v>
      </c>
      <c r="G95" s="279">
        <v>2.11</v>
      </c>
      <c r="H95" s="279">
        <v>2.11</v>
      </c>
      <c r="I95" s="279">
        <v>2.11</v>
      </c>
      <c r="J95" s="279">
        <v>2.11</v>
      </c>
      <c r="K95" s="279">
        <v>2.11</v>
      </c>
      <c r="L95" s="279">
        <v>2.11</v>
      </c>
      <c r="M95" s="279">
        <v>2.11</v>
      </c>
      <c r="N95" s="279">
        <v>2.11</v>
      </c>
      <c r="O95" s="279">
        <v>2.11</v>
      </c>
      <c r="P95" s="279">
        <v>2.11</v>
      </c>
      <c r="Q95" s="279">
        <v>2.11</v>
      </c>
      <c r="R95" s="279">
        <v>2.11</v>
      </c>
      <c r="S95" s="281">
        <v>25.32</v>
      </c>
      <c r="T95" s="280">
        <v>0.75</v>
      </c>
      <c r="U95" s="229">
        <v>1</v>
      </c>
      <c r="V95" s="222">
        <v>0</v>
      </c>
    </row>
    <row r="96" spans="1:22" customFormat="1" x14ac:dyDescent="0.25">
      <c r="A96" s="214">
        <v>33</v>
      </c>
      <c r="B96" s="215" t="s">
        <v>351</v>
      </c>
      <c r="C96" s="278" t="s">
        <v>314</v>
      </c>
      <c r="D96" s="277" t="s">
        <v>313</v>
      </c>
      <c r="E96" s="215" t="s">
        <v>350</v>
      </c>
      <c r="F96" s="216" t="s">
        <v>352</v>
      </c>
      <c r="G96" s="279">
        <v>0</v>
      </c>
      <c r="H96" s="279">
        <v>0</v>
      </c>
      <c r="I96" s="279">
        <v>0</v>
      </c>
      <c r="J96" s="279">
        <v>0</v>
      </c>
      <c r="K96" s="279">
        <v>0</v>
      </c>
      <c r="L96" s="279">
        <v>0</v>
      </c>
      <c r="M96" s="279">
        <v>0</v>
      </c>
      <c r="N96" s="279">
        <v>0</v>
      </c>
      <c r="O96" s="279">
        <v>0</v>
      </c>
      <c r="P96" s="279">
        <v>0</v>
      </c>
      <c r="Q96" s="279">
        <v>0</v>
      </c>
      <c r="R96" s="279">
        <v>0</v>
      </c>
      <c r="S96" s="281">
        <v>0</v>
      </c>
      <c r="T96" s="280">
        <v>0.75</v>
      </c>
      <c r="U96" s="222">
        <v>0</v>
      </c>
      <c r="V96" s="229">
        <v>-1</v>
      </c>
    </row>
    <row r="97" spans="1:22" customFormat="1" x14ac:dyDescent="0.25">
      <c r="A97" s="214">
        <v>33</v>
      </c>
      <c r="B97" s="215" t="s">
        <v>351</v>
      </c>
      <c r="C97" s="278" t="s">
        <v>314</v>
      </c>
      <c r="D97" s="277" t="s">
        <v>313</v>
      </c>
      <c r="E97" s="215" t="s">
        <v>379</v>
      </c>
      <c r="F97" s="216" t="s">
        <v>16</v>
      </c>
      <c r="G97" s="279">
        <v>0</v>
      </c>
      <c r="H97" s="279">
        <v>0</v>
      </c>
      <c r="I97" s="279">
        <v>0</v>
      </c>
      <c r="J97" s="279">
        <v>0</v>
      </c>
      <c r="K97" s="279">
        <v>0</v>
      </c>
      <c r="L97" s="279">
        <v>0</v>
      </c>
      <c r="M97" s="279">
        <v>0</v>
      </c>
      <c r="N97" s="279">
        <v>0</v>
      </c>
      <c r="O97" s="279">
        <v>0</v>
      </c>
      <c r="P97" s="279">
        <v>0</v>
      </c>
      <c r="Q97" s="279">
        <v>0</v>
      </c>
      <c r="R97" s="279">
        <v>0</v>
      </c>
      <c r="S97" s="281">
        <v>0</v>
      </c>
      <c r="T97" s="280">
        <v>0.75</v>
      </c>
      <c r="U97" s="222">
        <v>0</v>
      </c>
      <c r="V97" s="229">
        <v>1</v>
      </c>
    </row>
    <row r="98" spans="1:22" customFormat="1" x14ac:dyDescent="0.25">
      <c r="A98" s="214">
        <v>33</v>
      </c>
      <c r="B98" s="215" t="s">
        <v>335</v>
      </c>
      <c r="C98" s="278" t="s">
        <v>314</v>
      </c>
      <c r="D98" s="277" t="s">
        <v>313</v>
      </c>
      <c r="E98" s="215" t="s">
        <v>348</v>
      </c>
      <c r="F98" s="216" t="s">
        <v>349</v>
      </c>
      <c r="G98" s="279">
        <v>0</v>
      </c>
      <c r="H98" s="279">
        <v>0</v>
      </c>
      <c r="I98" s="279">
        <v>0</v>
      </c>
      <c r="J98" s="279">
        <v>0</v>
      </c>
      <c r="K98" s="279">
        <v>0</v>
      </c>
      <c r="L98" s="279">
        <v>0</v>
      </c>
      <c r="M98" s="279">
        <v>0</v>
      </c>
      <c r="N98" s="279">
        <v>0</v>
      </c>
      <c r="O98" s="279">
        <v>0</v>
      </c>
      <c r="P98" s="279">
        <v>0</v>
      </c>
      <c r="Q98" s="279">
        <v>0</v>
      </c>
      <c r="R98" s="279">
        <v>0</v>
      </c>
      <c r="S98" s="281">
        <v>0</v>
      </c>
      <c r="T98" s="280">
        <v>0.75</v>
      </c>
      <c r="U98" s="229">
        <v>1</v>
      </c>
      <c r="V98" s="222">
        <v>0</v>
      </c>
    </row>
    <row r="99" spans="1:22" customFormat="1" x14ac:dyDescent="0.25">
      <c r="A99" s="214">
        <v>33</v>
      </c>
      <c r="B99" s="215" t="s">
        <v>351</v>
      </c>
      <c r="C99" s="278" t="s">
        <v>314</v>
      </c>
      <c r="D99" s="277" t="s">
        <v>313</v>
      </c>
      <c r="E99" s="215" t="s">
        <v>380</v>
      </c>
      <c r="F99" s="216" t="s">
        <v>381</v>
      </c>
      <c r="G99" s="279">
        <v>0</v>
      </c>
      <c r="H99" s="279">
        <v>0</v>
      </c>
      <c r="I99" s="279">
        <v>0</v>
      </c>
      <c r="J99" s="279">
        <v>0</v>
      </c>
      <c r="K99" s="279">
        <v>0</v>
      </c>
      <c r="L99" s="279">
        <v>0</v>
      </c>
      <c r="M99" s="279">
        <v>0</v>
      </c>
      <c r="N99" s="279">
        <v>0</v>
      </c>
      <c r="O99" s="279">
        <v>0</v>
      </c>
      <c r="P99" s="279">
        <v>0</v>
      </c>
      <c r="Q99" s="279">
        <v>0</v>
      </c>
      <c r="R99" s="279">
        <v>0</v>
      </c>
      <c r="S99" s="281">
        <v>0</v>
      </c>
      <c r="T99" s="280">
        <v>0.75</v>
      </c>
      <c r="U99" s="222">
        <v>0</v>
      </c>
      <c r="V99" s="222">
        <v>0</v>
      </c>
    </row>
    <row r="100" spans="1:22" customFormat="1" x14ac:dyDescent="0.25">
      <c r="A100" s="214">
        <v>33</v>
      </c>
      <c r="B100" s="215" t="s">
        <v>351</v>
      </c>
      <c r="C100" s="278" t="s">
        <v>314</v>
      </c>
      <c r="D100" s="277" t="s">
        <v>313</v>
      </c>
      <c r="E100" s="215" t="s">
        <v>382</v>
      </c>
      <c r="F100" s="216" t="s">
        <v>383</v>
      </c>
      <c r="G100" s="279">
        <v>0</v>
      </c>
      <c r="H100" s="279">
        <v>0</v>
      </c>
      <c r="I100" s="279">
        <v>0</v>
      </c>
      <c r="J100" s="279">
        <v>0</v>
      </c>
      <c r="K100" s="279">
        <v>0</v>
      </c>
      <c r="L100" s="279">
        <v>0</v>
      </c>
      <c r="M100" s="279">
        <v>0</v>
      </c>
      <c r="N100" s="279">
        <v>0</v>
      </c>
      <c r="O100" s="279">
        <v>0</v>
      </c>
      <c r="P100" s="279">
        <v>0</v>
      </c>
      <c r="Q100" s="279">
        <v>0</v>
      </c>
      <c r="R100" s="279">
        <v>0</v>
      </c>
      <c r="S100" s="281">
        <v>0</v>
      </c>
      <c r="T100" s="280">
        <v>0.75</v>
      </c>
      <c r="U100" s="222">
        <v>0</v>
      </c>
      <c r="V100" s="229">
        <v>-1</v>
      </c>
    </row>
    <row r="101" spans="1:22" customFormat="1" x14ac:dyDescent="0.25">
      <c r="A101" s="214">
        <v>33</v>
      </c>
      <c r="B101" s="215" t="s">
        <v>351</v>
      </c>
      <c r="C101" s="278" t="s">
        <v>314</v>
      </c>
      <c r="D101" s="277" t="s">
        <v>313</v>
      </c>
      <c r="E101" s="215" t="s">
        <v>384</v>
      </c>
      <c r="F101" s="216" t="s">
        <v>385</v>
      </c>
      <c r="G101" s="279">
        <v>0</v>
      </c>
      <c r="H101" s="279">
        <v>0</v>
      </c>
      <c r="I101" s="279">
        <v>0</v>
      </c>
      <c r="J101" s="279">
        <v>0</v>
      </c>
      <c r="K101" s="279">
        <v>0</v>
      </c>
      <c r="L101" s="279">
        <v>0</v>
      </c>
      <c r="M101" s="279">
        <v>0</v>
      </c>
      <c r="N101" s="279">
        <v>0</v>
      </c>
      <c r="O101" s="279">
        <v>0</v>
      </c>
      <c r="P101" s="279">
        <v>0</v>
      </c>
      <c r="Q101" s="279">
        <v>0</v>
      </c>
      <c r="R101" s="279">
        <v>0</v>
      </c>
      <c r="S101" s="281">
        <v>0</v>
      </c>
      <c r="T101" s="280">
        <v>0.75</v>
      </c>
      <c r="U101" s="222">
        <v>0</v>
      </c>
      <c r="V101" s="229">
        <v>1</v>
      </c>
    </row>
    <row r="102" spans="1:22" customFormat="1" x14ac:dyDescent="0.25">
      <c r="A102" s="214">
        <v>33</v>
      </c>
      <c r="B102" s="215" t="s">
        <v>351</v>
      </c>
      <c r="C102" s="375" t="s">
        <v>314</v>
      </c>
      <c r="D102" s="277" t="s">
        <v>313</v>
      </c>
      <c r="E102" s="215" t="s">
        <v>386</v>
      </c>
      <c r="F102" s="216" t="s">
        <v>387</v>
      </c>
      <c r="G102" s="376">
        <v>2.0499999999999998</v>
      </c>
      <c r="H102" s="376">
        <v>2.0499999999999998</v>
      </c>
      <c r="I102" s="376">
        <v>2.0499999999999998</v>
      </c>
      <c r="J102" s="376">
        <v>2.0499999999999998</v>
      </c>
      <c r="K102" s="376">
        <v>2.0499999999999998</v>
      </c>
      <c r="L102" s="376">
        <v>2.0499999999999998</v>
      </c>
      <c r="M102" s="376">
        <v>2.0499999999999998</v>
      </c>
      <c r="N102" s="376">
        <v>2.0499999999999998</v>
      </c>
      <c r="O102" s="376">
        <v>2.0499999999999998</v>
      </c>
      <c r="P102" s="376">
        <v>2.0499999999999998</v>
      </c>
      <c r="Q102" s="376">
        <v>2.0499999999999998</v>
      </c>
      <c r="R102" s="376">
        <v>2.0499999999999998</v>
      </c>
      <c r="S102" s="378">
        <v>24.599999999999998</v>
      </c>
      <c r="T102" s="377">
        <v>0.75</v>
      </c>
      <c r="U102" s="229">
        <v>1</v>
      </c>
      <c r="V102" s="222">
        <v>0</v>
      </c>
    </row>
    <row r="103" spans="1:22" customFormat="1" x14ac:dyDescent="0.25">
      <c r="A103" s="214">
        <v>33</v>
      </c>
      <c r="B103" s="215" t="s">
        <v>389</v>
      </c>
      <c r="C103" s="375" t="s">
        <v>314</v>
      </c>
      <c r="D103" s="277" t="s">
        <v>313</v>
      </c>
      <c r="E103" s="215" t="s">
        <v>388</v>
      </c>
      <c r="F103" s="216" t="s">
        <v>112</v>
      </c>
      <c r="G103" s="376">
        <v>0.625</v>
      </c>
      <c r="H103" s="376">
        <v>0.625</v>
      </c>
      <c r="I103" s="376">
        <v>0.625</v>
      </c>
      <c r="J103" s="376">
        <v>0.625</v>
      </c>
      <c r="K103" s="376">
        <v>0.625</v>
      </c>
      <c r="L103" s="376">
        <v>0.625</v>
      </c>
      <c r="M103" s="376">
        <v>0.625</v>
      </c>
      <c r="N103" s="376">
        <v>0.625</v>
      </c>
      <c r="O103" s="376">
        <v>0.625</v>
      </c>
      <c r="P103" s="279">
        <v>0.625</v>
      </c>
      <c r="Q103" s="279">
        <v>0.625</v>
      </c>
      <c r="R103" s="279">
        <v>0.625</v>
      </c>
      <c r="S103" s="378">
        <v>7.5</v>
      </c>
      <c r="T103" s="280">
        <v>0.75</v>
      </c>
      <c r="U103" s="222">
        <v>0</v>
      </c>
      <c r="V103" s="229">
        <v>-1</v>
      </c>
    </row>
    <row r="104" spans="1:22" customFormat="1" x14ac:dyDescent="0.25">
      <c r="A104" s="214">
        <v>33</v>
      </c>
      <c r="B104" s="215" t="s">
        <v>351</v>
      </c>
      <c r="C104" s="278" t="s">
        <v>314</v>
      </c>
      <c r="D104" s="277" t="s">
        <v>313</v>
      </c>
      <c r="E104" s="215" t="s">
        <v>390</v>
      </c>
      <c r="F104" s="216" t="s">
        <v>391</v>
      </c>
      <c r="G104" s="279">
        <v>0</v>
      </c>
      <c r="H104" s="279">
        <v>0</v>
      </c>
      <c r="I104" s="279">
        <v>0</v>
      </c>
      <c r="J104" s="279">
        <v>0</v>
      </c>
      <c r="K104" s="279">
        <v>0</v>
      </c>
      <c r="L104" s="279">
        <v>0</v>
      </c>
      <c r="M104" s="279">
        <v>0</v>
      </c>
      <c r="N104" s="279">
        <v>0</v>
      </c>
      <c r="O104" s="279">
        <v>0</v>
      </c>
      <c r="P104" s="279">
        <v>0</v>
      </c>
      <c r="Q104" s="279">
        <v>0</v>
      </c>
      <c r="R104" s="279">
        <v>0</v>
      </c>
      <c r="S104" s="281">
        <v>0</v>
      </c>
      <c r="T104" s="280">
        <v>0.75</v>
      </c>
      <c r="U104" s="222">
        <v>0</v>
      </c>
      <c r="V104" s="229">
        <v>1</v>
      </c>
    </row>
    <row r="105" spans="1:22" customFormat="1" x14ac:dyDescent="0.25">
      <c r="A105" s="214">
        <v>33</v>
      </c>
      <c r="B105" s="215" t="s">
        <v>393</v>
      </c>
      <c r="C105" s="278" t="s">
        <v>314</v>
      </c>
      <c r="D105" s="277" t="s">
        <v>313</v>
      </c>
      <c r="E105" s="215" t="s">
        <v>392</v>
      </c>
      <c r="F105" s="216" t="s">
        <v>394</v>
      </c>
      <c r="G105" s="279">
        <v>1.3912500000000001</v>
      </c>
      <c r="H105" s="279">
        <v>1.3912500000000001</v>
      </c>
      <c r="I105" s="279">
        <v>1.3912500000000001</v>
      </c>
      <c r="J105" s="279">
        <v>1.3912500000000001</v>
      </c>
      <c r="K105" s="279">
        <v>1.3912500000000001</v>
      </c>
      <c r="L105" s="279">
        <v>1.3912500000000001</v>
      </c>
      <c r="M105" s="279">
        <v>1.3912500000000001</v>
      </c>
      <c r="N105" s="279">
        <v>1.3912500000000001</v>
      </c>
      <c r="O105" s="279">
        <v>1.3912500000000001</v>
      </c>
      <c r="P105" s="279">
        <v>1.3912500000000001</v>
      </c>
      <c r="Q105" s="279">
        <v>1.3912500000000001</v>
      </c>
      <c r="R105" s="279">
        <v>1.3912500000000001</v>
      </c>
      <c r="S105" s="281">
        <v>16.695</v>
      </c>
      <c r="T105" s="280">
        <v>0.75</v>
      </c>
      <c r="U105" s="222">
        <v>1</v>
      </c>
      <c r="V105" s="222">
        <v>0</v>
      </c>
    </row>
    <row r="106" spans="1:22" customFormat="1" x14ac:dyDescent="0.25">
      <c r="A106" s="214">
        <v>28</v>
      </c>
      <c r="B106" s="215" t="s">
        <v>247</v>
      </c>
      <c r="C106" s="407" t="s">
        <v>304</v>
      </c>
      <c r="D106" s="274" t="s">
        <v>303</v>
      </c>
      <c r="E106" s="215" t="s">
        <v>246</v>
      </c>
      <c r="F106" s="216" t="s">
        <v>248</v>
      </c>
      <c r="G106" s="275">
        <v>21.940367787006416</v>
      </c>
      <c r="H106" s="275">
        <v>19.397277305415663</v>
      </c>
      <c r="I106" s="275">
        <v>29.462669730633827</v>
      </c>
      <c r="J106" s="275">
        <v>34.452476579625845</v>
      </c>
      <c r="K106" s="275">
        <v>41.318416430850803</v>
      </c>
      <c r="L106" s="275">
        <v>51.436262717285054</v>
      </c>
      <c r="M106" s="275">
        <v>77.453946497609408</v>
      </c>
      <c r="N106" s="275">
        <v>56.288663615924968</v>
      </c>
      <c r="O106" s="275">
        <v>42.69050507001328</v>
      </c>
      <c r="P106" s="275">
        <v>75.659858785144166</v>
      </c>
      <c r="Q106" s="275">
        <v>66.176829639352306</v>
      </c>
      <c r="R106" s="275">
        <v>35.52272584113831</v>
      </c>
      <c r="S106" s="412">
        <v>551.79999999999995</v>
      </c>
      <c r="T106" s="276">
        <v>2.2969840093552447</v>
      </c>
      <c r="U106" s="222">
        <v>0</v>
      </c>
      <c r="V106" s="222">
        <v>0</v>
      </c>
    </row>
    <row r="107" spans="1:22" customFormat="1" x14ac:dyDescent="0.25">
      <c r="A107" s="214">
        <v>28</v>
      </c>
      <c r="B107" s="215" t="s">
        <v>332</v>
      </c>
      <c r="C107" s="407" t="s">
        <v>304</v>
      </c>
      <c r="D107" s="274" t="s">
        <v>303</v>
      </c>
      <c r="E107" s="215" t="s">
        <v>331</v>
      </c>
      <c r="F107" s="216" t="s">
        <v>333</v>
      </c>
      <c r="G107" s="275">
        <v>6.6584349877241005</v>
      </c>
      <c r="H107" s="275">
        <v>6.1953497432339066</v>
      </c>
      <c r="I107" s="275">
        <v>7.5769537017892139</v>
      </c>
      <c r="J107" s="275">
        <v>8.7938684408537675</v>
      </c>
      <c r="K107" s="275">
        <v>10.966748275089051</v>
      </c>
      <c r="L107" s="275">
        <v>14.02250582884365</v>
      </c>
      <c r="M107" s="275">
        <v>14.169380793442759</v>
      </c>
      <c r="N107" s="275">
        <v>11.504924595836284</v>
      </c>
      <c r="O107" s="275">
        <v>9.6962396890724456</v>
      </c>
      <c r="P107" s="275">
        <v>9.2339487862695808</v>
      </c>
      <c r="Q107" s="275">
        <v>8.9272480650212298</v>
      </c>
      <c r="R107" s="275">
        <v>7.4343970928240379</v>
      </c>
      <c r="S107" s="412">
        <v>115.18</v>
      </c>
      <c r="T107" s="276">
        <v>0.68667571132307392</v>
      </c>
      <c r="U107" s="222">
        <v>-1</v>
      </c>
      <c r="V107" s="229">
        <v>1</v>
      </c>
    </row>
    <row r="108" spans="1:22" customFormat="1" x14ac:dyDescent="0.25">
      <c r="A108" s="214">
        <v>28</v>
      </c>
      <c r="B108" s="215" t="s">
        <v>335</v>
      </c>
      <c r="C108" s="407" t="s">
        <v>304</v>
      </c>
      <c r="D108" s="274" t="s">
        <v>303</v>
      </c>
      <c r="E108" s="215" t="s">
        <v>334</v>
      </c>
      <c r="F108" s="216" t="s">
        <v>336</v>
      </c>
      <c r="G108" s="275">
        <v>1.7600390643527617</v>
      </c>
      <c r="H108" s="275">
        <v>0.10240744485915812</v>
      </c>
      <c r="I108" s="275">
        <v>0</v>
      </c>
      <c r="J108" s="275">
        <v>0</v>
      </c>
      <c r="K108" s="275">
        <v>0</v>
      </c>
      <c r="L108" s="275">
        <v>0</v>
      </c>
      <c r="M108" s="275">
        <v>8.6561561557207234E-2</v>
      </c>
      <c r="N108" s="275">
        <v>11.919634880338361</v>
      </c>
      <c r="O108" s="275">
        <v>18.056688334120469</v>
      </c>
      <c r="P108" s="275">
        <v>18.611065425449841</v>
      </c>
      <c r="Q108" s="275">
        <v>15.776232956648997</v>
      </c>
      <c r="R108" s="275">
        <v>5.947370332673195</v>
      </c>
      <c r="S108" s="412">
        <v>72.260000000000005</v>
      </c>
      <c r="T108" s="276">
        <v>1.0429103802073161</v>
      </c>
      <c r="U108" s="222">
        <v>0</v>
      </c>
      <c r="V108" s="222">
        <v>0</v>
      </c>
    </row>
    <row r="109" spans="1:22" customFormat="1" x14ac:dyDescent="0.25">
      <c r="A109" s="214">
        <v>28</v>
      </c>
      <c r="B109" s="215" t="s">
        <v>351</v>
      </c>
      <c r="C109" s="407" t="s">
        <v>304</v>
      </c>
      <c r="D109" s="274" t="s">
        <v>303</v>
      </c>
      <c r="E109" s="215" t="s">
        <v>350</v>
      </c>
      <c r="F109" s="216" t="s">
        <v>352</v>
      </c>
      <c r="G109" s="275">
        <v>0</v>
      </c>
      <c r="H109" s="275">
        <v>0</v>
      </c>
      <c r="I109" s="275">
        <v>0</v>
      </c>
      <c r="J109" s="275">
        <v>0</v>
      </c>
      <c r="K109" s="275">
        <v>0</v>
      </c>
      <c r="L109" s="275">
        <v>0</v>
      </c>
      <c r="M109" s="275">
        <v>0</v>
      </c>
      <c r="N109" s="275">
        <v>0</v>
      </c>
      <c r="O109" s="275">
        <v>0</v>
      </c>
      <c r="P109" s="275">
        <v>0</v>
      </c>
      <c r="Q109" s="275">
        <v>0</v>
      </c>
      <c r="R109" s="275">
        <v>0</v>
      </c>
      <c r="S109" s="412">
        <v>0</v>
      </c>
      <c r="T109" s="276">
        <v>0</v>
      </c>
      <c r="U109" s="222">
        <v>0</v>
      </c>
      <c r="V109" s="222">
        <v>0</v>
      </c>
    </row>
    <row r="110" spans="1:22" customFormat="1" x14ac:dyDescent="0.25">
      <c r="A110" s="214">
        <v>28</v>
      </c>
      <c r="B110" s="215" t="s">
        <v>351</v>
      </c>
      <c r="C110" s="407" t="s">
        <v>304</v>
      </c>
      <c r="D110" s="274" t="s">
        <v>303</v>
      </c>
      <c r="E110" s="215" t="s">
        <v>379</v>
      </c>
      <c r="F110" s="216" t="s">
        <v>16</v>
      </c>
      <c r="G110" s="275">
        <v>0</v>
      </c>
      <c r="H110" s="275">
        <v>0</v>
      </c>
      <c r="I110" s="275">
        <v>0</v>
      </c>
      <c r="J110" s="275">
        <v>0</v>
      </c>
      <c r="K110" s="275">
        <v>0</v>
      </c>
      <c r="L110" s="275">
        <v>0</v>
      </c>
      <c r="M110" s="275">
        <v>0</v>
      </c>
      <c r="N110" s="275">
        <v>0</v>
      </c>
      <c r="O110" s="275">
        <v>0</v>
      </c>
      <c r="P110" s="275">
        <v>0</v>
      </c>
      <c r="Q110" s="275">
        <v>0</v>
      </c>
      <c r="R110" s="275">
        <v>0</v>
      </c>
      <c r="S110" s="412">
        <v>0</v>
      </c>
      <c r="T110" s="276">
        <v>0</v>
      </c>
      <c r="U110" s="229">
        <v>0</v>
      </c>
      <c r="V110" s="222">
        <v>0</v>
      </c>
    </row>
    <row r="111" spans="1:22" customFormat="1" x14ac:dyDescent="0.25">
      <c r="A111" s="214">
        <v>28</v>
      </c>
      <c r="B111" s="215" t="s">
        <v>335</v>
      </c>
      <c r="C111" s="407" t="s">
        <v>304</v>
      </c>
      <c r="D111" s="274" t="s">
        <v>303</v>
      </c>
      <c r="E111" s="215" t="s">
        <v>348</v>
      </c>
      <c r="F111" s="216" t="s">
        <v>349</v>
      </c>
      <c r="G111" s="275">
        <v>0.53801203133503239</v>
      </c>
      <c r="H111" s="275">
        <v>0.57469933836705556</v>
      </c>
      <c r="I111" s="275">
        <v>1.1574420452828351</v>
      </c>
      <c r="J111" s="275">
        <v>1.168802427125142</v>
      </c>
      <c r="K111" s="275">
        <v>1.5778040854975941</v>
      </c>
      <c r="L111" s="275">
        <v>3.65711311992892</v>
      </c>
      <c r="M111" s="275">
        <v>5.1936916861406894</v>
      </c>
      <c r="N111" s="275">
        <v>2.1790517295647112</v>
      </c>
      <c r="O111" s="275">
        <v>0.82520537653079851</v>
      </c>
      <c r="P111" s="275">
        <v>0.64501524086873785</v>
      </c>
      <c r="Q111" s="275">
        <v>0.65544005584498177</v>
      </c>
      <c r="R111" s="275">
        <v>0.54772286351350108</v>
      </c>
      <c r="S111" s="412">
        <v>18.72</v>
      </c>
      <c r="T111" s="276">
        <v>0.33937350675667</v>
      </c>
      <c r="U111" s="222">
        <v>0</v>
      </c>
      <c r="V111" s="222">
        <v>0</v>
      </c>
    </row>
    <row r="112" spans="1:22" customFormat="1" x14ac:dyDescent="0.25">
      <c r="A112" s="214">
        <v>28</v>
      </c>
      <c r="B112" s="215" t="s">
        <v>351</v>
      </c>
      <c r="C112" s="407" t="s">
        <v>304</v>
      </c>
      <c r="D112" s="274" t="s">
        <v>303</v>
      </c>
      <c r="E112" s="215" t="s">
        <v>380</v>
      </c>
      <c r="F112" s="216" t="s">
        <v>381</v>
      </c>
      <c r="G112" s="275">
        <v>0</v>
      </c>
      <c r="H112" s="275">
        <v>0</v>
      </c>
      <c r="I112" s="275">
        <v>0</v>
      </c>
      <c r="J112" s="275">
        <v>0</v>
      </c>
      <c r="K112" s="275">
        <v>0</v>
      </c>
      <c r="L112" s="275">
        <v>0</v>
      </c>
      <c r="M112" s="275">
        <v>0</v>
      </c>
      <c r="N112" s="275">
        <v>0</v>
      </c>
      <c r="O112" s="275">
        <v>0</v>
      </c>
      <c r="P112" s="275">
        <v>0</v>
      </c>
      <c r="Q112" s="275">
        <v>0</v>
      </c>
      <c r="R112" s="275">
        <v>0</v>
      </c>
      <c r="S112" s="412">
        <v>0</v>
      </c>
      <c r="T112" s="276">
        <v>0</v>
      </c>
      <c r="U112" s="222">
        <v>0</v>
      </c>
      <c r="V112" s="222">
        <v>0</v>
      </c>
    </row>
    <row r="113" spans="1:22" customFormat="1" x14ac:dyDescent="0.25">
      <c r="A113" s="214">
        <v>28</v>
      </c>
      <c r="B113" s="215" t="s">
        <v>351</v>
      </c>
      <c r="C113" s="407" t="s">
        <v>304</v>
      </c>
      <c r="D113" s="274" t="s">
        <v>303</v>
      </c>
      <c r="E113" s="215" t="s">
        <v>382</v>
      </c>
      <c r="F113" s="216" t="s">
        <v>383</v>
      </c>
      <c r="G113" s="275">
        <v>0</v>
      </c>
      <c r="H113" s="275">
        <v>0</v>
      </c>
      <c r="I113" s="275">
        <v>0</v>
      </c>
      <c r="J113" s="275">
        <v>0</v>
      </c>
      <c r="K113" s="275">
        <v>0</v>
      </c>
      <c r="L113" s="275">
        <v>0</v>
      </c>
      <c r="M113" s="275">
        <v>0</v>
      </c>
      <c r="N113" s="275">
        <v>0</v>
      </c>
      <c r="O113" s="275">
        <v>0</v>
      </c>
      <c r="P113" s="275">
        <v>0</v>
      </c>
      <c r="Q113" s="275">
        <v>0</v>
      </c>
      <c r="R113" s="275">
        <v>0</v>
      </c>
      <c r="S113" s="412">
        <v>0</v>
      </c>
      <c r="T113" s="276">
        <v>0</v>
      </c>
      <c r="U113" s="222">
        <v>0</v>
      </c>
      <c r="V113" s="222">
        <v>0</v>
      </c>
    </row>
    <row r="114" spans="1:22" customFormat="1" x14ac:dyDescent="0.25">
      <c r="A114" s="214">
        <v>28</v>
      </c>
      <c r="B114" s="215" t="s">
        <v>351</v>
      </c>
      <c r="C114" s="407" t="s">
        <v>304</v>
      </c>
      <c r="D114" s="274" t="s">
        <v>303</v>
      </c>
      <c r="E114" s="215" t="s">
        <v>384</v>
      </c>
      <c r="F114" s="216" t="s">
        <v>385</v>
      </c>
      <c r="G114" s="275">
        <v>0</v>
      </c>
      <c r="H114" s="275">
        <v>0</v>
      </c>
      <c r="I114" s="275">
        <v>0</v>
      </c>
      <c r="J114" s="275">
        <v>0</v>
      </c>
      <c r="K114" s="275">
        <v>0</v>
      </c>
      <c r="L114" s="275">
        <v>0</v>
      </c>
      <c r="M114" s="275">
        <v>0</v>
      </c>
      <c r="N114" s="275">
        <v>0</v>
      </c>
      <c r="O114" s="275">
        <v>0</v>
      </c>
      <c r="P114" s="275">
        <v>0</v>
      </c>
      <c r="Q114" s="275">
        <v>0</v>
      </c>
      <c r="R114" s="275">
        <v>0</v>
      </c>
      <c r="S114" s="412">
        <v>0</v>
      </c>
      <c r="T114" s="276">
        <v>0</v>
      </c>
      <c r="U114" s="229">
        <v>1</v>
      </c>
      <c r="V114" s="222">
        <v>-1</v>
      </c>
    </row>
    <row r="115" spans="1:22" customFormat="1" x14ac:dyDescent="0.25">
      <c r="A115" s="214">
        <v>28</v>
      </c>
      <c r="B115" s="215" t="s">
        <v>351</v>
      </c>
      <c r="C115" s="406" t="s">
        <v>304</v>
      </c>
      <c r="D115" s="274" t="s">
        <v>303</v>
      </c>
      <c r="E115" s="215" t="s">
        <v>386</v>
      </c>
      <c r="F115" s="216" t="s">
        <v>387</v>
      </c>
      <c r="G115" s="373">
        <v>0.43060280647926735</v>
      </c>
      <c r="H115" s="373">
        <v>0</v>
      </c>
      <c r="I115" s="373">
        <v>0</v>
      </c>
      <c r="J115" s="373">
        <v>0</v>
      </c>
      <c r="K115" s="373">
        <v>0</v>
      </c>
      <c r="L115" s="373">
        <v>0</v>
      </c>
      <c r="M115" s="373">
        <v>0.13623990434507965</v>
      </c>
      <c r="N115" s="373">
        <v>1.5508760095654919</v>
      </c>
      <c r="O115" s="373">
        <v>6.9764713712042594</v>
      </c>
      <c r="P115" s="373">
        <v>10.171403014032398</v>
      </c>
      <c r="Q115" s="373">
        <v>8.7108830032035378</v>
      </c>
      <c r="R115" s="373">
        <v>3.312817984929838</v>
      </c>
      <c r="S115" s="414">
        <v>31.290000000000003</v>
      </c>
      <c r="T115" s="374">
        <v>0.70590624012994641</v>
      </c>
      <c r="U115" s="222">
        <v>0</v>
      </c>
      <c r="V115" s="222">
        <v>0</v>
      </c>
    </row>
    <row r="116" spans="1:22" customFormat="1" x14ac:dyDescent="0.25">
      <c r="A116" s="214">
        <v>28</v>
      </c>
      <c r="B116" s="215" t="s">
        <v>389</v>
      </c>
      <c r="C116" s="406" t="s">
        <v>304</v>
      </c>
      <c r="D116" s="274" t="s">
        <v>303</v>
      </c>
      <c r="E116" s="215" t="s">
        <v>388</v>
      </c>
      <c r="F116" s="216" t="s">
        <v>112</v>
      </c>
      <c r="G116" s="373">
        <v>2.0597587270011517</v>
      </c>
      <c r="H116" s="373">
        <v>3.0640183763719877</v>
      </c>
      <c r="I116" s="373">
        <v>5.5760622805298956</v>
      </c>
      <c r="J116" s="373">
        <v>6.338911698990322</v>
      </c>
      <c r="K116" s="373">
        <v>6.7630898079840271</v>
      </c>
      <c r="L116" s="373">
        <v>9.6219645487009888</v>
      </c>
      <c r="M116" s="373">
        <v>11.103639464736299</v>
      </c>
      <c r="N116" s="373">
        <v>7.9948314233540385</v>
      </c>
      <c r="O116" s="373">
        <v>1.8494795313280821</v>
      </c>
      <c r="P116" s="275">
        <v>4.2001907570137762</v>
      </c>
      <c r="Q116" s="275">
        <v>1.2953578040423659</v>
      </c>
      <c r="R116" s="275">
        <v>1.1326955799470395</v>
      </c>
      <c r="S116" s="414">
        <v>61</v>
      </c>
      <c r="T116" s="276">
        <v>0.98764771539645835</v>
      </c>
      <c r="U116" s="222">
        <v>0</v>
      </c>
      <c r="V116" s="222">
        <v>0</v>
      </c>
    </row>
    <row r="117" spans="1:22" customFormat="1" x14ac:dyDescent="0.25">
      <c r="A117" s="214">
        <v>28</v>
      </c>
      <c r="B117" s="215" t="s">
        <v>351</v>
      </c>
      <c r="C117" s="407" t="s">
        <v>304</v>
      </c>
      <c r="D117" s="274" t="s">
        <v>303</v>
      </c>
      <c r="E117" s="215" t="s">
        <v>390</v>
      </c>
      <c r="F117" s="216" t="s">
        <v>391</v>
      </c>
      <c r="G117" s="275">
        <v>0</v>
      </c>
      <c r="H117" s="275">
        <v>0</v>
      </c>
      <c r="I117" s="275">
        <v>0</v>
      </c>
      <c r="J117" s="275">
        <v>0</v>
      </c>
      <c r="K117" s="275">
        <v>0</v>
      </c>
      <c r="L117" s="275">
        <v>0</v>
      </c>
      <c r="M117" s="275">
        <v>0</v>
      </c>
      <c r="N117" s="275">
        <v>0</v>
      </c>
      <c r="O117" s="275">
        <v>0</v>
      </c>
      <c r="P117" s="275">
        <v>0</v>
      </c>
      <c r="Q117" s="275">
        <v>0</v>
      </c>
      <c r="R117" s="275">
        <v>0</v>
      </c>
      <c r="S117" s="412">
        <v>0</v>
      </c>
      <c r="T117" s="276">
        <v>0</v>
      </c>
      <c r="U117" s="222">
        <v>0</v>
      </c>
      <c r="V117" s="222">
        <v>0</v>
      </c>
    </row>
    <row r="118" spans="1:22" customFormat="1" x14ac:dyDescent="0.25">
      <c r="A118" s="214">
        <v>28</v>
      </c>
      <c r="B118" s="215" t="s">
        <v>393</v>
      </c>
      <c r="C118" s="407" t="s">
        <v>304</v>
      </c>
      <c r="D118" s="274" t="s">
        <v>303</v>
      </c>
      <c r="E118" s="215" t="s">
        <v>392</v>
      </c>
      <c r="F118" s="216" t="s">
        <v>394</v>
      </c>
      <c r="G118" s="275">
        <v>2.834562309042982E-2</v>
      </c>
      <c r="H118" s="275">
        <v>3.6082581321478326E-2</v>
      </c>
      <c r="I118" s="275">
        <v>6.0831580708993575E-2</v>
      </c>
      <c r="J118" s="275">
        <v>9.3843007295678627E-2</v>
      </c>
      <c r="K118" s="275">
        <v>0.13161911684066008</v>
      </c>
      <c r="L118" s="275">
        <v>0.21481671041726588</v>
      </c>
      <c r="M118" s="275">
        <v>0.21555252216376564</v>
      </c>
      <c r="N118" s="275">
        <v>0.40071321626735518</v>
      </c>
      <c r="O118" s="275">
        <v>0.55856611035038306</v>
      </c>
      <c r="P118" s="275">
        <v>0.75414376722561793</v>
      </c>
      <c r="Q118" s="275">
        <v>0.657961935048195</v>
      </c>
      <c r="R118" s="275">
        <v>0.25752382927017703</v>
      </c>
      <c r="S118" s="412">
        <v>3.41</v>
      </c>
      <c r="T118" s="276">
        <v>0.41663443263424871</v>
      </c>
      <c r="U118" s="222">
        <v>0</v>
      </c>
      <c r="V118" s="222">
        <v>1</v>
      </c>
    </row>
    <row r="119" spans="1:22" customFormat="1" x14ac:dyDescent="0.25">
      <c r="A119" s="214">
        <v>31</v>
      </c>
      <c r="B119" s="215" t="s">
        <v>247</v>
      </c>
      <c r="C119" s="278" t="s">
        <v>310</v>
      </c>
      <c r="D119" s="277" t="s">
        <v>309</v>
      </c>
      <c r="E119" s="215" t="s">
        <v>246</v>
      </c>
      <c r="F119" s="216" t="s">
        <v>248</v>
      </c>
      <c r="G119" s="279">
        <v>3.2910551680509621</v>
      </c>
      <c r="H119" s="279">
        <v>2.9095915958123495</v>
      </c>
      <c r="I119" s="279">
        <v>4.4194004595950735</v>
      </c>
      <c r="J119" s="279">
        <v>5.1678714869438762</v>
      </c>
      <c r="K119" s="279">
        <v>6.1977624646276199</v>
      </c>
      <c r="L119" s="279">
        <v>7.7154394075927577</v>
      </c>
      <c r="M119" s="279">
        <v>11.618091974641411</v>
      </c>
      <c r="N119" s="279">
        <v>8.4432995423887451</v>
      </c>
      <c r="O119" s="279">
        <v>6.4035757605019921</v>
      </c>
      <c r="P119" s="279">
        <v>11.348978817771625</v>
      </c>
      <c r="Q119" s="279">
        <v>9.9265244459028459</v>
      </c>
      <c r="R119" s="279">
        <v>5.3284088761707462</v>
      </c>
      <c r="S119" s="281">
        <v>82.77</v>
      </c>
      <c r="T119" s="280">
        <v>0.15</v>
      </c>
      <c r="U119" s="222">
        <v>0</v>
      </c>
      <c r="V119" s="222">
        <v>1</v>
      </c>
    </row>
    <row r="120" spans="1:22" customFormat="1" x14ac:dyDescent="0.25">
      <c r="A120" s="214">
        <v>31</v>
      </c>
      <c r="B120" s="215" t="s">
        <v>332</v>
      </c>
      <c r="C120" s="278" t="s">
        <v>310</v>
      </c>
      <c r="D120" s="277" t="s">
        <v>309</v>
      </c>
      <c r="E120" s="215" t="s">
        <v>331</v>
      </c>
      <c r="F120" s="216" t="s">
        <v>333</v>
      </c>
      <c r="G120" s="279">
        <v>0.998765248158615</v>
      </c>
      <c r="H120" s="279">
        <v>0.929302461485086</v>
      </c>
      <c r="I120" s="279">
        <v>1.136543055268382</v>
      </c>
      <c r="J120" s="279">
        <v>1.3190802661280652</v>
      </c>
      <c r="K120" s="279">
        <v>1.6450122412633577</v>
      </c>
      <c r="L120" s="279">
        <v>2.1033758743265474</v>
      </c>
      <c r="M120" s="279">
        <v>2.1254071190164137</v>
      </c>
      <c r="N120" s="279">
        <v>1.7257386893754425</v>
      </c>
      <c r="O120" s="279">
        <v>1.4544359533608668</v>
      </c>
      <c r="P120" s="279">
        <v>1.3850923179404371</v>
      </c>
      <c r="Q120" s="279">
        <v>1.3390872097531845</v>
      </c>
      <c r="R120" s="279">
        <v>1.1151595639236056</v>
      </c>
      <c r="S120" s="281">
        <v>17.277000000000001</v>
      </c>
      <c r="T120" s="280">
        <v>0.15</v>
      </c>
      <c r="U120" s="222">
        <v>0</v>
      </c>
      <c r="V120" s="222">
        <v>1</v>
      </c>
    </row>
    <row r="121" spans="1:22" customFormat="1" x14ac:dyDescent="0.25">
      <c r="A121" s="214">
        <v>31</v>
      </c>
      <c r="B121" s="215" t="s">
        <v>335</v>
      </c>
      <c r="C121" s="278" t="s">
        <v>310</v>
      </c>
      <c r="D121" s="277" t="s">
        <v>309</v>
      </c>
      <c r="E121" s="215" t="s">
        <v>334</v>
      </c>
      <c r="F121" s="216" t="s">
        <v>336</v>
      </c>
      <c r="G121" s="279">
        <v>0.26400585965291423</v>
      </c>
      <c r="H121" s="279">
        <v>1.5361116728873718E-2</v>
      </c>
      <c r="I121" s="279">
        <v>0</v>
      </c>
      <c r="J121" s="279">
        <v>0</v>
      </c>
      <c r="K121" s="279">
        <v>0</v>
      </c>
      <c r="L121" s="279">
        <v>0</v>
      </c>
      <c r="M121" s="279">
        <v>1.2984234233581084E-2</v>
      </c>
      <c r="N121" s="279">
        <v>1.7879452320507541</v>
      </c>
      <c r="O121" s="279">
        <v>2.7085032501180701</v>
      </c>
      <c r="P121" s="279">
        <v>2.7916598138174762</v>
      </c>
      <c r="Q121" s="279">
        <v>2.3664349434973495</v>
      </c>
      <c r="R121" s="279">
        <v>0.89210554990097923</v>
      </c>
      <c r="S121" s="281">
        <v>10.839</v>
      </c>
      <c r="T121" s="280">
        <v>0.15</v>
      </c>
      <c r="U121" s="222">
        <v>0</v>
      </c>
      <c r="V121" s="222">
        <v>-1</v>
      </c>
    </row>
    <row r="122" spans="1:22" customFormat="1" x14ac:dyDescent="0.25">
      <c r="A122" s="214">
        <v>31</v>
      </c>
      <c r="B122" s="215" t="s">
        <v>351</v>
      </c>
      <c r="C122" s="278" t="s">
        <v>310</v>
      </c>
      <c r="D122" s="277" t="s">
        <v>309</v>
      </c>
      <c r="E122" s="215" t="s">
        <v>350</v>
      </c>
      <c r="F122" s="216" t="s">
        <v>352</v>
      </c>
      <c r="G122" s="279">
        <v>0</v>
      </c>
      <c r="H122" s="279">
        <v>0</v>
      </c>
      <c r="I122" s="279">
        <v>0</v>
      </c>
      <c r="J122" s="279">
        <v>0</v>
      </c>
      <c r="K122" s="279">
        <v>0</v>
      </c>
      <c r="L122" s="279">
        <v>0</v>
      </c>
      <c r="M122" s="279">
        <v>0</v>
      </c>
      <c r="N122" s="279">
        <v>0</v>
      </c>
      <c r="O122" s="279">
        <v>0</v>
      </c>
      <c r="P122" s="279">
        <v>0</v>
      </c>
      <c r="Q122" s="279">
        <v>0</v>
      </c>
      <c r="R122" s="279">
        <v>0</v>
      </c>
      <c r="S122" s="281">
        <v>0</v>
      </c>
      <c r="T122" s="280">
        <v>0.15</v>
      </c>
      <c r="U122" s="222"/>
      <c r="V122" s="222"/>
    </row>
    <row r="123" spans="1:22" customFormat="1" x14ac:dyDescent="0.25">
      <c r="A123" s="214">
        <v>31</v>
      </c>
      <c r="B123" s="215" t="s">
        <v>351</v>
      </c>
      <c r="C123" s="278" t="s">
        <v>310</v>
      </c>
      <c r="D123" s="277" t="s">
        <v>309</v>
      </c>
      <c r="E123" s="215" t="s">
        <v>379</v>
      </c>
      <c r="F123" s="216" t="s">
        <v>16</v>
      </c>
      <c r="G123" s="279">
        <v>0</v>
      </c>
      <c r="H123" s="279">
        <v>0</v>
      </c>
      <c r="I123" s="279">
        <v>0</v>
      </c>
      <c r="J123" s="279">
        <v>0</v>
      </c>
      <c r="K123" s="279">
        <v>0</v>
      </c>
      <c r="L123" s="279">
        <v>0</v>
      </c>
      <c r="M123" s="279">
        <v>0</v>
      </c>
      <c r="N123" s="279">
        <v>0</v>
      </c>
      <c r="O123" s="279">
        <v>0</v>
      </c>
      <c r="P123" s="279">
        <v>0</v>
      </c>
      <c r="Q123" s="279">
        <v>0</v>
      </c>
      <c r="R123" s="279">
        <v>0</v>
      </c>
      <c r="S123" s="281">
        <v>0</v>
      </c>
      <c r="T123" s="280">
        <v>0.15</v>
      </c>
      <c r="U123" s="222"/>
      <c r="V123" s="222"/>
    </row>
    <row r="124" spans="1:22" customFormat="1" x14ac:dyDescent="0.25">
      <c r="A124" s="214">
        <v>31</v>
      </c>
      <c r="B124" s="215" t="s">
        <v>335</v>
      </c>
      <c r="C124" s="278" t="s">
        <v>310</v>
      </c>
      <c r="D124" s="277" t="s">
        <v>309</v>
      </c>
      <c r="E124" s="215" t="s">
        <v>348</v>
      </c>
      <c r="F124" s="216" t="s">
        <v>349</v>
      </c>
      <c r="G124" s="279">
        <v>8.0701804700254856E-2</v>
      </c>
      <c r="H124" s="279">
        <v>8.6204900755058336E-2</v>
      </c>
      <c r="I124" s="279">
        <v>0.17361630679242526</v>
      </c>
      <c r="J124" s="279">
        <v>0.1753203640687713</v>
      </c>
      <c r="K124" s="279">
        <v>0.23667061282463911</v>
      </c>
      <c r="L124" s="279">
        <v>0.54856696798933802</v>
      </c>
      <c r="M124" s="279">
        <v>0.77905375292110335</v>
      </c>
      <c r="N124" s="279">
        <v>0.32685775943470669</v>
      </c>
      <c r="O124" s="279">
        <v>0.12378080647961977</v>
      </c>
      <c r="P124" s="279">
        <v>9.6752286130310672E-2</v>
      </c>
      <c r="Q124" s="279">
        <v>9.8316008376747269E-2</v>
      </c>
      <c r="R124" s="279">
        <v>8.2158429527025165E-2</v>
      </c>
      <c r="S124" s="281">
        <v>2.8079999999999998</v>
      </c>
      <c r="T124" s="280">
        <v>0.15</v>
      </c>
      <c r="U124" s="222"/>
      <c r="V124" s="222"/>
    </row>
    <row r="125" spans="1:22" customFormat="1" x14ac:dyDescent="0.25">
      <c r="A125" s="214">
        <v>31</v>
      </c>
      <c r="B125" s="215" t="s">
        <v>351</v>
      </c>
      <c r="C125" s="278" t="s">
        <v>310</v>
      </c>
      <c r="D125" s="277" t="s">
        <v>309</v>
      </c>
      <c r="E125" s="215" t="s">
        <v>380</v>
      </c>
      <c r="F125" s="216" t="s">
        <v>381</v>
      </c>
      <c r="G125" s="279">
        <v>0</v>
      </c>
      <c r="H125" s="279">
        <v>0</v>
      </c>
      <c r="I125" s="279">
        <v>0</v>
      </c>
      <c r="J125" s="279">
        <v>0</v>
      </c>
      <c r="K125" s="279">
        <v>0</v>
      </c>
      <c r="L125" s="279">
        <v>0</v>
      </c>
      <c r="M125" s="279">
        <v>0</v>
      </c>
      <c r="N125" s="279">
        <v>0</v>
      </c>
      <c r="O125" s="279">
        <v>0</v>
      </c>
      <c r="P125" s="279">
        <v>0</v>
      </c>
      <c r="Q125" s="279">
        <v>0</v>
      </c>
      <c r="R125" s="279">
        <v>0</v>
      </c>
      <c r="S125" s="281">
        <v>0</v>
      </c>
      <c r="T125" s="280">
        <v>0.15</v>
      </c>
      <c r="U125" s="437"/>
      <c r="V125" s="437"/>
    </row>
    <row r="126" spans="1:22" customFormat="1" x14ac:dyDescent="0.25">
      <c r="A126" s="214">
        <v>31</v>
      </c>
      <c r="B126" s="215" t="s">
        <v>351</v>
      </c>
      <c r="C126" s="278" t="s">
        <v>310</v>
      </c>
      <c r="D126" s="277" t="s">
        <v>309</v>
      </c>
      <c r="E126" s="215" t="s">
        <v>382</v>
      </c>
      <c r="F126" s="216" t="s">
        <v>383</v>
      </c>
      <c r="G126" s="279">
        <v>0</v>
      </c>
      <c r="H126" s="279">
        <v>0</v>
      </c>
      <c r="I126" s="279">
        <v>0</v>
      </c>
      <c r="J126" s="279">
        <v>0</v>
      </c>
      <c r="K126" s="279">
        <v>0</v>
      </c>
      <c r="L126" s="279">
        <v>0</v>
      </c>
      <c r="M126" s="279">
        <v>0</v>
      </c>
      <c r="N126" s="279">
        <v>0</v>
      </c>
      <c r="O126" s="279">
        <v>0</v>
      </c>
      <c r="P126" s="279">
        <v>0</v>
      </c>
      <c r="Q126" s="279">
        <v>0</v>
      </c>
      <c r="R126" s="279">
        <v>0</v>
      </c>
      <c r="S126" s="281">
        <v>0</v>
      </c>
      <c r="T126" s="280">
        <v>0.15</v>
      </c>
      <c r="U126" s="222"/>
      <c r="V126" s="222"/>
    </row>
    <row r="127" spans="1:22" customFormat="1" x14ac:dyDescent="0.25">
      <c r="A127" s="214">
        <v>31</v>
      </c>
      <c r="B127" s="215" t="s">
        <v>351</v>
      </c>
      <c r="C127" s="278" t="s">
        <v>310</v>
      </c>
      <c r="D127" s="277" t="s">
        <v>309</v>
      </c>
      <c r="E127" s="215" t="s">
        <v>384</v>
      </c>
      <c r="F127" s="216" t="s">
        <v>385</v>
      </c>
      <c r="G127" s="279">
        <v>0</v>
      </c>
      <c r="H127" s="279">
        <v>0</v>
      </c>
      <c r="I127" s="279">
        <v>0</v>
      </c>
      <c r="J127" s="279">
        <v>0</v>
      </c>
      <c r="K127" s="279">
        <v>0</v>
      </c>
      <c r="L127" s="279">
        <v>0</v>
      </c>
      <c r="M127" s="279">
        <v>0</v>
      </c>
      <c r="N127" s="279">
        <v>0</v>
      </c>
      <c r="O127" s="279">
        <v>0</v>
      </c>
      <c r="P127" s="279">
        <v>0</v>
      </c>
      <c r="Q127" s="279">
        <v>0</v>
      </c>
      <c r="R127" s="279">
        <v>0</v>
      </c>
      <c r="S127" s="281">
        <v>0</v>
      </c>
      <c r="T127" s="280">
        <v>0.15</v>
      </c>
      <c r="U127" s="222"/>
      <c r="V127" s="222"/>
    </row>
    <row r="128" spans="1:22" customFormat="1" x14ac:dyDescent="0.25">
      <c r="A128" s="214">
        <v>31</v>
      </c>
      <c r="B128" s="215" t="s">
        <v>351</v>
      </c>
      <c r="C128" s="375" t="s">
        <v>310</v>
      </c>
      <c r="D128" s="277" t="s">
        <v>309</v>
      </c>
      <c r="E128" s="215" t="s">
        <v>386</v>
      </c>
      <c r="F128" s="216" t="s">
        <v>387</v>
      </c>
      <c r="G128" s="376">
        <v>6.4590420971890106E-2</v>
      </c>
      <c r="H128" s="376">
        <v>0</v>
      </c>
      <c r="I128" s="376">
        <v>0</v>
      </c>
      <c r="J128" s="376">
        <v>0</v>
      </c>
      <c r="K128" s="376">
        <v>0</v>
      </c>
      <c r="L128" s="376">
        <v>0</v>
      </c>
      <c r="M128" s="376">
        <v>2.0435985651761947E-2</v>
      </c>
      <c r="N128" s="376">
        <v>0.23263140143482378</v>
      </c>
      <c r="O128" s="376">
        <v>1.0464707056806388</v>
      </c>
      <c r="P128" s="376">
        <v>1.5257104521048597</v>
      </c>
      <c r="Q128" s="376">
        <v>1.3066324504805307</v>
      </c>
      <c r="R128" s="376">
        <v>0.49692269773947567</v>
      </c>
      <c r="S128" s="378">
        <v>4.6935000000000002</v>
      </c>
      <c r="T128" s="377">
        <v>0.15</v>
      </c>
      <c r="U128" s="222"/>
      <c r="V128" s="222"/>
    </row>
    <row r="129" spans="1:22" customFormat="1" x14ac:dyDescent="0.25">
      <c r="A129" s="214">
        <v>31</v>
      </c>
      <c r="B129" s="215" t="s">
        <v>389</v>
      </c>
      <c r="C129" s="375" t="s">
        <v>310</v>
      </c>
      <c r="D129" s="277" t="s">
        <v>309</v>
      </c>
      <c r="E129" s="215" t="s">
        <v>388</v>
      </c>
      <c r="F129" s="216" t="s">
        <v>112</v>
      </c>
      <c r="G129" s="376">
        <v>0.30896380905017273</v>
      </c>
      <c r="H129" s="376">
        <v>0.45960275645579812</v>
      </c>
      <c r="I129" s="376">
        <v>0.83640934207948436</v>
      </c>
      <c r="J129" s="376">
        <v>0.95083675484854824</v>
      </c>
      <c r="K129" s="376">
        <v>1.0144634711976039</v>
      </c>
      <c r="L129" s="376">
        <v>1.4432946823051482</v>
      </c>
      <c r="M129" s="376">
        <v>1.6655459197104447</v>
      </c>
      <c r="N129" s="376">
        <v>1.1992247135031058</v>
      </c>
      <c r="O129" s="376">
        <v>0.27742192969921231</v>
      </c>
      <c r="P129" s="279">
        <v>0.63002861355206641</v>
      </c>
      <c r="Q129" s="279">
        <v>0.19430367060635487</v>
      </c>
      <c r="R129" s="279">
        <v>0.16990433699205593</v>
      </c>
      <c r="S129" s="378">
        <v>9.15</v>
      </c>
      <c r="T129" s="280">
        <v>0.15</v>
      </c>
      <c r="U129" s="222"/>
      <c r="V129" s="222"/>
    </row>
    <row r="130" spans="1:22" customFormat="1" x14ac:dyDescent="0.25">
      <c r="A130" s="214">
        <v>31</v>
      </c>
      <c r="B130" s="215" t="s">
        <v>351</v>
      </c>
      <c r="C130" s="278" t="s">
        <v>310</v>
      </c>
      <c r="D130" s="277" t="s">
        <v>309</v>
      </c>
      <c r="E130" s="215" t="s">
        <v>390</v>
      </c>
      <c r="F130" s="216" t="s">
        <v>391</v>
      </c>
      <c r="G130" s="279">
        <v>0</v>
      </c>
      <c r="H130" s="279">
        <v>0</v>
      </c>
      <c r="I130" s="279">
        <v>0</v>
      </c>
      <c r="J130" s="279">
        <v>0</v>
      </c>
      <c r="K130" s="279">
        <v>0</v>
      </c>
      <c r="L130" s="279">
        <v>0</v>
      </c>
      <c r="M130" s="279">
        <v>0</v>
      </c>
      <c r="N130" s="279">
        <v>0</v>
      </c>
      <c r="O130" s="279">
        <v>0</v>
      </c>
      <c r="P130" s="279">
        <v>0</v>
      </c>
      <c r="Q130" s="279">
        <v>0</v>
      </c>
      <c r="R130" s="279">
        <v>0</v>
      </c>
      <c r="S130" s="281">
        <v>0</v>
      </c>
      <c r="T130" s="280">
        <v>0.15</v>
      </c>
      <c r="U130" s="437"/>
      <c r="V130" s="437"/>
    </row>
    <row r="131" spans="1:22" customFormat="1" x14ac:dyDescent="0.25">
      <c r="A131" s="214">
        <v>31</v>
      </c>
      <c r="B131" s="215" t="s">
        <v>393</v>
      </c>
      <c r="C131" s="278" t="s">
        <v>310</v>
      </c>
      <c r="D131" s="277" t="s">
        <v>309</v>
      </c>
      <c r="E131" s="215" t="s">
        <v>392</v>
      </c>
      <c r="F131" s="216" t="s">
        <v>394</v>
      </c>
      <c r="G131" s="279">
        <v>4.2518434635644732E-3</v>
      </c>
      <c r="H131" s="279">
        <v>5.4123871982217483E-3</v>
      </c>
      <c r="I131" s="279">
        <v>9.1247371063490363E-3</v>
      </c>
      <c r="J131" s="279">
        <v>1.4076451094351794E-2</v>
      </c>
      <c r="K131" s="279">
        <v>1.9742867526099012E-2</v>
      </c>
      <c r="L131" s="279">
        <v>3.2222506562589882E-2</v>
      </c>
      <c r="M131" s="279">
        <v>3.2332878324564843E-2</v>
      </c>
      <c r="N131" s="279">
        <v>6.0106982440103277E-2</v>
      </c>
      <c r="O131" s="279">
        <v>8.3784916552557459E-2</v>
      </c>
      <c r="P131" s="279">
        <v>0.11312156508384269</v>
      </c>
      <c r="Q131" s="279">
        <v>9.8694290257229242E-2</v>
      </c>
      <c r="R131" s="279">
        <v>3.8628574390526554E-2</v>
      </c>
      <c r="S131" s="281">
        <v>0.51149999999999995</v>
      </c>
      <c r="T131" s="280">
        <v>0.15</v>
      </c>
      <c r="U131" s="437"/>
      <c r="V131" s="437"/>
    </row>
    <row r="132" spans="1:22" customFormat="1" x14ac:dyDescent="0.25">
      <c r="A132" s="214">
        <v>1</v>
      </c>
      <c r="B132" s="215" t="s">
        <v>247</v>
      </c>
      <c r="C132" s="218" t="s">
        <v>250</v>
      </c>
      <c r="D132" s="217" t="s">
        <v>249</v>
      </c>
      <c r="E132" s="215" t="s">
        <v>246</v>
      </c>
      <c r="F132" s="216" t="s">
        <v>248</v>
      </c>
      <c r="G132" s="220">
        <v>0</v>
      </c>
      <c r="H132" s="220">
        <v>0</v>
      </c>
      <c r="I132" s="220">
        <v>0</v>
      </c>
      <c r="J132" s="220">
        <v>0</v>
      </c>
      <c r="K132" s="220">
        <v>0</v>
      </c>
      <c r="L132" s="220">
        <v>0</v>
      </c>
      <c r="M132" s="220">
        <v>0</v>
      </c>
      <c r="N132" s="220">
        <v>0</v>
      </c>
      <c r="O132" s="220">
        <v>0</v>
      </c>
      <c r="P132" s="220">
        <v>0</v>
      </c>
      <c r="Q132" s="220">
        <v>0</v>
      </c>
      <c r="R132" s="220">
        <v>0</v>
      </c>
      <c r="S132" s="219">
        <v>0</v>
      </c>
      <c r="T132" s="221"/>
      <c r="U132" s="437"/>
      <c r="V132" s="437"/>
    </row>
    <row r="133" spans="1:22" customFormat="1" x14ac:dyDescent="0.25">
      <c r="A133" s="214">
        <v>1</v>
      </c>
      <c r="B133" s="215" t="s">
        <v>332</v>
      </c>
      <c r="C133" s="218" t="s">
        <v>250</v>
      </c>
      <c r="D133" s="217" t="s">
        <v>249</v>
      </c>
      <c r="E133" s="215" t="s">
        <v>331</v>
      </c>
      <c r="F133" s="216" t="s">
        <v>333</v>
      </c>
      <c r="G133" s="220">
        <v>0</v>
      </c>
      <c r="H133" s="220">
        <v>0</v>
      </c>
      <c r="I133" s="220">
        <v>0</v>
      </c>
      <c r="J133" s="220">
        <v>0</v>
      </c>
      <c r="K133" s="220">
        <v>0</v>
      </c>
      <c r="L133" s="220">
        <v>0</v>
      </c>
      <c r="M133" s="220">
        <v>0</v>
      </c>
      <c r="N133" s="220">
        <v>0</v>
      </c>
      <c r="O133" s="220">
        <v>0</v>
      </c>
      <c r="P133" s="220">
        <v>0</v>
      </c>
      <c r="Q133" s="220">
        <v>0</v>
      </c>
      <c r="R133" s="220">
        <v>0</v>
      </c>
      <c r="S133" s="219">
        <v>0</v>
      </c>
      <c r="T133" s="221"/>
      <c r="U133" s="437"/>
      <c r="V133" s="437"/>
    </row>
    <row r="134" spans="1:22" customFormat="1" x14ac:dyDescent="0.25">
      <c r="A134" s="214">
        <v>1</v>
      </c>
      <c r="B134" s="215" t="s">
        <v>335</v>
      </c>
      <c r="C134" s="218" t="s">
        <v>250</v>
      </c>
      <c r="D134" s="217" t="s">
        <v>249</v>
      </c>
      <c r="E134" s="215" t="s">
        <v>334</v>
      </c>
      <c r="F134" s="216" t="s">
        <v>336</v>
      </c>
      <c r="G134" s="220">
        <v>0</v>
      </c>
      <c r="H134" s="220">
        <v>0</v>
      </c>
      <c r="I134" s="220">
        <v>0</v>
      </c>
      <c r="J134" s="220">
        <v>0</v>
      </c>
      <c r="K134" s="220">
        <v>0</v>
      </c>
      <c r="L134" s="220">
        <v>0</v>
      </c>
      <c r="M134" s="220">
        <v>0</v>
      </c>
      <c r="N134" s="220">
        <v>0</v>
      </c>
      <c r="O134" s="220">
        <v>0</v>
      </c>
      <c r="P134" s="220">
        <v>0</v>
      </c>
      <c r="Q134" s="220">
        <v>0</v>
      </c>
      <c r="R134" s="220">
        <v>0</v>
      </c>
      <c r="S134" s="219">
        <v>0</v>
      </c>
      <c r="T134" s="221"/>
      <c r="U134" s="437"/>
      <c r="V134" s="437"/>
    </row>
    <row r="135" spans="1:22" customFormat="1" x14ac:dyDescent="0.25">
      <c r="A135" s="214">
        <v>1</v>
      </c>
      <c r="B135" s="215" t="s">
        <v>351</v>
      </c>
      <c r="C135" s="218" t="s">
        <v>250</v>
      </c>
      <c r="D135" s="217" t="s">
        <v>249</v>
      </c>
      <c r="E135" s="215" t="s">
        <v>350</v>
      </c>
      <c r="F135" s="216" t="s">
        <v>352</v>
      </c>
      <c r="G135" s="220">
        <v>100.53576975822689</v>
      </c>
      <c r="H135" s="220">
        <v>121.89555182010615</v>
      </c>
      <c r="I135" s="220">
        <v>124.40595659627064</v>
      </c>
      <c r="J135" s="220">
        <v>133.51515763797352</v>
      </c>
      <c r="K135" s="220">
        <v>127.31381933382177</v>
      </c>
      <c r="L135" s="220">
        <v>149.01196080898688</v>
      </c>
      <c r="M135" s="220">
        <v>162.25108511705128</v>
      </c>
      <c r="N135" s="220">
        <v>126.77836924484971</v>
      </c>
      <c r="O135" s="220">
        <v>71.175060000595693</v>
      </c>
      <c r="P135" s="220">
        <v>45.662449571352667</v>
      </c>
      <c r="Q135" s="220">
        <v>46.990991825478439</v>
      </c>
      <c r="R135" s="220">
        <v>76.173852888758788</v>
      </c>
      <c r="S135" s="219">
        <v>1285.7100246034724</v>
      </c>
      <c r="T135" s="221"/>
      <c r="U135" s="437"/>
      <c r="V135" s="437"/>
    </row>
    <row r="136" spans="1:22" customFormat="1" x14ac:dyDescent="0.25">
      <c r="A136" s="214">
        <v>1</v>
      </c>
      <c r="B136" s="215" t="s">
        <v>351</v>
      </c>
      <c r="C136" s="218" t="s">
        <v>250</v>
      </c>
      <c r="D136" s="217" t="s">
        <v>249</v>
      </c>
      <c r="E136" s="215" t="s">
        <v>379</v>
      </c>
      <c r="F136" s="216" t="s">
        <v>16</v>
      </c>
      <c r="G136" s="220">
        <v>105.36556371896306</v>
      </c>
      <c r="H136" s="220">
        <v>111.22745383387087</v>
      </c>
      <c r="I136" s="220">
        <v>117.68219109533409</v>
      </c>
      <c r="J136" s="220">
        <v>128.14475563694197</v>
      </c>
      <c r="K136" s="220">
        <v>123.91477189063286</v>
      </c>
      <c r="L136" s="220">
        <v>145.15399628905735</v>
      </c>
      <c r="M136" s="220">
        <v>159.1026754043213</v>
      </c>
      <c r="N136" s="220">
        <v>118.87950957238516</v>
      </c>
      <c r="O136" s="220">
        <v>91.201813346081849</v>
      </c>
      <c r="P136" s="220">
        <v>82.322621364463402</v>
      </c>
      <c r="Q136" s="220">
        <v>83.183503920407489</v>
      </c>
      <c r="R136" s="220">
        <v>88.088428710351124</v>
      </c>
      <c r="S136" s="219">
        <v>1354.2672847828105</v>
      </c>
      <c r="T136" s="221"/>
      <c r="U136" s="437"/>
      <c r="V136" s="437"/>
    </row>
    <row r="137" spans="1:22" customFormat="1" x14ac:dyDescent="0.25">
      <c r="A137" s="214">
        <v>1</v>
      </c>
      <c r="B137" s="215" t="s">
        <v>335</v>
      </c>
      <c r="C137" s="218" t="s">
        <v>250</v>
      </c>
      <c r="D137" s="217" t="s">
        <v>249</v>
      </c>
      <c r="E137" s="215" t="s">
        <v>348</v>
      </c>
      <c r="F137" s="216" t="s">
        <v>349</v>
      </c>
      <c r="G137" s="220">
        <v>0</v>
      </c>
      <c r="H137" s="220">
        <v>0</v>
      </c>
      <c r="I137" s="220">
        <v>0</v>
      </c>
      <c r="J137" s="220">
        <v>0</v>
      </c>
      <c r="K137" s="220">
        <v>0</v>
      </c>
      <c r="L137" s="220">
        <v>0</v>
      </c>
      <c r="M137" s="220">
        <v>0</v>
      </c>
      <c r="N137" s="220">
        <v>0</v>
      </c>
      <c r="O137" s="220">
        <v>0</v>
      </c>
      <c r="P137" s="220">
        <v>0</v>
      </c>
      <c r="Q137" s="220">
        <v>0</v>
      </c>
      <c r="R137" s="220">
        <v>0</v>
      </c>
      <c r="S137" s="219">
        <v>0</v>
      </c>
      <c r="T137" s="221"/>
      <c r="U137" s="437"/>
      <c r="V137" s="437"/>
    </row>
    <row r="138" spans="1:22" customFormat="1" x14ac:dyDescent="0.25">
      <c r="A138" s="214">
        <v>1</v>
      </c>
      <c r="B138" s="215" t="s">
        <v>351</v>
      </c>
      <c r="C138" s="218" t="s">
        <v>250</v>
      </c>
      <c r="D138" s="217" t="s">
        <v>249</v>
      </c>
      <c r="E138" s="215" t="s">
        <v>380</v>
      </c>
      <c r="F138" s="216" t="s">
        <v>381</v>
      </c>
      <c r="G138" s="220">
        <v>110.0413397919172</v>
      </c>
      <c r="H138" s="220">
        <v>117.61548198118986</v>
      </c>
      <c r="I138" s="220">
        <v>149.80111763067831</v>
      </c>
      <c r="J138" s="220">
        <v>162.50592404718316</v>
      </c>
      <c r="K138" s="220">
        <v>170.78890334083556</v>
      </c>
      <c r="L138" s="220">
        <v>221.70316284808914</v>
      </c>
      <c r="M138" s="220">
        <v>237.40978906178634</v>
      </c>
      <c r="N138" s="220">
        <v>151.03552790560821</v>
      </c>
      <c r="O138" s="220">
        <v>100.93885362405551</v>
      </c>
      <c r="P138" s="220">
        <v>86.719159253834306</v>
      </c>
      <c r="Q138" s="220">
        <v>86.513148492866549</v>
      </c>
      <c r="R138" s="220">
        <v>91.247741830053045</v>
      </c>
      <c r="S138" s="219">
        <v>1686.3201498080973</v>
      </c>
      <c r="T138" s="221"/>
      <c r="U138" s="437"/>
      <c r="V138" s="437"/>
    </row>
    <row r="139" spans="1:22" customFormat="1" x14ac:dyDescent="0.25">
      <c r="A139" s="214">
        <v>1</v>
      </c>
      <c r="B139" s="215" t="s">
        <v>351</v>
      </c>
      <c r="C139" s="218" t="s">
        <v>250</v>
      </c>
      <c r="D139" s="217" t="s">
        <v>249</v>
      </c>
      <c r="E139" s="215" t="s">
        <v>382</v>
      </c>
      <c r="F139" s="216" t="s">
        <v>383</v>
      </c>
      <c r="G139" s="220">
        <v>109.7475442342792</v>
      </c>
      <c r="H139" s="220">
        <v>114.64528886707915</v>
      </c>
      <c r="I139" s="220">
        <v>157.29193838071876</v>
      </c>
      <c r="J139" s="220">
        <v>177.44654179777191</v>
      </c>
      <c r="K139" s="220">
        <v>201.59198803354295</v>
      </c>
      <c r="L139" s="220">
        <v>286.91342241527383</v>
      </c>
      <c r="M139" s="220">
        <v>354.51119797271565</v>
      </c>
      <c r="N139" s="220">
        <v>217.72572816493198</v>
      </c>
      <c r="O139" s="220">
        <v>116.61735945447127</v>
      </c>
      <c r="P139" s="220">
        <v>106.37539972793628</v>
      </c>
      <c r="Q139" s="220">
        <v>107.59854915557742</v>
      </c>
      <c r="R139" s="220">
        <v>105.06202053212532</v>
      </c>
      <c r="S139" s="219">
        <v>2055.5269787364236</v>
      </c>
      <c r="T139" s="221"/>
      <c r="U139" s="437"/>
      <c r="V139" s="437"/>
    </row>
    <row r="140" spans="1:22" customFormat="1" x14ac:dyDescent="0.25">
      <c r="A140" s="214">
        <v>1</v>
      </c>
      <c r="B140" s="215" t="s">
        <v>351</v>
      </c>
      <c r="C140" s="218" t="s">
        <v>250</v>
      </c>
      <c r="D140" s="217" t="s">
        <v>249</v>
      </c>
      <c r="E140" s="215" t="s">
        <v>384</v>
      </c>
      <c r="F140" s="216" t="s">
        <v>385</v>
      </c>
      <c r="G140" s="220">
        <v>114.67443068545501</v>
      </c>
      <c r="H140" s="220">
        <v>117.98757294309183</v>
      </c>
      <c r="I140" s="220">
        <v>159.05242046049204</v>
      </c>
      <c r="J140" s="220">
        <v>180.49356964157326</v>
      </c>
      <c r="K140" s="220">
        <v>213.44197660946978</v>
      </c>
      <c r="L140" s="220">
        <v>305.59171011298685</v>
      </c>
      <c r="M140" s="220">
        <v>376.09529691571709</v>
      </c>
      <c r="N140" s="220">
        <v>233.10944485108311</v>
      </c>
      <c r="O140" s="220">
        <v>125.01168414393116</v>
      </c>
      <c r="P140" s="220">
        <v>113.22525586559</v>
      </c>
      <c r="Q140" s="220">
        <v>113.53905773708891</v>
      </c>
      <c r="R140" s="220">
        <v>110.17108610706393</v>
      </c>
      <c r="S140" s="219">
        <v>2162.393506073543</v>
      </c>
      <c r="T140" s="221"/>
      <c r="U140" s="437"/>
      <c r="V140" s="437"/>
    </row>
    <row r="141" spans="1:22" customFormat="1" x14ac:dyDescent="0.25">
      <c r="A141" s="214">
        <v>1</v>
      </c>
      <c r="B141" s="215" t="s">
        <v>351</v>
      </c>
      <c r="C141" s="218" t="s">
        <v>250</v>
      </c>
      <c r="D141" s="217" t="s">
        <v>249</v>
      </c>
      <c r="E141" s="215" t="s">
        <v>386</v>
      </c>
      <c r="F141" s="216" t="s">
        <v>387</v>
      </c>
      <c r="G141" s="220">
        <v>114.45974174615029</v>
      </c>
      <c r="H141" s="220">
        <v>117.98549697747902</v>
      </c>
      <c r="I141" s="220">
        <v>159.00649495491689</v>
      </c>
      <c r="J141" s="220">
        <v>180.46893131835438</v>
      </c>
      <c r="K141" s="220">
        <v>213.33084840434157</v>
      </c>
      <c r="L141" s="220">
        <v>305.5917101129869</v>
      </c>
      <c r="M141" s="220">
        <v>375.9192690073836</v>
      </c>
      <c r="N141" s="220">
        <v>232.72586528108306</v>
      </c>
      <c r="O141" s="220">
        <v>124.4314711391055</v>
      </c>
      <c r="P141" s="220">
        <v>112.56362841851221</v>
      </c>
      <c r="Q141" s="220">
        <v>112.89058868736883</v>
      </c>
      <c r="R141" s="220">
        <v>109.7709786395602</v>
      </c>
      <c r="S141" s="219">
        <v>2159.1450246872423</v>
      </c>
      <c r="T141" s="221"/>
      <c r="U141" s="437"/>
      <c r="V141" s="437"/>
    </row>
    <row r="142" spans="1:22" customFormat="1" x14ac:dyDescent="0.25">
      <c r="A142" s="214">
        <v>1</v>
      </c>
      <c r="B142" s="215" t="s">
        <v>389</v>
      </c>
      <c r="C142" s="218" t="s">
        <v>250</v>
      </c>
      <c r="D142" s="217" t="s">
        <v>249</v>
      </c>
      <c r="E142" s="215" t="s">
        <v>388</v>
      </c>
      <c r="F142" s="216" t="s">
        <v>112</v>
      </c>
      <c r="G142" s="220">
        <v>0</v>
      </c>
      <c r="H142" s="220">
        <v>0</v>
      </c>
      <c r="I142" s="220">
        <v>0</v>
      </c>
      <c r="J142" s="220">
        <v>0</v>
      </c>
      <c r="K142" s="220">
        <v>0</v>
      </c>
      <c r="L142" s="220">
        <v>0</v>
      </c>
      <c r="M142" s="220">
        <v>0</v>
      </c>
      <c r="N142" s="220">
        <v>0</v>
      </c>
      <c r="O142" s="220">
        <v>0</v>
      </c>
      <c r="P142" s="220">
        <v>0</v>
      </c>
      <c r="Q142" s="220">
        <v>0</v>
      </c>
      <c r="R142" s="220">
        <v>0</v>
      </c>
      <c r="S142" s="219">
        <v>0</v>
      </c>
      <c r="T142" s="221"/>
      <c r="U142" s="222">
        <v>0</v>
      </c>
      <c r="V142" s="222">
        <v>1</v>
      </c>
    </row>
    <row r="143" spans="1:22" customFormat="1" x14ac:dyDescent="0.25">
      <c r="A143" s="214">
        <v>1</v>
      </c>
      <c r="B143" s="215" t="s">
        <v>351</v>
      </c>
      <c r="C143" s="218" t="s">
        <v>250</v>
      </c>
      <c r="D143" s="217" t="s">
        <v>249</v>
      </c>
      <c r="E143" s="215" t="s">
        <v>390</v>
      </c>
      <c r="F143" s="216" t="s">
        <v>391</v>
      </c>
      <c r="G143" s="220">
        <v>177.65589017778737</v>
      </c>
      <c r="H143" s="220">
        <v>208.31605267754725</v>
      </c>
      <c r="I143" s="220">
        <v>275.42867112947789</v>
      </c>
      <c r="J143" s="220">
        <v>338.20872631773273</v>
      </c>
      <c r="K143" s="220">
        <v>318.33985069650174</v>
      </c>
      <c r="L143" s="220">
        <v>356.20662557281781</v>
      </c>
      <c r="M143" s="220">
        <v>371.74240037037788</v>
      </c>
      <c r="N143" s="220">
        <v>243.20053153051552</v>
      </c>
      <c r="O143" s="220">
        <v>164.51740813000023</v>
      </c>
      <c r="P143" s="220">
        <v>182.35387841629444</v>
      </c>
      <c r="Q143" s="220">
        <v>173.88482875289358</v>
      </c>
      <c r="R143" s="220">
        <v>167.39270919415625</v>
      </c>
      <c r="S143" s="219">
        <v>2977.2475729661023</v>
      </c>
      <c r="T143" s="221"/>
      <c r="U143" s="222">
        <v>0</v>
      </c>
      <c r="V143" s="229">
        <v>1</v>
      </c>
    </row>
    <row r="144" spans="1:22" customFormat="1" x14ac:dyDescent="0.25">
      <c r="A144" s="214">
        <v>1</v>
      </c>
      <c r="B144" s="215" t="s">
        <v>393</v>
      </c>
      <c r="C144" s="218" t="s">
        <v>250</v>
      </c>
      <c r="D144" s="217" t="s">
        <v>249</v>
      </c>
      <c r="E144" s="215" t="s">
        <v>392</v>
      </c>
      <c r="F144" s="216" t="s">
        <v>394</v>
      </c>
      <c r="G144" s="220">
        <v>177.5083509695838</v>
      </c>
      <c r="H144" s="220">
        <v>208.15246963380918</v>
      </c>
      <c r="I144" s="220">
        <v>275.05489661959496</v>
      </c>
      <c r="J144" s="220">
        <v>337.67098985716359</v>
      </c>
      <c r="K144" s="220">
        <v>317.85510100004245</v>
      </c>
      <c r="L144" s="220">
        <v>355.44576179097953</v>
      </c>
      <c r="M144" s="220">
        <v>371.00779189989527</v>
      </c>
      <c r="N144" s="220">
        <v>242.70937745762276</v>
      </c>
      <c r="O144" s="220">
        <v>156.32692655804354</v>
      </c>
      <c r="P144" s="220">
        <v>167.06067109543386</v>
      </c>
      <c r="Q144" s="220">
        <v>161.23410059376724</v>
      </c>
      <c r="R144" s="220">
        <v>163.49284738097259</v>
      </c>
      <c r="S144" s="219">
        <v>2933.5192848569091</v>
      </c>
      <c r="T144" s="399"/>
      <c r="U144" s="222">
        <v>-1</v>
      </c>
      <c r="V144" s="229">
        <v>1</v>
      </c>
    </row>
    <row r="145" spans="1:22" customFormat="1" x14ac:dyDescent="0.25">
      <c r="A145" s="214">
        <v>42</v>
      </c>
      <c r="B145" s="215" t="s">
        <v>247</v>
      </c>
      <c r="C145" s="218" t="s">
        <v>330</v>
      </c>
      <c r="D145" s="217" t="s">
        <v>329</v>
      </c>
      <c r="E145" s="215" t="s">
        <v>246</v>
      </c>
      <c r="F145" s="216" t="s">
        <v>248</v>
      </c>
      <c r="G145" s="220">
        <v>48.694918378261441</v>
      </c>
      <c r="H145" s="220">
        <v>58.249833828181394</v>
      </c>
      <c r="I145" s="220">
        <v>67.838781737684556</v>
      </c>
      <c r="J145" s="220">
        <v>70.357114264309416</v>
      </c>
      <c r="K145" s="220">
        <v>69.382996633435241</v>
      </c>
      <c r="L145" s="220">
        <v>83.389926140901579</v>
      </c>
      <c r="M145" s="220">
        <v>78.610552612358816</v>
      </c>
      <c r="N145" s="220">
        <v>54.113914209092506</v>
      </c>
      <c r="O145" s="220">
        <v>32.000135129873485</v>
      </c>
      <c r="P145" s="220">
        <v>11.716828610665461</v>
      </c>
      <c r="Q145" s="220">
        <v>11.700899136968628</v>
      </c>
      <c r="R145" s="220">
        <v>26.480241673026839</v>
      </c>
      <c r="S145" s="219">
        <v>612.53614235475936</v>
      </c>
      <c r="T145" s="221"/>
      <c r="U145" s="229">
        <v>1</v>
      </c>
      <c r="V145" s="229">
        <v>-1</v>
      </c>
    </row>
    <row r="146" spans="1:22" customFormat="1" x14ac:dyDescent="0.25">
      <c r="A146" s="214">
        <v>42</v>
      </c>
      <c r="B146" s="215" t="s">
        <v>332</v>
      </c>
      <c r="C146" s="218" t="s">
        <v>330</v>
      </c>
      <c r="D146" s="217" t="s">
        <v>329</v>
      </c>
      <c r="E146" s="215" t="s">
        <v>331</v>
      </c>
      <c r="F146" s="216" t="s">
        <v>333</v>
      </c>
      <c r="G146" s="220">
        <v>16.208668361318598</v>
      </c>
      <c r="H146" s="220">
        <v>27.857309039108074</v>
      </c>
      <c r="I146" s="220">
        <v>18.614088764360012</v>
      </c>
      <c r="J146" s="220">
        <v>20.671799569966083</v>
      </c>
      <c r="K146" s="220">
        <v>12.534248740453449</v>
      </c>
      <c r="L146" s="220">
        <v>3.6150072215695204</v>
      </c>
      <c r="M146" s="220">
        <v>17.833957801609564</v>
      </c>
      <c r="N146" s="220">
        <v>24.268247167048969</v>
      </c>
      <c r="O146" s="220">
        <v>8.1493572591436596</v>
      </c>
      <c r="P146" s="220">
        <v>9.3248627345430606</v>
      </c>
      <c r="Q146" s="220">
        <v>9.658064999714945</v>
      </c>
      <c r="R146" s="220">
        <v>17.632211186073548</v>
      </c>
      <c r="S146" s="219">
        <v>186.36782284490954</v>
      </c>
      <c r="T146" s="221"/>
      <c r="U146" s="229">
        <v>1</v>
      </c>
      <c r="V146" s="229">
        <v>-1</v>
      </c>
    </row>
    <row r="147" spans="1:22" customFormat="1" x14ac:dyDescent="0.25">
      <c r="A147" s="214">
        <v>42</v>
      </c>
      <c r="B147" s="215" t="s">
        <v>335</v>
      </c>
      <c r="C147" s="218" t="s">
        <v>330</v>
      </c>
      <c r="D147" s="217" t="s">
        <v>329</v>
      </c>
      <c r="E147" s="215" t="s">
        <v>334</v>
      </c>
      <c r="F147" s="216" t="s">
        <v>336</v>
      </c>
      <c r="G147" s="220">
        <v>35.632183018646856</v>
      </c>
      <c r="H147" s="220">
        <v>35.788408952816681</v>
      </c>
      <c r="I147" s="220">
        <v>37.953086094226073</v>
      </c>
      <c r="J147" s="220">
        <v>42.486243803698017</v>
      </c>
      <c r="K147" s="220">
        <v>45.396573959933079</v>
      </c>
      <c r="L147" s="220">
        <v>62.007027446515806</v>
      </c>
      <c r="M147" s="220">
        <v>65.806574703082916</v>
      </c>
      <c r="N147" s="220">
        <v>48.396207868708231</v>
      </c>
      <c r="O147" s="220">
        <v>31.025567611578545</v>
      </c>
      <c r="P147" s="220">
        <v>24.620758226144151</v>
      </c>
      <c r="Q147" s="220">
        <v>25.632027688794864</v>
      </c>
      <c r="R147" s="220">
        <v>32.061400029658401</v>
      </c>
      <c r="S147" s="219">
        <v>486.80605940380366</v>
      </c>
      <c r="T147" s="221"/>
      <c r="U147" s="222">
        <v>0</v>
      </c>
      <c r="V147" s="229">
        <v>-1</v>
      </c>
    </row>
    <row r="148" spans="1:22" customFormat="1" x14ac:dyDescent="0.25">
      <c r="A148" s="214">
        <v>42</v>
      </c>
      <c r="B148" s="215" t="s">
        <v>351</v>
      </c>
      <c r="C148" s="218" t="s">
        <v>330</v>
      </c>
      <c r="D148" s="217" t="s">
        <v>329</v>
      </c>
      <c r="E148" s="215" t="s">
        <v>350</v>
      </c>
      <c r="F148" s="216" t="s">
        <v>352</v>
      </c>
      <c r="G148" s="220">
        <v>117.49143152884596</v>
      </c>
      <c r="H148" s="220">
        <v>121.60540232953456</v>
      </c>
      <c r="I148" s="220">
        <v>125.77134575711705</v>
      </c>
      <c r="J148" s="220">
        <v>135.28096178883888</v>
      </c>
      <c r="K148" s="220">
        <v>128.62016260525073</v>
      </c>
      <c r="L148" s="220">
        <v>150.88751130399555</v>
      </c>
      <c r="M148" s="220">
        <v>169.55781647211572</v>
      </c>
      <c r="N148" s="220">
        <v>122.68189226299386</v>
      </c>
      <c r="O148" s="220">
        <v>82.617745917315887</v>
      </c>
      <c r="P148" s="220">
        <v>62.391126334547472</v>
      </c>
      <c r="Q148" s="220">
        <v>64.152474493580428</v>
      </c>
      <c r="R148" s="220">
        <v>92.05082309699111</v>
      </c>
      <c r="S148" s="219">
        <v>1373.1088040011273</v>
      </c>
      <c r="T148" s="221"/>
      <c r="U148" s="222">
        <v>0</v>
      </c>
      <c r="V148" s="229">
        <v>1</v>
      </c>
    </row>
    <row r="149" spans="1:22" customFormat="1" x14ac:dyDescent="0.25">
      <c r="A149" s="214">
        <v>42</v>
      </c>
      <c r="B149" s="215" t="s">
        <v>351</v>
      </c>
      <c r="C149" s="218" t="s">
        <v>330</v>
      </c>
      <c r="D149" s="217" t="s">
        <v>329</v>
      </c>
      <c r="E149" s="215" t="s">
        <v>379</v>
      </c>
      <c r="F149" s="216" t="s">
        <v>16</v>
      </c>
      <c r="G149" s="220">
        <v>105.36556371896306</v>
      </c>
      <c r="H149" s="220">
        <v>111.22745383387087</v>
      </c>
      <c r="I149" s="220">
        <v>117.68219109533409</v>
      </c>
      <c r="J149" s="220">
        <v>128.14475563694194</v>
      </c>
      <c r="K149" s="220">
        <v>123.91477189063288</v>
      </c>
      <c r="L149" s="220">
        <v>145.15399628905737</v>
      </c>
      <c r="M149" s="220">
        <v>159.1026754043213</v>
      </c>
      <c r="N149" s="220">
        <v>118.87950957238517</v>
      </c>
      <c r="O149" s="220">
        <v>91.201813346081849</v>
      </c>
      <c r="P149" s="220">
        <v>82.322621364463402</v>
      </c>
      <c r="Q149" s="220">
        <v>83.183503920407489</v>
      </c>
      <c r="R149" s="220">
        <v>88.088428710351124</v>
      </c>
      <c r="S149" s="219">
        <v>1354.2672847828105</v>
      </c>
      <c r="T149" s="221"/>
      <c r="U149" s="229">
        <v>1</v>
      </c>
      <c r="V149" s="222">
        <v>0</v>
      </c>
    </row>
    <row r="150" spans="1:22" customFormat="1" x14ac:dyDescent="0.25">
      <c r="A150" s="214">
        <v>42</v>
      </c>
      <c r="B150" s="215" t="s">
        <v>335</v>
      </c>
      <c r="C150" s="218" t="s">
        <v>330</v>
      </c>
      <c r="D150" s="217" t="s">
        <v>329</v>
      </c>
      <c r="E150" s="215" t="s">
        <v>348</v>
      </c>
      <c r="F150" s="216" t="s">
        <v>349</v>
      </c>
      <c r="G150" s="220">
        <v>5.3228621654855637</v>
      </c>
      <c r="H150" s="220">
        <v>6.754678449724576</v>
      </c>
      <c r="I150" s="220">
        <v>32.124610108015041</v>
      </c>
      <c r="J150" s="220">
        <v>34.36116841024122</v>
      </c>
      <c r="K150" s="220">
        <v>46.871624453681143</v>
      </c>
      <c r="L150" s="220">
        <v>76.551673514648769</v>
      </c>
      <c r="M150" s="220">
        <v>78.341833906458078</v>
      </c>
      <c r="N150" s="220">
        <v>32.20759027368792</v>
      </c>
      <c r="O150" s="220">
        <v>9.6475450572553285</v>
      </c>
      <c r="P150" s="220">
        <v>4.2583865873032849</v>
      </c>
      <c r="Q150" s="220">
        <v>3.2776862699741649</v>
      </c>
      <c r="R150" s="220">
        <v>3.7413116053805311</v>
      </c>
      <c r="S150" s="219">
        <v>333.46097080185558</v>
      </c>
      <c r="T150" s="221"/>
      <c r="U150" s="222">
        <v>0</v>
      </c>
      <c r="V150" s="229">
        <v>-1</v>
      </c>
    </row>
    <row r="151" spans="1:22" customFormat="1" x14ac:dyDescent="0.25">
      <c r="A151" s="214">
        <v>42</v>
      </c>
      <c r="B151" s="215" t="s">
        <v>351</v>
      </c>
      <c r="C151" s="218" t="s">
        <v>330</v>
      </c>
      <c r="D151" s="217" t="s">
        <v>329</v>
      </c>
      <c r="E151" s="215" t="s">
        <v>380</v>
      </c>
      <c r="F151" s="216" t="s">
        <v>381</v>
      </c>
      <c r="G151" s="220">
        <v>113.554284564344</v>
      </c>
      <c r="H151" s="220">
        <v>142.3842881409609</v>
      </c>
      <c r="I151" s="220">
        <v>193.92476535479662</v>
      </c>
      <c r="J151" s="220">
        <v>207.20431935010109</v>
      </c>
      <c r="K151" s="220">
        <v>227.87185153204481</v>
      </c>
      <c r="L151" s="220">
        <v>333.14732869906362</v>
      </c>
      <c r="M151" s="220">
        <v>376.42083681045341</v>
      </c>
      <c r="N151" s="220">
        <v>225.78335940048251</v>
      </c>
      <c r="O151" s="220">
        <v>99.822008312073038</v>
      </c>
      <c r="P151" s="220">
        <v>55.791748951164323</v>
      </c>
      <c r="Q151" s="220">
        <v>53.997111951749616</v>
      </c>
      <c r="R151" s="220">
        <v>84.405305380623787</v>
      </c>
      <c r="S151" s="219">
        <v>2114.3072084478576</v>
      </c>
      <c r="T151" s="221"/>
      <c r="U151" s="222">
        <v>0</v>
      </c>
      <c r="V151" s="229">
        <v>1</v>
      </c>
    </row>
    <row r="152" spans="1:22" customFormat="1" x14ac:dyDescent="0.25">
      <c r="A152" s="214">
        <v>42</v>
      </c>
      <c r="B152" s="215" t="s">
        <v>351</v>
      </c>
      <c r="C152" s="218" t="s">
        <v>330</v>
      </c>
      <c r="D152" s="217" t="s">
        <v>329</v>
      </c>
      <c r="E152" s="215" t="s">
        <v>382</v>
      </c>
      <c r="F152" s="216" t="s">
        <v>383</v>
      </c>
      <c r="G152" s="220">
        <v>112.76426818259235</v>
      </c>
      <c r="H152" s="220">
        <v>118.6868444260861</v>
      </c>
      <c r="I152" s="220">
        <v>165.0885666585695</v>
      </c>
      <c r="J152" s="220">
        <v>188.52557419427472</v>
      </c>
      <c r="K152" s="220">
        <v>216.20099665523884</v>
      </c>
      <c r="L152" s="220">
        <v>311.85084244762299</v>
      </c>
      <c r="M152" s="220">
        <v>379.72651897045876</v>
      </c>
      <c r="N152" s="220">
        <v>233.52111215323924</v>
      </c>
      <c r="O152" s="220">
        <v>124.5459510180719</v>
      </c>
      <c r="P152" s="220">
        <v>110.13757585594365</v>
      </c>
      <c r="Q152" s="220">
        <v>110.2036961945529</v>
      </c>
      <c r="R152" s="220">
        <v>106.78368485704684</v>
      </c>
      <c r="S152" s="219">
        <v>2178.0356316136981</v>
      </c>
      <c r="T152" s="221"/>
      <c r="U152" s="229">
        <v>1</v>
      </c>
      <c r="V152" s="222">
        <v>0</v>
      </c>
    </row>
    <row r="153" spans="1:22" customFormat="1" x14ac:dyDescent="0.25">
      <c r="A153" s="214">
        <v>42</v>
      </c>
      <c r="B153" s="215" t="s">
        <v>351</v>
      </c>
      <c r="C153" s="218" t="s">
        <v>330</v>
      </c>
      <c r="D153" s="217" t="s">
        <v>329</v>
      </c>
      <c r="E153" s="215" t="s">
        <v>384</v>
      </c>
      <c r="F153" s="216" t="s">
        <v>385</v>
      </c>
      <c r="G153" s="220">
        <v>114.65513270184013</v>
      </c>
      <c r="H153" s="220">
        <v>117.97020475773846</v>
      </c>
      <c r="I153" s="220">
        <v>159.03698207340014</v>
      </c>
      <c r="J153" s="220">
        <v>180.47792365812202</v>
      </c>
      <c r="K153" s="220">
        <v>213.42535275211534</v>
      </c>
      <c r="L153" s="220">
        <v>305.5741083817291</v>
      </c>
      <c r="M153" s="220">
        <v>376.07671731055621</v>
      </c>
      <c r="N153" s="220">
        <v>233.08890949811584</v>
      </c>
      <c r="O153" s="220">
        <v>124.98919304315747</v>
      </c>
      <c r="P153" s="220">
        <v>113.20178689091311</v>
      </c>
      <c r="Q153" s="220">
        <v>113.51461088850883</v>
      </c>
      <c r="R153" s="220">
        <v>110.14859500629024</v>
      </c>
      <c r="S153" s="219">
        <v>2162.393506072543</v>
      </c>
      <c r="T153" s="221"/>
      <c r="U153" s="222">
        <v>0</v>
      </c>
      <c r="V153" s="222">
        <v>0</v>
      </c>
    </row>
    <row r="154" spans="1:22" customFormat="1" x14ac:dyDescent="0.25">
      <c r="A154" s="214">
        <v>42</v>
      </c>
      <c r="B154" s="215" t="s">
        <v>351</v>
      </c>
      <c r="C154" s="218" t="s">
        <v>330</v>
      </c>
      <c r="D154" s="217" t="s">
        <v>329</v>
      </c>
      <c r="E154" s="215" t="s">
        <v>386</v>
      </c>
      <c r="F154" s="216" t="s">
        <v>387</v>
      </c>
      <c r="G154" s="220">
        <v>162.78283070846027</v>
      </c>
      <c r="H154" s="220">
        <v>185.36988389554381</v>
      </c>
      <c r="I154" s="220">
        <v>227.02453409773685</v>
      </c>
      <c r="J154" s="220">
        <v>282.5703052799048</v>
      </c>
      <c r="K154" s="220">
        <v>250.68184508105932</v>
      </c>
      <c r="L154" s="220">
        <v>263.91120673119809</v>
      </c>
      <c r="M154" s="220">
        <v>273.1490707282336</v>
      </c>
      <c r="N154" s="220">
        <v>173.67036093276664</v>
      </c>
      <c r="O154" s="220">
        <v>131.48336290175556</v>
      </c>
      <c r="P154" s="220">
        <v>170.85678699360409</v>
      </c>
      <c r="Q154" s="220">
        <v>166.86486822005799</v>
      </c>
      <c r="R154" s="220">
        <v>160.57069589654927</v>
      </c>
      <c r="S154" s="219">
        <v>2448.93575146687</v>
      </c>
      <c r="T154" s="221"/>
      <c r="U154" s="222">
        <v>0</v>
      </c>
      <c r="V154" s="229">
        <v>-1</v>
      </c>
    </row>
    <row r="155" spans="1:22" customFormat="1" x14ac:dyDescent="0.25">
      <c r="A155" s="214">
        <v>42</v>
      </c>
      <c r="B155" s="215" t="s">
        <v>389</v>
      </c>
      <c r="C155" s="218" t="s">
        <v>330</v>
      </c>
      <c r="D155" s="217" t="s">
        <v>329</v>
      </c>
      <c r="E155" s="215" t="s">
        <v>388</v>
      </c>
      <c r="F155" s="216" t="s">
        <v>112</v>
      </c>
      <c r="G155" s="220">
        <v>14.873059469327115</v>
      </c>
      <c r="H155" s="220">
        <v>22.946168782003426</v>
      </c>
      <c r="I155" s="220">
        <v>48.404137031741037</v>
      </c>
      <c r="J155" s="220">
        <v>55.638421037827896</v>
      </c>
      <c r="K155" s="220">
        <v>67.658005615442406</v>
      </c>
      <c r="L155" s="220">
        <v>92.295418841619707</v>
      </c>
      <c r="M155" s="220">
        <v>98.593329642144269</v>
      </c>
      <c r="N155" s="220">
        <v>69.530170597748878</v>
      </c>
      <c r="O155" s="220">
        <v>33.034045228244679</v>
      </c>
      <c r="P155" s="220">
        <v>11.49709142269036</v>
      </c>
      <c r="Q155" s="220">
        <v>7.0199605328356078</v>
      </c>
      <c r="R155" s="220">
        <v>6.8220132976069792</v>
      </c>
      <c r="S155" s="219">
        <v>528.31182149923245</v>
      </c>
      <c r="T155" s="221"/>
      <c r="U155" s="222">
        <v>0</v>
      </c>
      <c r="V155" s="229">
        <v>1</v>
      </c>
    </row>
    <row r="156" spans="1:22" customFormat="1" x14ac:dyDescent="0.25">
      <c r="A156" s="214">
        <v>42</v>
      </c>
      <c r="B156" s="215" t="s">
        <v>351</v>
      </c>
      <c r="C156" s="218" t="s">
        <v>330</v>
      </c>
      <c r="D156" s="217" t="s">
        <v>329</v>
      </c>
      <c r="E156" s="215" t="s">
        <v>390</v>
      </c>
      <c r="F156" s="216" t="s">
        <v>391</v>
      </c>
      <c r="G156" s="220">
        <v>177.5083509695838</v>
      </c>
      <c r="H156" s="220">
        <v>208.15246963380918</v>
      </c>
      <c r="I156" s="220">
        <v>275.05489661959496</v>
      </c>
      <c r="J156" s="220">
        <v>337.67098985716359</v>
      </c>
      <c r="K156" s="220">
        <v>317.85510100004245</v>
      </c>
      <c r="L156" s="220">
        <v>355.44576179097953</v>
      </c>
      <c r="M156" s="220">
        <v>371.00779189989527</v>
      </c>
      <c r="N156" s="220">
        <v>242.70937745762276</v>
      </c>
      <c r="O156" s="220">
        <v>156.32692655804354</v>
      </c>
      <c r="P156" s="220">
        <v>167.06067109543386</v>
      </c>
      <c r="Q156" s="220">
        <v>161.23410059376724</v>
      </c>
      <c r="R156" s="220">
        <v>163.49284738097259</v>
      </c>
      <c r="S156" s="219">
        <v>2933.5192848569091</v>
      </c>
      <c r="T156" s="221"/>
      <c r="U156" s="229">
        <v>1</v>
      </c>
      <c r="V156" s="222">
        <v>0</v>
      </c>
    </row>
    <row r="157" spans="1:22" customFormat="1" x14ac:dyDescent="0.25">
      <c r="A157" s="214">
        <v>42</v>
      </c>
      <c r="B157" s="215" t="s">
        <v>393</v>
      </c>
      <c r="C157" s="218" t="s">
        <v>330</v>
      </c>
      <c r="D157" s="217" t="s">
        <v>329</v>
      </c>
      <c r="E157" s="215" t="s">
        <v>392</v>
      </c>
      <c r="F157" s="216" t="s">
        <v>394</v>
      </c>
      <c r="G157" s="220">
        <v>267.79628637353176</v>
      </c>
      <c r="H157" s="220">
        <v>325.51188961847919</v>
      </c>
      <c r="I157" s="220">
        <v>480.26042827643806</v>
      </c>
      <c r="J157" s="220">
        <v>585.78883188465306</v>
      </c>
      <c r="K157" s="220">
        <v>576.0395753688548</v>
      </c>
      <c r="L157" s="220">
        <v>673.05992694471377</v>
      </c>
      <c r="M157" s="220">
        <v>641.18841505772684</v>
      </c>
      <c r="N157" s="220">
        <v>411.26934214651681</v>
      </c>
      <c r="O157" s="220">
        <v>265.38234310491163</v>
      </c>
      <c r="P157" s="220">
        <v>260.22273664788094</v>
      </c>
      <c r="Q157" s="220">
        <v>233.81595990800773</v>
      </c>
      <c r="R157" s="220">
        <v>228.15373201433511</v>
      </c>
      <c r="S157" s="219">
        <v>4948.4894673460503</v>
      </c>
      <c r="T157" s="221"/>
      <c r="U157" s="222">
        <v>0</v>
      </c>
      <c r="V157" s="229">
        <v>-1</v>
      </c>
    </row>
    <row r="158" spans="1:22" customFormat="1" x14ac:dyDescent="0.25">
      <c r="A158" s="214">
        <v>48</v>
      </c>
      <c r="B158" s="215" t="s">
        <v>351</v>
      </c>
      <c r="C158" s="254" t="s">
        <v>364</v>
      </c>
      <c r="D158" s="251" t="s">
        <v>363</v>
      </c>
      <c r="E158" s="215" t="s">
        <v>350</v>
      </c>
      <c r="F158" s="216" t="s">
        <v>352</v>
      </c>
      <c r="G158" s="332">
        <v>0</v>
      </c>
      <c r="H158" s="332">
        <v>0</v>
      </c>
      <c r="I158" s="332">
        <v>0</v>
      </c>
      <c r="J158" s="332">
        <v>0</v>
      </c>
      <c r="K158" s="332">
        <v>0</v>
      </c>
      <c r="L158" s="332">
        <v>0</v>
      </c>
      <c r="M158" s="332">
        <v>0</v>
      </c>
      <c r="N158" s="332">
        <v>0</v>
      </c>
      <c r="O158" s="332">
        <v>0</v>
      </c>
      <c r="P158" s="332">
        <v>0</v>
      </c>
      <c r="Q158" s="332">
        <v>0</v>
      </c>
      <c r="R158" s="332">
        <v>0</v>
      </c>
      <c r="S158" s="331">
        <v>0</v>
      </c>
      <c r="T158" s="253">
        <v>0.25</v>
      </c>
      <c r="U158" s="222">
        <v>0</v>
      </c>
      <c r="V158" s="229">
        <v>1</v>
      </c>
    </row>
    <row r="159" spans="1:22" customFormat="1" x14ac:dyDescent="0.25">
      <c r="A159" s="214">
        <v>48</v>
      </c>
      <c r="B159" s="215" t="s">
        <v>351</v>
      </c>
      <c r="C159" s="254" t="s">
        <v>364</v>
      </c>
      <c r="D159" s="251" t="s">
        <v>363</v>
      </c>
      <c r="E159" s="215" t="s">
        <v>379</v>
      </c>
      <c r="F159" s="216" t="s">
        <v>16</v>
      </c>
      <c r="G159" s="332">
        <v>0</v>
      </c>
      <c r="H159" s="332">
        <v>0</v>
      </c>
      <c r="I159" s="332">
        <v>0</v>
      </c>
      <c r="J159" s="332">
        <v>0</v>
      </c>
      <c r="K159" s="332">
        <v>0</v>
      </c>
      <c r="L159" s="332">
        <v>0</v>
      </c>
      <c r="M159" s="332">
        <v>0</v>
      </c>
      <c r="N159" s="332">
        <v>0</v>
      </c>
      <c r="O159" s="332">
        <v>0</v>
      </c>
      <c r="P159" s="332">
        <v>0</v>
      </c>
      <c r="Q159" s="332">
        <v>0</v>
      </c>
      <c r="R159" s="332">
        <v>0</v>
      </c>
      <c r="S159" s="331">
        <v>0</v>
      </c>
      <c r="T159" s="253">
        <v>0.25</v>
      </c>
      <c r="U159" s="222">
        <v>0</v>
      </c>
      <c r="V159" s="222">
        <v>0</v>
      </c>
    </row>
    <row r="160" spans="1:22" customFormat="1" x14ac:dyDescent="0.25">
      <c r="A160" s="214">
        <v>48</v>
      </c>
      <c r="B160" s="215" t="s">
        <v>351</v>
      </c>
      <c r="C160" s="254" t="s">
        <v>364</v>
      </c>
      <c r="D160" s="251" t="s">
        <v>363</v>
      </c>
      <c r="E160" s="215" t="s">
        <v>380</v>
      </c>
      <c r="F160" s="216" t="s">
        <v>381</v>
      </c>
      <c r="G160" s="332">
        <v>0</v>
      </c>
      <c r="H160" s="332">
        <v>0</v>
      </c>
      <c r="I160" s="332">
        <v>0</v>
      </c>
      <c r="J160" s="332">
        <v>0</v>
      </c>
      <c r="K160" s="332">
        <v>0</v>
      </c>
      <c r="L160" s="332">
        <v>0</v>
      </c>
      <c r="M160" s="332">
        <v>0</v>
      </c>
      <c r="N160" s="332">
        <v>0</v>
      </c>
      <c r="O160" s="332">
        <v>0</v>
      </c>
      <c r="P160" s="332">
        <v>0</v>
      </c>
      <c r="Q160" s="332">
        <v>0</v>
      </c>
      <c r="R160" s="332">
        <v>0</v>
      </c>
      <c r="S160" s="331">
        <v>0</v>
      </c>
      <c r="T160" s="253">
        <v>0.25</v>
      </c>
      <c r="U160" s="222">
        <v>0</v>
      </c>
      <c r="V160" s="222">
        <v>0</v>
      </c>
    </row>
    <row r="161" spans="1:22" customFormat="1" x14ac:dyDescent="0.25">
      <c r="A161" s="214">
        <v>48</v>
      </c>
      <c r="B161" s="215" t="s">
        <v>351</v>
      </c>
      <c r="C161" s="254" t="s">
        <v>364</v>
      </c>
      <c r="D161" s="251" t="s">
        <v>363</v>
      </c>
      <c r="E161" s="215" t="s">
        <v>382</v>
      </c>
      <c r="F161" s="216" t="s">
        <v>383</v>
      </c>
      <c r="G161" s="332">
        <v>0</v>
      </c>
      <c r="H161" s="332">
        <v>0</v>
      </c>
      <c r="I161" s="332">
        <v>0</v>
      </c>
      <c r="J161" s="332">
        <v>0</v>
      </c>
      <c r="K161" s="332">
        <v>0</v>
      </c>
      <c r="L161" s="332">
        <v>0</v>
      </c>
      <c r="M161" s="332">
        <v>0</v>
      </c>
      <c r="N161" s="332">
        <v>0</v>
      </c>
      <c r="O161" s="332">
        <v>0</v>
      </c>
      <c r="P161" s="332">
        <v>0</v>
      </c>
      <c r="Q161" s="332">
        <v>0</v>
      </c>
      <c r="R161" s="332">
        <v>0</v>
      </c>
      <c r="S161" s="331">
        <v>0</v>
      </c>
      <c r="T161" s="253">
        <v>0.25</v>
      </c>
      <c r="U161" s="222">
        <v>0</v>
      </c>
      <c r="V161" s="229">
        <v>1</v>
      </c>
    </row>
    <row r="162" spans="1:22" customFormat="1" x14ac:dyDescent="0.25">
      <c r="A162" s="214">
        <v>48</v>
      </c>
      <c r="B162" s="215" t="s">
        <v>351</v>
      </c>
      <c r="C162" s="254" t="s">
        <v>364</v>
      </c>
      <c r="D162" s="251" t="s">
        <v>363</v>
      </c>
      <c r="E162" s="215" t="s">
        <v>384</v>
      </c>
      <c r="F162" s="216" t="s">
        <v>385</v>
      </c>
      <c r="G162" s="332">
        <v>0</v>
      </c>
      <c r="H162" s="332">
        <v>0</v>
      </c>
      <c r="I162" s="332">
        <v>0</v>
      </c>
      <c r="J162" s="332">
        <v>0</v>
      </c>
      <c r="K162" s="332">
        <v>0</v>
      </c>
      <c r="L162" s="332">
        <v>0</v>
      </c>
      <c r="M162" s="332">
        <v>0</v>
      </c>
      <c r="N162" s="332">
        <v>0</v>
      </c>
      <c r="O162" s="332">
        <v>0</v>
      </c>
      <c r="P162" s="332">
        <v>0</v>
      </c>
      <c r="Q162" s="332">
        <v>0</v>
      </c>
      <c r="R162" s="332">
        <v>0</v>
      </c>
      <c r="S162" s="331">
        <v>0</v>
      </c>
      <c r="T162" s="253">
        <v>0.25</v>
      </c>
      <c r="U162" s="222">
        <v>0</v>
      </c>
      <c r="V162" s="222">
        <v>0</v>
      </c>
    </row>
    <row r="163" spans="1:22" customFormat="1" x14ac:dyDescent="0.25">
      <c r="A163" s="214">
        <v>49</v>
      </c>
      <c r="B163" s="215" t="s">
        <v>351</v>
      </c>
      <c r="C163" s="254" t="s">
        <v>366</v>
      </c>
      <c r="D163" s="251" t="s">
        <v>365</v>
      </c>
      <c r="E163" s="215" t="s">
        <v>350</v>
      </c>
      <c r="F163" s="216" t="s">
        <v>352</v>
      </c>
      <c r="G163" s="332">
        <v>0</v>
      </c>
      <c r="H163" s="332">
        <v>0</v>
      </c>
      <c r="I163" s="332">
        <v>0</v>
      </c>
      <c r="J163" s="332">
        <v>0</v>
      </c>
      <c r="K163" s="332">
        <v>0</v>
      </c>
      <c r="L163" s="332">
        <v>0</v>
      </c>
      <c r="M163" s="332">
        <v>0</v>
      </c>
      <c r="N163" s="332">
        <v>0</v>
      </c>
      <c r="O163" s="332">
        <v>0</v>
      </c>
      <c r="P163" s="332">
        <v>0</v>
      </c>
      <c r="Q163" s="332">
        <v>0</v>
      </c>
      <c r="R163" s="332">
        <v>0</v>
      </c>
      <c r="S163" s="331">
        <v>0</v>
      </c>
      <c r="T163" s="253">
        <v>0.75</v>
      </c>
      <c r="U163" s="222">
        <v>0</v>
      </c>
      <c r="V163" s="222">
        <v>0</v>
      </c>
    </row>
    <row r="164" spans="1:22" customFormat="1" x14ac:dyDescent="0.25">
      <c r="A164" s="214">
        <v>49</v>
      </c>
      <c r="B164" s="215" t="s">
        <v>351</v>
      </c>
      <c r="C164" s="254" t="s">
        <v>366</v>
      </c>
      <c r="D164" s="251" t="s">
        <v>365</v>
      </c>
      <c r="E164" s="215" t="s">
        <v>379</v>
      </c>
      <c r="F164" s="216" t="s">
        <v>16</v>
      </c>
      <c r="G164" s="332">
        <v>0</v>
      </c>
      <c r="H164" s="332">
        <v>0</v>
      </c>
      <c r="I164" s="332">
        <v>0</v>
      </c>
      <c r="J164" s="332">
        <v>0</v>
      </c>
      <c r="K164" s="332">
        <v>0</v>
      </c>
      <c r="L164" s="332">
        <v>0</v>
      </c>
      <c r="M164" s="332">
        <v>0</v>
      </c>
      <c r="N164" s="332">
        <v>0</v>
      </c>
      <c r="O164" s="332">
        <v>0</v>
      </c>
      <c r="P164" s="332">
        <v>0</v>
      </c>
      <c r="Q164" s="332">
        <v>0</v>
      </c>
      <c r="R164" s="332">
        <v>0</v>
      </c>
      <c r="S164" s="331">
        <v>0</v>
      </c>
      <c r="T164" s="253">
        <v>0.75</v>
      </c>
      <c r="U164" s="229">
        <v>1</v>
      </c>
      <c r="V164" s="222">
        <v>0</v>
      </c>
    </row>
    <row r="165" spans="1:22" customFormat="1" x14ac:dyDescent="0.25">
      <c r="A165" s="214">
        <v>49</v>
      </c>
      <c r="B165" s="215" t="s">
        <v>351</v>
      </c>
      <c r="C165" s="254" t="s">
        <v>366</v>
      </c>
      <c r="D165" s="251" t="s">
        <v>365</v>
      </c>
      <c r="E165" s="215" t="s">
        <v>380</v>
      </c>
      <c r="F165" s="216" t="s">
        <v>381</v>
      </c>
      <c r="G165" s="332">
        <v>0</v>
      </c>
      <c r="H165" s="332">
        <v>0</v>
      </c>
      <c r="I165" s="332">
        <v>0</v>
      </c>
      <c r="J165" s="332">
        <v>0</v>
      </c>
      <c r="K165" s="332">
        <v>0</v>
      </c>
      <c r="L165" s="332">
        <v>0</v>
      </c>
      <c r="M165" s="332">
        <v>0</v>
      </c>
      <c r="N165" s="332">
        <v>0</v>
      </c>
      <c r="O165" s="332">
        <v>0</v>
      </c>
      <c r="P165" s="332">
        <v>0</v>
      </c>
      <c r="Q165" s="332">
        <v>0</v>
      </c>
      <c r="R165" s="332">
        <v>0</v>
      </c>
      <c r="S165" s="331">
        <v>0</v>
      </c>
      <c r="T165" s="253">
        <v>0.75</v>
      </c>
      <c r="U165" s="222">
        <v>0</v>
      </c>
      <c r="V165" s="222">
        <v>0</v>
      </c>
    </row>
    <row r="166" spans="1:22" customFormat="1" x14ac:dyDescent="0.25">
      <c r="A166" s="214">
        <v>49</v>
      </c>
      <c r="B166" s="215" t="s">
        <v>351</v>
      </c>
      <c r="C166" s="254" t="s">
        <v>366</v>
      </c>
      <c r="D166" s="251" t="s">
        <v>365</v>
      </c>
      <c r="E166" s="215" t="s">
        <v>382</v>
      </c>
      <c r="F166" s="216" t="s">
        <v>383</v>
      </c>
      <c r="G166" s="332">
        <v>0</v>
      </c>
      <c r="H166" s="332">
        <v>0</v>
      </c>
      <c r="I166" s="332">
        <v>0</v>
      </c>
      <c r="J166" s="332">
        <v>0</v>
      </c>
      <c r="K166" s="332">
        <v>0</v>
      </c>
      <c r="L166" s="332">
        <v>0</v>
      </c>
      <c r="M166" s="332">
        <v>0</v>
      </c>
      <c r="N166" s="332">
        <v>0</v>
      </c>
      <c r="O166" s="332">
        <v>0</v>
      </c>
      <c r="P166" s="332">
        <v>0</v>
      </c>
      <c r="Q166" s="332">
        <v>0</v>
      </c>
      <c r="R166" s="332">
        <v>0</v>
      </c>
      <c r="S166" s="331">
        <v>0</v>
      </c>
      <c r="T166" s="253">
        <v>0.75</v>
      </c>
      <c r="U166" s="222">
        <v>0</v>
      </c>
      <c r="V166" s="222">
        <v>0</v>
      </c>
    </row>
    <row r="167" spans="1:22" customFormat="1" x14ac:dyDescent="0.25">
      <c r="A167" s="214">
        <v>49</v>
      </c>
      <c r="B167" s="215" t="s">
        <v>351</v>
      </c>
      <c r="C167" s="254" t="s">
        <v>366</v>
      </c>
      <c r="D167" s="251" t="s">
        <v>365</v>
      </c>
      <c r="E167" s="215" t="s">
        <v>384</v>
      </c>
      <c r="F167" s="216" t="s">
        <v>385</v>
      </c>
      <c r="G167" s="332">
        <v>0</v>
      </c>
      <c r="H167" s="332">
        <v>0</v>
      </c>
      <c r="I167" s="332">
        <v>0</v>
      </c>
      <c r="J167" s="332">
        <v>0</v>
      </c>
      <c r="K167" s="332">
        <v>0</v>
      </c>
      <c r="L167" s="332">
        <v>0</v>
      </c>
      <c r="M167" s="332">
        <v>0</v>
      </c>
      <c r="N167" s="332">
        <v>0</v>
      </c>
      <c r="O167" s="332">
        <v>0</v>
      </c>
      <c r="P167" s="332">
        <v>0</v>
      </c>
      <c r="Q167" s="332">
        <v>0</v>
      </c>
      <c r="R167" s="332">
        <v>0</v>
      </c>
      <c r="S167" s="331">
        <v>0</v>
      </c>
      <c r="T167" s="253">
        <v>0.75</v>
      </c>
      <c r="U167" s="222">
        <v>0</v>
      </c>
      <c r="V167" s="222">
        <v>0</v>
      </c>
    </row>
    <row r="168" spans="1:22" customFormat="1" x14ac:dyDescent="0.25">
      <c r="A168" s="214">
        <v>50</v>
      </c>
      <c r="B168" s="215" t="s">
        <v>351</v>
      </c>
      <c r="C168" s="334" t="s">
        <v>368</v>
      </c>
      <c r="D168" s="333" t="s">
        <v>367</v>
      </c>
      <c r="E168" s="215" t="s">
        <v>350</v>
      </c>
      <c r="F168" s="216" t="s">
        <v>352</v>
      </c>
      <c r="G168" s="335">
        <v>105.36556371896306</v>
      </c>
      <c r="H168" s="335">
        <v>111.22745383387087</v>
      </c>
      <c r="I168" s="335">
        <v>117.68219109533409</v>
      </c>
      <c r="J168" s="335">
        <v>126.86829252044161</v>
      </c>
      <c r="K168" s="335">
        <v>121.88400586695919</v>
      </c>
      <c r="L168" s="335">
        <v>141.23783920978175</v>
      </c>
      <c r="M168" s="335">
        <v>155.3166660732501</v>
      </c>
      <c r="N168" s="335">
        <v>116.35457307733327</v>
      </c>
      <c r="O168" s="335">
        <v>91.201813346081849</v>
      </c>
      <c r="P168" s="335">
        <v>82.322621364463402</v>
      </c>
      <c r="Q168" s="335">
        <v>83.183503920407489</v>
      </c>
      <c r="R168" s="335">
        <v>88.088428710351124</v>
      </c>
      <c r="S168" s="417">
        <v>1340.7329527372378</v>
      </c>
      <c r="T168" s="336"/>
      <c r="U168" s="229">
        <v>1</v>
      </c>
      <c r="V168" s="222">
        <v>-1</v>
      </c>
    </row>
    <row r="169" spans="1:22" customFormat="1" x14ac:dyDescent="0.25">
      <c r="A169" s="214">
        <v>50</v>
      </c>
      <c r="B169" s="215" t="s">
        <v>351</v>
      </c>
      <c r="C169" s="334" t="s">
        <v>368</v>
      </c>
      <c r="D169" s="333" t="s">
        <v>367</v>
      </c>
      <c r="E169" s="215" t="s">
        <v>379</v>
      </c>
      <c r="F169" s="216" t="s">
        <v>16</v>
      </c>
      <c r="G169" s="335">
        <v>104.71847762643164</v>
      </c>
      <c r="H169" s="335">
        <v>110.86080353146528</v>
      </c>
      <c r="I169" s="335">
        <v>117.67650752266327</v>
      </c>
      <c r="J169" s="335">
        <v>128.14475563694194</v>
      </c>
      <c r="K169" s="335">
        <v>123.91727888715442</v>
      </c>
      <c r="L169" s="335">
        <v>144.49939786718599</v>
      </c>
      <c r="M169" s="335">
        <v>159.06795515532826</v>
      </c>
      <c r="N169" s="335">
        <v>118.82793763192029</v>
      </c>
      <c r="O169" s="335">
        <v>91.291308566800183</v>
      </c>
      <c r="P169" s="335">
        <v>82.460772666531014</v>
      </c>
      <c r="Q169" s="335">
        <v>83.23546222289238</v>
      </c>
      <c r="R169" s="335">
        <v>87.506430224672513</v>
      </c>
      <c r="S169" s="417">
        <v>1352.2070875399872</v>
      </c>
      <c r="T169" s="336"/>
      <c r="U169" s="222">
        <v>0</v>
      </c>
      <c r="V169" s="222">
        <v>0</v>
      </c>
    </row>
    <row r="170" spans="1:22" customFormat="1" x14ac:dyDescent="0.25">
      <c r="A170" s="214">
        <v>50</v>
      </c>
      <c r="B170" s="215" t="s">
        <v>351</v>
      </c>
      <c r="C170" s="334" t="s">
        <v>368</v>
      </c>
      <c r="D170" s="333" t="s">
        <v>367</v>
      </c>
      <c r="E170" s="215" t="s">
        <v>380</v>
      </c>
      <c r="F170" s="216" t="s">
        <v>381</v>
      </c>
      <c r="G170" s="335">
        <v>109.7475442342792</v>
      </c>
      <c r="H170" s="335">
        <v>114.64528886707915</v>
      </c>
      <c r="I170" s="335">
        <v>153.29123530115254</v>
      </c>
      <c r="J170" s="335">
        <v>173.12195401390446</v>
      </c>
      <c r="K170" s="335">
        <v>197.48357138047049</v>
      </c>
      <c r="L170" s="335">
        <v>270.89362302222264</v>
      </c>
      <c r="M170" s="335">
        <v>335.10754887642139</v>
      </c>
      <c r="N170" s="335">
        <v>212.42082722967388</v>
      </c>
      <c r="O170" s="335">
        <v>116.61735945447127</v>
      </c>
      <c r="P170" s="335">
        <v>106.37539972793628</v>
      </c>
      <c r="Q170" s="335">
        <v>107.59854915557742</v>
      </c>
      <c r="R170" s="335">
        <v>105.06202053212532</v>
      </c>
      <c r="S170" s="417">
        <v>2002.3649217953141</v>
      </c>
      <c r="T170" s="336"/>
      <c r="U170" s="222">
        <v>0</v>
      </c>
      <c r="V170" s="222">
        <v>0</v>
      </c>
    </row>
    <row r="171" spans="1:22" customFormat="1" x14ac:dyDescent="0.25">
      <c r="A171" s="214">
        <v>50</v>
      </c>
      <c r="B171" s="215" t="s">
        <v>351</v>
      </c>
      <c r="C171" s="334" t="s">
        <v>368</v>
      </c>
      <c r="D171" s="333" t="s">
        <v>367</v>
      </c>
      <c r="E171" s="215" t="s">
        <v>382</v>
      </c>
      <c r="F171" s="216" t="s">
        <v>383</v>
      </c>
      <c r="G171" s="335">
        <v>114.67443068545501</v>
      </c>
      <c r="H171" s="335">
        <v>117.98757294309183</v>
      </c>
      <c r="I171" s="335">
        <v>145.98242551576098</v>
      </c>
      <c r="J171" s="335">
        <v>160.94559377466067</v>
      </c>
      <c r="K171" s="335">
        <v>173.7806311630487</v>
      </c>
      <c r="L171" s="335">
        <v>234.3532051139218</v>
      </c>
      <c r="M171" s="335">
        <v>236.14276642735408</v>
      </c>
      <c r="N171" s="335">
        <v>198.13384295556287</v>
      </c>
      <c r="O171" s="335">
        <v>125.01168414393116</v>
      </c>
      <c r="P171" s="335">
        <v>113.22525586559</v>
      </c>
      <c r="Q171" s="335">
        <v>113.53905773708891</v>
      </c>
      <c r="R171" s="335">
        <v>110.17108610706393</v>
      </c>
      <c r="S171" s="417">
        <v>1843.9475524325301</v>
      </c>
      <c r="T171" s="336"/>
      <c r="U171" s="222">
        <v>0</v>
      </c>
      <c r="V171" s="222">
        <v>0</v>
      </c>
    </row>
    <row r="172" spans="1:22" customFormat="1" x14ac:dyDescent="0.25">
      <c r="A172" s="214">
        <v>50</v>
      </c>
      <c r="B172" s="215" t="s">
        <v>351</v>
      </c>
      <c r="C172" s="334" t="s">
        <v>368</v>
      </c>
      <c r="D172" s="333" t="s">
        <v>367</v>
      </c>
      <c r="E172" s="215" t="s">
        <v>384</v>
      </c>
      <c r="F172" s="216" t="s">
        <v>385</v>
      </c>
      <c r="G172" s="335">
        <v>114.45974174615029</v>
      </c>
      <c r="H172" s="335">
        <v>117.98549697747902</v>
      </c>
      <c r="I172" s="335">
        <v>145.93650001018582</v>
      </c>
      <c r="J172" s="335">
        <v>160.92095545144178</v>
      </c>
      <c r="K172" s="335">
        <v>173.66950295792049</v>
      </c>
      <c r="L172" s="335">
        <v>234.3532051139218</v>
      </c>
      <c r="M172" s="335">
        <v>236.07506338568737</v>
      </c>
      <c r="N172" s="335">
        <v>197.84861712146025</v>
      </c>
      <c r="O172" s="335">
        <v>124.4314711391055</v>
      </c>
      <c r="P172" s="335">
        <v>112.56362841851221</v>
      </c>
      <c r="Q172" s="335">
        <v>112.89058868736883</v>
      </c>
      <c r="R172" s="335">
        <v>109.7709786395602</v>
      </c>
      <c r="S172" s="417">
        <v>1840.9057496487935</v>
      </c>
      <c r="T172" s="336"/>
      <c r="U172" s="222">
        <v>0</v>
      </c>
      <c r="V172" s="222">
        <v>1</v>
      </c>
    </row>
    <row r="173" spans="1:22" customFormat="1" x14ac:dyDescent="0.25">
      <c r="A173" s="214">
        <v>43</v>
      </c>
      <c r="B173" s="215" t="s">
        <v>351</v>
      </c>
      <c r="C173" s="218" t="s">
        <v>354</v>
      </c>
      <c r="D173" s="217" t="s">
        <v>353</v>
      </c>
      <c r="E173" s="215" t="s">
        <v>350</v>
      </c>
      <c r="F173" s="216" t="s">
        <v>352</v>
      </c>
      <c r="G173" s="220">
        <v>117.49143152884596</v>
      </c>
      <c r="H173" s="220">
        <v>121.60540232953456</v>
      </c>
      <c r="I173" s="220">
        <v>125.77134575711705</v>
      </c>
      <c r="J173" s="220">
        <v>135.28096178883888</v>
      </c>
      <c r="K173" s="220">
        <v>128.62016260525073</v>
      </c>
      <c r="L173" s="220">
        <v>150.88751130399555</v>
      </c>
      <c r="M173" s="220">
        <v>169.55781647211572</v>
      </c>
      <c r="N173" s="220">
        <v>122.68189226299386</v>
      </c>
      <c r="O173" s="220">
        <v>82.617745917315887</v>
      </c>
      <c r="P173" s="220">
        <v>62.391126334547472</v>
      </c>
      <c r="Q173" s="220">
        <v>64.152474493580428</v>
      </c>
      <c r="R173" s="220">
        <v>92.05082309699111</v>
      </c>
      <c r="S173" s="219">
        <v>1373.1088040011273</v>
      </c>
      <c r="T173" s="321"/>
      <c r="U173" s="222">
        <v>0</v>
      </c>
      <c r="V173" s="222">
        <v>1</v>
      </c>
    </row>
    <row r="174" spans="1:22" customFormat="1" x14ac:dyDescent="0.25">
      <c r="A174" s="214">
        <v>43</v>
      </c>
      <c r="B174" s="215" t="s">
        <v>351</v>
      </c>
      <c r="C174" s="218" t="s">
        <v>354</v>
      </c>
      <c r="D174" s="217" t="s">
        <v>353</v>
      </c>
      <c r="E174" s="215" t="s">
        <v>379</v>
      </c>
      <c r="F174" s="216" t="s">
        <v>16</v>
      </c>
      <c r="G174" s="220">
        <v>105.36556371896306</v>
      </c>
      <c r="H174" s="220">
        <v>111.22745383387087</v>
      </c>
      <c r="I174" s="220">
        <v>117.68219109533409</v>
      </c>
      <c r="J174" s="220">
        <v>128.14475563694197</v>
      </c>
      <c r="K174" s="220">
        <v>123.91477189063286</v>
      </c>
      <c r="L174" s="220">
        <v>145.15399628905735</v>
      </c>
      <c r="M174" s="220">
        <v>159.1026754043213</v>
      </c>
      <c r="N174" s="220">
        <v>118.87950957238516</v>
      </c>
      <c r="O174" s="220">
        <v>91.201813346081849</v>
      </c>
      <c r="P174" s="220">
        <v>82.322621364463402</v>
      </c>
      <c r="Q174" s="220">
        <v>83.183503920407489</v>
      </c>
      <c r="R174" s="220">
        <v>88.088428710351124</v>
      </c>
      <c r="S174" s="219">
        <v>1354.2672847828105</v>
      </c>
      <c r="T174" s="321"/>
      <c r="U174" s="222">
        <v>0</v>
      </c>
      <c r="V174" s="222">
        <v>1</v>
      </c>
    </row>
    <row r="175" spans="1:22" customFormat="1" x14ac:dyDescent="0.25">
      <c r="A175" s="214">
        <v>43</v>
      </c>
      <c r="B175" s="215" t="s">
        <v>351</v>
      </c>
      <c r="C175" s="218" t="s">
        <v>354</v>
      </c>
      <c r="D175" s="217" t="s">
        <v>353</v>
      </c>
      <c r="E175" s="215" t="s">
        <v>380</v>
      </c>
      <c r="F175" s="216" t="s">
        <v>381</v>
      </c>
      <c r="G175" s="220">
        <v>113.554284564344</v>
      </c>
      <c r="H175" s="220">
        <v>142.3842881409609</v>
      </c>
      <c r="I175" s="220">
        <v>193.92476535479662</v>
      </c>
      <c r="J175" s="220">
        <v>207.20431935010109</v>
      </c>
      <c r="K175" s="220">
        <v>227.87185153204481</v>
      </c>
      <c r="L175" s="220">
        <v>333.14732869906362</v>
      </c>
      <c r="M175" s="220">
        <v>376.42083681045341</v>
      </c>
      <c r="N175" s="220">
        <v>225.78335940048251</v>
      </c>
      <c r="O175" s="220">
        <v>99.822008312073038</v>
      </c>
      <c r="P175" s="220">
        <v>55.791748951164323</v>
      </c>
      <c r="Q175" s="220">
        <v>53.997111951749616</v>
      </c>
      <c r="R175" s="220">
        <v>84.405305380623787</v>
      </c>
      <c r="S175" s="219">
        <v>2114.3072084478576</v>
      </c>
      <c r="T175" s="321"/>
      <c r="U175" s="222">
        <v>0</v>
      </c>
      <c r="V175" s="222">
        <v>-1</v>
      </c>
    </row>
    <row r="176" spans="1:22" customFormat="1" x14ac:dyDescent="0.25">
      <c r="A176" s="214">
        <v>43</v>
      </c>
      <c r="B176" s="215" t="s">
        <v>351</v>
      </c>
      <c r="C176" s="218" t="s">
        <v>354</v>
      </c>
      <c r="D176" s="217" t="s">
        <v>353</v>
      </c>
      <c r="E176" s="215" t="s">
        <v>382</v>
      </c>
      <c r="F176" s="216" t="s">
        <v>383</v>
      </c>
      <c r="G176" s="220">
        <v>112.76426818259235</v>
      </c>
      <c r="H176" s="220">
        <v>118.6868444260861</v>
      </c>
      <c r="I176" s="220">
        <v>165.0885666585695</v>
      </c>
      <c r="J176" s="220">
        <v>188.52557419427472</v>
      </c>
      <c r="K176" s="220">
        <v>216.20099665523884</v>
      </c>
      <c r="L176" s="220">
        <v>311.85084244762299</v>
      </c>
      <c r="M176" s="220">
        <v>379.72651897045876</v>
      </c>
      <c r="N176" s="220">
        <v>233.52111215323924</v>
      </c>
      <c r="O176" s="220">
        <v>124.5459510180719</v>
      </c>
      <c r="P176" s="220">
        <v>110.13757585594365</v>
      </c>
      <c r="Q176" s="220">
        <v>110.2036961945529</v>
      </c>
      <c r="R176" s="220">
        <v>106.78368485704684</v>
      </c>
      <c r="S176" s="219">
        <v>2178.0356316136981</v>
      </c>
      <c r="T176" s="321"/>
      <c r="U176" s="222"/>
      <c r="V176" s="222"/>
    </row>
    <row r="177" spans="1:22" customFormat="1" x14ac:dyDescent="0.25">
      <c r="A177" s="214">
        <v>43</v>
      </c>
      <c r="B177" s="215" t="s">
        <v>351</v>
      </c>
      <c r="C177" s="218" t="s">
        <v>354</v>
      </c>
      <c r="D177" s="217" t="s">
        <v>353</v>
      </c>
      <c r="E177" s="215" t="s">
        <v>384</v>
      </c>
      <c r="F177" s="216" t="s">
        <v>385</v>
      </c>
      <c r="G177" s="220">
        <v>114.65513270184013</v>
      </c>
      <c r="H177" s="220">
        <v>117.97020475773846</v>
      </c>
      <c r="I177" s="220">
        <v>159.03698207340014</v>
      </c>
      <c r="J177" s="220">
        <v>180.47792365812202</v>
      </c>
      <c r="K177" s="220">
        <v>213.42535275211534</v>
      </c>
      <c r="L177" s="220">
        <v>305.5741083817291</v>
      </c>
      <c r="M177" s="220">
        <v>376.07671731055621</v>
      </c>
      <c r="N177" s="220">
        <v>233.08890949811584</v>
      </c>
      <c r="O177" s="220">
        <v>124.98919304315747</v>
      </c>
      <c r="P177" s="220">
        <v>113.20178689091311</v>
      </c>
      <c r="Q177" s="220">
        <v>113.51461088850883</v>
      </c>
      <c r="R177" s="220">
        <v>110.14859500629024</v>
      </c>
      <c r="S177" s="219">
        <v>2162.393506072543</v>
      </c>
      <c r="T177" s="321"/>
      <c r="U177" s="222"/>
      <c r="V177" s="222"/>
    </row>
    <row r="178" spans="1:22" customFormat="1" x14ac:dyDescent="0.25">
      <c r="A178" s="214">
        <v>46</v>
      </c>
      <c r="B178" s="215" t="s">
        <v>351</v>
      </c>
      <c r="C178" s="235" t="s">
        <v>360</v>
      </c>
      <c r="D178" s="234" t="s">
        <v>359</v>
      </c>
      <c r="E178" s="215" t="s">
        <v>350</v>
      </c>
      <c r="F178" s="216" t="s">
        <v>352</v>
      </c>
      <c r="G178" s="330">
        <v>0</v>
      </c>
      <c r="H178" s="330">
        <v>0</v>
      </c>
      <c r="I178" s="330">
        <v>0</v>
      </c>
      <c r="J178" s="330">
        <v>0</v>
      </c>
      <c r="K178" s="330">
        <v>0</v>
      </c>
      <c r="L178" s="330">
        <v>0</v>
      </c>
      <c r="M178" s="330">
        <v>0</v>
      </c>
      <c r="N178" s="330">
        <v>0</v>
      </c>
      <c r="O178" s="330">
        <v>0</v>
      </c>
      <c r="P178" s="330">
        <v>0</v>
      </c>
      <c r="Q178" s="330">
        <v>0</v>
      </c>
      <c r="R178" s="330">
        <v>0</v>
      </c>
      <c r="S178" s="347">
        <v>0</v>
      </c>
      <c r="T178" s="238">
        <v>0.95</v>
      </c>
      <c r="U178" s="222"/>
      <c r="V178" s="222"/>
    </row>
    <row r="179" spans="1:22" customFormat="1" x14ac:dyDescent="0.25">
      <c r="A179" s="214">
        <v>46</v>
      </c>
      <c r="B179" s="215" t="s">
        <v>351</v>
      </c>
      <c r="C179" s="235" t="s">
        <v>360</v>
      </c>
      <c r="D179" s="234" t="s">
        <v>359</v>
      </c>
      <c r="E179" s="215" t="s">
        <v>379</v>
      </c>
      <c r="F179" s="216" t="s">
        <v>16</v>
      </c>
      <c r="G179" s="330">
        <v>0</v>
      </c>
      <c r="H179" s="330">
        <v>0</v>
      </c>
      <c r="I179" s="330">
        <v>0</v>
      </c>
      <c r="J179" s="330">
        <v>0</v>
      </c>
      <c r="K179" s="330">
        <v>0</v>
      </c>
      <c r="L179" s="330">
        <v>0</v>
      </c>
      <c r="M179" s="330">
        <v>0</v>
      </c>
      <c r="N179" s="330">
        <v>0</v>
      </c>
      <c r="O179" s="330">
        <v>0</v>
      </c>
      <c r="P179" s="330">
        <v>0</v>
      </c>
      <c r="Q179" s="330">
        <v>0</v>
      </c>
      <c r="R179" s="330">
        <v>0</v>
      </c>
      <c r="S179" s="347">
        <v>0</v>
      </c>
      <c r="T179" s="238">
        <v>0.95</v>
      </c>
      <c r="U179" s="437"/>
      <c r="V179" s="437"/>
    </row>
    <row r="180" spans="1:22" customFormat="1" x14ac:dyDescent="0.25">
      <c r="A180" s="214">
        <v>46</v>
      </c>
      <c r="B180" s="215" t="s">
        <v>351</v>
      </c>
      <c r="C180" s="235" t="s">
        <v>360</v>
      </c>
      <c r="D180" s="234" t="s">
        <v>359</v>
      </c>
      <c r="E180" s="215" t="s">
        <v>380</v>
      </c>
      <c r="F180" s="216" t="s">
        <v>381</v>
      </c>
      <c r="G180" s="330">
        <v>0</v>
      </c>
      <c r="H180" s="330">
        <v>0</v>
      </c>
      <c r="I180" s="330">
        <v>0</v>
      </c>
      <c r="J180" s="330">
        <v>0</v>
      </c>
      <c r="K180" s="330">
        <v>0</v>
      </c>
      <c r="L180" s="330">
        <v>0</v>
      </c>
      <c r="M180" s="330">
        <v>0</v>
      </c>
      <c r="N180" s="330">
        <v>0</v>
      </c>
      <c r="O180" s="330">
        <v>0</v>
      </c>
      <c r="P180" s="330">
        <v>0</v>
      </c>
      <c r="Q180" s="330">
        <v>0</v>
      </c>
      <c r="R180" s="330">
        <v>0</v>
      </c>
      <c r="S180" s="347">
        <v>0</v>
      </c>
      <c r="T180" s="238">
        <v>0.95</v>
      </c>
      <c r="U180" s="222"/>
      <c r="V180" s="222"/>
    </row>
    <row r="181" spans="1:22" customFormat="1" x14ac:dyDescent="0.25">
      <c r="A181" s="214">
        <v>46</v>
      </c>
      <c r="B181" s="215" t="s">
        <v>351</v>
      </c>
      <c r="C181" s="235" t="s">
        <v>360</v>
      </c>
      <c r="D181" s="234" t="s">
        <v>359</v>
      </c>
      <c r="E181" s="215" t="s">
        <v>382</v>
      </c>
      <c r="F181" s="216" t="s">
        <v>383</v>
      </c>
      <c r="G181" s="330">
        <v>0</v>
      </c>
      <c r="H181" s="330">
        <v>0</v>
      </c>
      <c r="I181" s="330">
        <v>0</v>
      </c>
      <c r="J181" s="330">
        <v>0</v>
      </c>
      <c r="K181" s="330">
        <v>0</v>
      </c>
      <c r="L181" s="330">
        <v>0</v>
      </c>
      <c r="M181" s="330">
        <v>0</v>
      </c>
      <c r="N181" s="330">
        <v>0</v>
      </c>
      <c r="O181" s="330">
        <v>0</v>
      </c>
      <c r="P181" s="330">
        <v>0</v>
      </c>
      <c r="Q181" s="330">
        <v>0</v>
      </c>
      <c r="R181" s="330">
        <v>0</v>
      </c>
      <c r="S181" s="347">
        <v>0</v>
      </c>
      <c r="T181" s="238">
        <v>0.95</v>
      </c>
      <c r="U181" s="222"/>
      <c r="V181" s="222"/>
    </row>
    <row r="182" spans="1:22" customFormat="1" x14ac:dyDescent="0.25">
      <c r="A182" s="214">
        <v>46</v>
      </c>
      <c r="B182" s="215" t="s">
        <v>351</v>
      </c>
      <c r="C182" s="235" t="s">
        <v>360</v>
      </c>
      <c r="D182" s="234" t="s">
        <v>359</v>
      </c>
      <c r="E182" s="215" t="s">
        <v>384</v>
      </c>
      <c r="F182" s="216" t="s">
        <v>385</v>
      </c>
      <c r="G182" s="330">
        <v>0</v>
      </c>
      <c r="H182" s="330">
        <v>0</v>
      </c>
      <c r="I182" s="330">
        <v>0</v>
      </c>
      <c r="J182" s="330">
        <v>0</v>
      </c>
      <c r="K182" s="330">
        <v>0</v>
      </c>
      <c r="L182" s="330">
        <v>0</v>
      </c>
      <c r="M182" s="330">
        <v>0</v>
      </c>
      <c r="N182" s="330">
        <v>0</v>
      </c>
      <c r="O182" s="330">
        <v>0</v>
      </c>
      <c r="P182" s="330">
        <v>0</v>
      </c>
      <c r="Q182" s="330">
        <v>0</v>
      </c>
      <c r="R182" s="330">
        <v>0</v>
      </c>
      <c r="S182" s="347">
        <v>0</v>
      </c>
      <c r="T182" s="238">
        <v>0.95</v>
      </c>
      <c r="U182" s="222"/>
      <c r="V182" s="222"/>
    </row>
    <row r="183" spans="1:22" customFormat="1" x14ac:dyDescent="0.25">
      <c r="A183" s="214">
        <v>47</v>
      </c>
      <c r="B183" s="215" t="s">
        <v>351</v>
      </c>
      <c r="C183" s="235" t="s">
        <v>362</v>
      </c>
      <c r="D183" s="234" t="s">
        <v>361</v>
      </c>
      <c r="E183" s="215" t="s">
        <v>350</v>
      </c>
      <c r="F183" s="216" t="s">
        <v>352</v>
      </c>
      <c r="G183" s="330">
        <v>0</v>
      </c>
      <c r="H183" s="330">
        <v>0</v>
      </c>
      <c r="I183" s="330">
        <v>0</v>
      </c>
      <c r="J183" s="330">
        <v>0</v>
      </c>
      <c r="K183" s="330">
        <v>0</v>
      </c>
      <c r="L183" s="330">
        <v>0</v>
      </c>
      <c r="M183" s="330">
        <v>0</v>
      </c>
      <c r="N183" s="330">
        <v>0</v>
      </c>
      <c r="O183" s="330">
        <v>0</v>
      </c>
      <c r="P183" s="330">
        <v>0</v>
      </c>
      <c r="Q183" s="330">
        <v>0</v>
      </c>
      <c r="R183" s="330">
        <v>0</v>
      </c>
      <c r="S183" s="347">
        <v>0</v>
      </c>
      <c r="T183" s="238">
        <v>5.0000000000000044E-2</v>
      </c>
      <c r="U183" s="222"/>
      <c r="V183" s="222"/>
    </row>
    <row r="184" spans="1:22" customFormat="1" x14ac:dyDescent="0.25">
      <c r="A184" s="214">
        <v>47</v>
      </c>
      <c r="B184" s="215" t="s">
        <v>351</v>
      </c>
      <c r="C184" s="235" t="s">
        <v>362</v>
      </c>
      <c r="D184" s="234" t="s">
        <v>361</v>
      </c>
      <c r="E184" s="215" t="s">
        <v>379</v>
      </c>
      <c r="F184" s="216" t="s">
        <v>16</v>
      </c>
      <c r="G184" s="330">
        <v>0</v>
      </c>
      <c r="H184" s="330">
        <v>0</v>
      </c>
      <c r="I184" s="330">
        <v>0</v>
      </c>
      <c r="J184" s="330">
        <v>0</v>
      </c>
      <c r="K184" s="330">
        <v>0</v>
      </c>
      <c r="L184" s="330">
        <v>0</v>
      </c>
      <c r="M184" s="330">
        <v>0</v>
      </c>
      <c r="N184" s="330">
        <v>0</v>
      </c>
      <c r="O184" s="330">
        <v>0</v>
      </c>
      <c r="P184" s="330">
        <v>0</v>
      </c>
      <c r="Q184" s="330">
        <v>0</v>
      </c>
      <c r="R184" s="330">
        <v>0</v>
      </c>
      <c r="S184" s="347">
        <v>0</v>
      </c>
      <c r="T184" s="238">
        <v>5.0000000000000044E-2</v>
      </c>
      <c r="U184" s="437"/>
      <c r="V184" s="437"/>
    </row>
    <row r="185" spans="1:22" customFormat="1" x14ac:dyDescent="0.25">
      <c r="A185" s="214">
        <v>47</v>
      </c>
      <c r="B185" s="215" t="s">
        <v>351</v>
      </c>
      <c r="C185" s="235" t="s">
        <v>362</v>
      </c>
      <c r="D185" s="234" t="s">
        <v>361</v>
      </c>
      <c r="E185" s="215" t="s">
        <v>380</v>
      </c>
      <c r="F185" s="216" t="s">
        <v>381</v>
      </c>
      <c r="G185" s="330">
        <v>0</v>
      </c>
      <c r="H185" s="330">
        <v>0</v>
      </c>
      <c r="I185" s="330">
        <v>0</v>
      </c>
      <c r="J185" s="330">
        <v>0</v>
      </c>
      <c r="K185" s="330">
        <v>0</v>
      </c>
      <c r="L185" s="330">
        <v>0</v>
      </c>
      <c r="M185" s="330">
        <v>0</v>
      </c>
      <c r="N185" s="330">
        <v>0</v>
      </c>
      <c r="O185" s="330">
        <v>0</v>
      </c>
      <c r="P185" s="330">
        <v>0</v>
      </c>
      <c r="Q185" s="330">
        <v>0</v>
      </c>
      <c r="R185" s="330">
        <v>0</v>
      </c>
      <c r="S185" s="347">
        <v>0</v>
      </c>
      <c r="T185" s="238">
        <v>5.0000000000000044E-2</v>
      </c>
      <c r="U185" s="222">
        <v>0</v>
      </c>
      <c r="V185" s="222">
        <v>1</v>
      </c>
    </row>
    <row r="186" spans="1:22" customFormat="1" x14ac:dyDescent="0.25">
      <c r="A186" s="214">
        <v>47</v>
      </c>
      <c r="B186" s="215" t="s">
        <v>351</v>
      </c>
      <c r="C186" s="235" t="s">
        <v>362</v>
      </c>
      <c r="D186" s="234" t="s">
        <v>361</v>
      </c>
      <c r="E186" s="215" t="s">
        <v>382</v>
      </c>
      <c r="F186" s="216" t="s">
        <v>383</v>
      </c>
      <c r="G186" s="330">
        <v>0</v>
      </c>
      <c r="H186" s="330">
        <v>0</v>
      </c>
      <c r="I186" s="330">
        <v>0</v>
      </c>
      <c r="J186" s="330">
        <v>0</v>
      </c>
      <c r="K186" s="330">
        <v>0</v>
      </c>
      <c r="L186" s="330">
        <v>0</v>
      </c>
      <c r="M186" s="330">
        <v>0</v>
      </c>
      <c r="N186" s="330">
        <v>0</v>
      </c>
      <c r="O186" s="330">
        <v>0</v>
      </c>
      <c r="P186" s="330">
        <v>0</v>
      </c>
      <c r="Q186" s="330">
        <v>0</v>
      </c>
      <c r="R186" s="330">
        <v>0</v>
      </c>
      <c r="S186" s="347">
        <v>0</v>
      </c>
      <c r="T186" s="238">
        <v>5.0000000000000044E-2</v>
      </c>
      <c r="U186" s="222">
        <v>0</v>
      </c>
      <c r="V186" s="229">
        <v>1</v>
      </c>
    </row>
    <row r="187" spans="1:22" customFormat="1" x14ac:dyDescent="0.25">
      <c r="A187" s="214">
        <v>47</v>
      </c>
      <c r="B187" s="215" t="s">
        <v>351</v>
      </c>
      <c r="C187" s="235" t="s">
        <v>362</v>
      </c>
      <c r="D187" s="234" t="s">
        <v>361</v>
      </c>
      <c r="E187" s="215" t="s">
        <v>384</v>
      </c>
      <c r="F187" s="216" t="s">
        <v>385</v>
      </c>
      <c r="G187" s="330">
        <v>0</v>
      </c>
      <c r="H187" s="330">
        <v>0</v>
      </c>
      <c r="I187" s="330">
        <v>0</v>
      </c>
      <c r="J187" s="330">
        <v>0</v>
      </c>
      <c r="K187" s="330">
        <v>0</v>
      </c>
      <c r="L187" s="330">
        <v>0</v>
      </c>
      <c r="M187" s="330">
        <v>0</v>
      </c>
      <c r="N187" s="330">
        <v>0</v>
      </c>
      <c r="O187" s="330">
        <v>0</v>
      </c>
      <c r="P187" s="330">
        <v>0</v>
      </c>
      <c r="Q187" s="330">
        <v>0</v>
      </c>
      <c r="R187" s="330">
        <v>0</v>
      </c>
      <c r="S187" s="347">
        <v>0</v>
      </c>
      <c r="T187" s="238">
        <v>5.0000000000000044E-2</v>
      </c>
      <c r="U187" s="222">
        <v>0</v>
      </c>
      <c r="V187" s="229">
        <v>1</v>
      </c>
    </row>
    <row r="188" spans="1:22" customFormat="1" x14ac:dyDescent="0.25">
      <c r="A188" s="214">
        <v>45</v>
      </c>
      <c r="B188" s="215" t="s">
        <v>351</v>
      </c>
      <c r="C188" s="327" t="s">
        <v>358</v>
      </c>
      <c r="D188" s="326" t="s">
        <v>357</v>
      </c>
      <c r="E188" s="215" t="s">
        <v>350</v>
      </c>
      <c r="F188" s="216" t="s">
        <v>352</v>
      </c>
      <c r="G188" s="328">
        <v>1.4097694115956154</v>
      </c>
      <c r="H188" s="328">
        <v>0</v>
      </c>
      <c r="I188" s="328">
        <v>0</v>
      </c>
      <c r="J188" s="328">
        <v>0</v>
      </c>
      <c r="K188" s="328">
        <v>0</v>
      </c>
      <c r="L188" s="328">
        <v>0</v>
      </c>
      <c r="M188" s="328">
        <v>0.57988649681600535</v>
      </c>
      <c r="N188" s="328">
        <v>1.8414228559739148</v>
      </c>
      <c r="O188" s="328">
        <v>3.2008645038418329</v>
      </c>
      <c r="P188" s="328">
        <v>4.3691461437628032</v>
      </c>
      <c r="Q188" s="328">
        <v>4.3055855298411778</v>
      </c>
      <c r="R188" s="328">
        <v>3.1348548371324987</v>
      </c>
      <c r="S188" s="328">
        <v>18.841529778963846</v>
      </c>
      <c r="T188" s="329"/>
      <c r="U188" s="229">
        <v>1</v>
      </c>
      <c r="V188" s="229">
        <v>-1</v>
      </c>
    </row>
    <row r="189" spans="1:22" customFormat="1" x14ac:dyDescent="0.25">
      <c r="A189" s="214">
        <v>45</v>
      </c>
      <c r="B189" s="215" t="s">
        <v>351</v>
      </c>
      <c r="C189" s="327" t="s">
        <v>358</v>
      </c>
      <c r="D189" s="326" t="s">
        <v>357</v>
      </c>
      <c r="E189" s="215" t="s">
        <v>379</v>
      </c>
      <c r="F189" s="216" t="s">
        <v>16</v>
      </c>
      <c r="G189" s="328">
        <v>0.11010517906002197</v>
      </c>
      <c r="H189" s="328">
        <v>0</v>
      </c>
      <c r="I189" s="328">
        <v>0</v>
      </c>
      <c r="J189" s="328">
        <v>0</v>
      </c>
      <c r="K189" s="328">
        <v>0</v>
      </c>
      <c r="L189" s="328">
        <v>0</v>
      </c>
      <c r="M189" s="328">
        <v>4.8789686278901019E-2</v>
      </c>
      <c r="N189" s="328">
        <v>0.13885355451994266</v>
      </c>
      <c r="O189" s="328">
        <v>0.23600628636470028</v>
      </c>
      <c r="P189" s="328">
        <v>0.32078432667910167</v>
      </c>
      <c r="Q189" s="328">
        <v>0.31812929643887045</v>
      </c>
      <c r="R189" s="328">
        <v>0.2350521385952343</v>
      </c>
      <c r="S189" s="328">
        <v>1.4077204679367723</v>
      </c>
      <c r="T189" s="329"/>
      <c r="U189" s="229">
        <v>1</v>
      </c>
      <c r="V189" s="229">
        <v>-1</v>
      </c>
    </row>
    <row r="190" spans="1:22" customFormat="1" x14ac:dyDescent="0.25">
      <c r="A190" s="214">
        <v>45</v>
      </c>
      <c r="B190" s="215" t="s">
        <v>351</v>
      </c>
      <c r="C190" s="327" t="s">
        <v>358</v>
      </c>
      <c r="D190" s="326" t="s">
        <v>357</v>
      </c>
      <c r="E190" s="215" t="s">
        <v>380</v>
      </c>
      <c r="F190" s="216" t="s">
        <v>381</v>
      </c>
      <c r="G190" s="328">
        <v>3.5756980536133867</v>
      </c>
      <c r="H190" s="328">
        <v>0.70603871085131753</v>
      </c>
      <c r="I190" s="328">
        <v>0</v>
      </c>
      <c r="J190" s="328">
        <v>0</v>
      </c>
      <c r="K190" s="328">
        <v>0</v>
      </c>
      <c r="L190" s="328">
        <v>0</v>
      </c>
      <c r="M190" s="328">
        <v>4.2805721764393487</v>
      </c>
      <c r="N190" s="328">
        <v>6.7754015658758204</v>
      </c>
      <c r="O190" s="328">
        <v>9.851818732220746</v>
      </c>
      <c r="P190" s="328">
        <v>13.449655872799308</v>
      </c>
      <c r="Q190" s="328">
        <v>12.218187686410516</v>
      </c>
      <c r="R190" s="328">
        <v>8.1390533282569741</v>
      </c>
      <c r="S190" s="328">
        <v>58.996426126467426</v>
      </c>
      <c r="T190" s="329"/>
      <c r="U190" s="222">
        <v>0</v>
      </c>
      <c r="V190" s="229">
        <v>-1</v>
      </c>
    </row>
    <row r="191" spans="1:22" customFormat="1" x14ac:dyDescent="0.25">
      <c r="A191" s="214">
        <v>45</v>
      </c>
      <c r="B191" s="215" t="s">
        <v>351</v>
      </c>
      <c r="C191" s="327" t="s">
        <v>358</v>
      </c>
      <c r="D191" s="326" t="s">
        <v>357</v>
      </c>
      <c r="E191" s="215" t="s">
        <v>382</v>
      </c>
      <c r="F191" s="216" t="s">
        <v>383</v>
      </c>
      <c r="G191" s="328">
        <v>1.0080578148567121</v>
      </c>
      <c r="H191" s="328">
        <v>6.5339127015105513E-3</v>
      </c>
      <c r="I191" s="328">
        <v>0</v>
      </c>
      <c r="J191" s="328">
        <v>0</v>
      </c>
      <c r="K191" s="328">
        <v>0</v>
      </c>
      <c r="L191" s="328">
        <v>0</v>
      </c>
      <c r="M191" s="328">
        <v>1.0058469975536839</v>
      </c>
      <c r="N191" s="328">
        <v>1.8571617955015551</v>
      </c>
      <c r="O191" s="328">
        <v>2.7886444631161007</v>
      </c>
      <c r="P191" s="328">
        <v>3.7010339516894075</v>
      </c>
      <c r="Q191" s="328">
        <v>3.5175433679975052</v>
      </c>
      <c r="R191" s="328">
        <v>2.4283867909236001</v>
      </c>
      <c r="S191" s="328">
        <v>16.313209094340074</v>
      </c>
      <c r="T191" s="329"/>
      <c r="U191" s="222">
        <v>0</v>
      </c>
      <c r="V191" s="229">
        <v>1</v>
      </c>
    </row>
    <row r="192" spans="1:22" customFormat="1" x14ac:dyDescent="0.25">
      <c r="A192" s="214">
        <v>45</v>
      </c>
      <c r="B192" s="215" t="s">
        <v>351</v>
      </c>
      <c r="C192" s="327" t="s">
        <v>358</v>
      </c>
      <c r="D192" s="326" t="s">
        <v>357</v>
      </c>
      <c r="E192" s="215" t="s">
        <v>384</v>
      </c>
      <c r="F192" s="216" t="s">
        <v>385</v>
      </c>
      <c r="G192" s="328">
        <v>0.17308441559183135</v>
      </c>
      <c r="H192" s="328">
        <v>4.09622863275865E-2</v>
      </c>
      <c r="I192" s="328">
        <v>0</v>
      </c>
      <c r="J192" s="328">
        <v>0</v>
      </c>
      <c r="K192" s="328">
        <v>0</v>
      </c>
      <c r="L192" s="328">
        <v>0</v>
      </c>
      <c r="M192" s="328">
        <v>0.17602790833333343</v>
      </c>
      <c r="N192" s="328">
        <v>0.38357957000000026</v>
      </c>
      <c r="O192" s="328">
        <v>0.58772699850917709</v>
      </c>
      <c r="P192" s="328">
        <v>0.74618093058747736</v>
      </c>
      <c r="Q192" s="328">
        <v>0.68716881069991387</v>
      </c>
      <c r="R192" s="328">
        <v>0.45381153204118124</v>
      </c>
      <c r="S192" s="328">
        <v>3.2485424520905011</v>
      </c>
      <c r="T192" s="329"/>
      <c r="U192" s="229">
        <v>1</v>
      </c>
      <c r="V192" s="222">
        <v>0</v>
      </c>
    </row>
    <row r="193" spans="1:22" customFormat="1" x14ac:dyDescent="0.25">
      <c r="A193" s="214">
        <v>52</v>
      </c>
      <c r="B193" s="215" t="s">
        <v>351</v>
      </c>
      <c r="C193" s="298" t="s">
        <v>372</v>
      </c>
      <c r="D193" s="297" t="s">
        <v>371</v>
      </c>
      <c r="E193" s="215" t="s">
        <v>350</v>
      </c>
      <c r="F193" s="216" t="s">
        <v>352</v>
      </c>
      <c r="G193" s="299">
        <v>21.073112743792613</v>
      </c>
      <c r="H193" s="299">
        <v>16.684118075080629</v>
      </c>
      <c r="I193" s="299">
        <v>17.652328664300114</v>
      </c>
      <c r="J193" s="299">
        <v>19.221713345541289</v>
      </c>
      <c r="K193" s="299">
        <v>18.587215783594932</v>
      </c>
      <c r="L193" s="299">
        <v>21.773099443358607</v>
      </c>
      <c r="M193" s="299">
        <v>23.865401310648195</v>
      </c>
      <c r="N193" s="299">
        <v>17.831926435857774</v>
      </c>
      <c r="O193" s="299">
        <v>18.240362669216371</v>
      </c>
      <c r="P193" s="299">
        <v>16.464524272892682</v>
      </c>
      <c r="Q193" s="299">
        <v>16.636700784081498</v>
      </c>
      <c r="R193" s="299">
        <v>17.617685742070226</v>
      </c>
      <c r="S193" s="299">
        <v>225.64818927043493</v>
      </c>
      <c r="T193" s="300"/>
      <c r="U193" s="222">
        <v>0</v>
      </c>
      <c r="V193" s="229">
        <v>-1</v>
      </c>
    </row>
    <row r="194" spans="1:22" customFormat="1" x14ac:dyDescent="0.25">
      <c r="A194" s="214">
        <v>52</v>
      </c>
      <c r="B194" s="215" t="s">
        <v>351</v>
      </c>
      <c r="C194" s="298" t="s">
        <v>372</v>
      </c>
      <c r="D194" s="297" t="s">
        <v>371</v>
      </c>
      <c r="E194" s="215" t="s">
        <v>379</v>
      </c>
      <c r="F194" s="216" t="s">
        <v>16</v>
      </c>
      <c r="G194" s="299">
        <v>20.94369552528633</v>
      </c>
      <c r="H194" s="299">
        <v>16.629120529719792</v>
      </c>
      <c r="I194" s="299">
        <v>17.651476128399491</v>
      </c>
      <c r="J194" s="299">
        <v>19.221713345541289</v>
      </c>
      <c r="K194" s="299">
        <v>18.587591833073162</v>
      </c>
      <c r="L194" s="299">
        <v>21.772723400016055</v>
      </c>
      <c r="M194" s="299">
        <v>23.860193273299238</v>
      </c>
      <c r="N194" s="299">
        <v>17.824190644788043</v>
      </c>
      <c r="O194" s="299">
        <v>18.258261713360039</v>
      </c>
      <c r="P194" s="299">
        <v>16.492154533306202</v>
      </c>
      <c r="Q194" s="299">
        <v>16.647092444578476</v>
      </c>
      <c r="R194" s="299">
        <v>17.501286044934503</v>
      </c>
      <c r="S194" s="299">
        <v>225.38949941630261</v>
      </c>
      <c r="T194" s="300"/>
      <c r="U194" s="222">
        <v>0</v>
      </c>
      <c r="V194" s="229">
        <v>1</v>
      </c>
    </row>
    <row r="195" spans="1:22" customFormat="1" x14ac:dyDescent="0.25">
      <c r="A195" s="214">
        <v>52</v>
      </c>
      <c r="B195" s="215" t="s">
        <v>351</v>
      </c>
      <c r="C195" s="298" t="s">
        <v>372</v>
      </c>
      <c r="D195" s="297" t="s">
        <v>371</v>
      </c>
      <c r="E195" s="215" t="s">
        <v>380</v>
      </c>
      <c r="F195" s="216" t="s">
        <v>381</v>
      </c>
      <c r="G195" s="299">
        <v>21.949508846855842</v>
      </c>
      <c r="H195" s="299">
        <v>17.196793330061872</v>
      </c>
      <c r="I195" s="299">
        <v>23.593790757107808</v>
      </c>
      <c r="J195" s="299">
        <v>26.616981269665786</v>
      </c>
      <c r="K195" s="299">
        <v>30.238798205031436</v>
      </c>
      <c r="L195" s="299">
        <v>43.037013362291056</v>
      </c>
      <c r="M195" s="299">
        <v>53.176679695907318</v>
      </c>
      <c r="N195" s="299">
        <v>32.658859224739793</v>
      </c>
      <c r="O195" s="299">
        <v>23.323471890894254</v>
      </c>
      <c r="P195" s="299">
        <v>21.275079945587258</v>
      </c>
      <c r="Q195" s="299">
        <v>21.519709831115485</v>
      </c>
      <c r="R195" s="299">
        <v>21.012404106425066</v>
      </c>
      <c r="S195" s="299">
        <v>335.59909046568305</v>
      </c>
      <c r="T195" s="300"/>
      <c r="U195" s="229">
        <v>1</v>
      </c>
      <c r="V195" s="222">
        <v>0</v>
      </c>
    </row>
    <row r="196" spans="1:22" customFormat="1" x14ac:dyDescent="0.25">
      <c r="A196" s="214">
        <v>52</v>
      </c>
      <c r="B196" s="215" t="s">
        <v>351</v>
      </c>
      <c r="C196" s="298" t="s">
        <v>372</v>
      </c>
      <c r="D196" s="297" t="s">
        <v>371</v>
      </c>
      <c r="E196" s="215" t="s">
        <v>382</v>
      </c>
      <c r="F196" s="216" t="s">
        <v>383</v>
      </c>
      <c r="G196" s="299">
        <v>22.934886137091002</v>
      </c>
      <c r="H196" s="299">
        <v>17.698135941463775</v>
      </c>
      <c r="I196" s="299">
        <v>23.857863069073804</v>
      </c>
      <c r="J196" s="299">
        <v>27.074035446235989</v>
      </c>
      <c r="K196" s="299">
        <v>32.016296491420462</v>
      </c>
      <c r="L196" s="299">
        <v>45.838756516948045</v>
      </c>
      <c r="M196" s="299">
        <v>56.414294537357534</v>
      </c>
      <c r="N196" s="299">
        <v>34.966416727662462</v>
      </c>
      <c r="O196" s="299">
        <v>25.002336828786234</v>
      </c>
      <c r="P196" s="299">
        <v>22.645051173118002</v>
      </c>
      <c r="Q196" s="299">
        <v>22.707811547417784</v>
      </c>
      <c r="R196" s="299">
        <v>22.034217221412788</v>
      </c>
      <c r="S196" s="299">
        <v>353.19010163798794</v>
      </c>
      <c r="T196" s="300"/>
      <c r="U196" s="222">
        <v>0</v>
      </c>
      <c r="V196" s="222">
        <v>0</v>
      </c>
    </row>
    <row r="197" spans="1:22" customFormat="1" x14ac:dyDescent="0.25">
      <c r="A197" s="214">
        <v>52</v>
      </c>
      <c r="B197" s="215" t="s">
        <v>351</v>
      </c>
      <c r="C197" s="298" t="s">
        <v>372</v>
      </c>
      <c r="D197" s="297" t="s">
        <v>371</v>
      </c>
      <c r="E197" s="215" t="s">
        <v>384</v>
      </c>
      <c r="F197" s="216" t="s">
        <v>385</v>
      </c>
      <c r="G197" s="299">
        <v>22.891948349230059</v>
      </c>
      <c r="H197" s="299">
        <v>17.697824546621852</v>
      </c>
      <c r="I197" s="299">
        <v>23.850974243237534</v>
      </c>
      <c r="J197" s="299">
        <v>27.070339697753155</v>
      </c>
      <c r="K197" s="299">
        <v>31.999627260651234</v>
      </c>
      <c r="L197" s="299">
        <v>45.838756516948031</v>
      </c>
      <c r="M197" s="299">
        <v>56.387890351107536</v>
      </c>
      <c r="N197" s="299">
        <v>34.908879792162459</v>
      </c>
      <c r="O197" s="299">
        <v>24.8862942278211</v>
      </c>
      <c r="P197" s="299">
        <v>22.512725683702442</v>
      </c>
      <c r="Q197" s="299">
        <v>22.578117737473768</v>
      </c>
      <c r="R197" s="299">
        <v>21.95419572791204</v>
      </c>
      <c r="S197" s="299">
        <v>352.57757413462122</v>
      </c>
      <c r="T197" s="300"/>
      <c r="U197" s="222">
        <v>0</v>
      </c>
      <c r="V197" s="229">
        <v>-1</v>
      </c>
    </row>
    <row r="198" spans="1:22" customFormat="1" x14ac:dyDescent="0.25">
      <c r="A198" s="214">
        <v>51</v>
      </c>
      <c r="B198" s="215" t="s">
        <v>351</v>
      </c>
      <c r="C198" s="338" t="s">
        <v>370</v>
      </c>
      <c r="D198" s="337" t="s">
        <v>369</v>
      </c>
      <c r="E198" s="215" t="s">
        <v>350</v>
      </c>
      <c r="F198" s="216" t="s">
        <v>352</v>
      </c>
      <c r="G198" s="339">
        <v>0</v>
      </c>
      <c r="H198" s="339">
        <v>0</v>
      </c>
      <c r="I198" s="339">
        <v>0</v>
      </c>
      <c r="J198" s="339">
        <v>1.2764631165003395</v>
      </c>
      <c r="K198" s="339">
        <v>2.0307660236736842</v>
      </c>
      <c r="L198" s="339">
        <v>3.9161570792755995</v>
      </c>
      <c r="M198" s="339">
        <v>3.78600933107121</v>
      </c>
      <c r="N198" s="339">
        <v>2.5249364950518904</v>
      </c>
      <c r="O198" s="339">
        <v>0</v>
      </c>
      <c r="P198" s="339">
        <v>0</v>
      </c>
      <c r="Q198" s="339">
        <v>0</v>
      </c>
      <c r="R198" s="339">
        <v>0</v>
      </c>
      <c r="S198" s="339">
        <v>13.534332045572725</v>
      </c>
      <c r="T198" s="340"/>
      <c r="U198" s="222">
        <v>0</v>
      </c>
      <c r="V198" s="229">
        <v>1</v>
      </c>
    </row>
    <row r="199" spans="1:22" customFormat="1" x14ac:dyDescent="0.25">
      <c r="A199" s="214">
        <v>51</v>
      </c>
      <c r="B199" s="215" t="s">
        <v>351</v>
      </c>
      <c r="C199" s="338" t="s">
        <v>370</v>
      </c>
      <c r="D199" s="337" t="s">
        <v>369</v>
      </c>
      <c r="E199" s="215" t="s">
        <v>379</v>
      </c>
      <c r="F199" s="216" t="s">
        <v>16</v>
      </c>
      <c r="G199" s="339">
        <v>0</v>
      </c>
      <c r="H199" s="339">
        <v>0</v>
      </c>
      <c r="I199" s="339">
        <v>0</v>
      </c>
      <c r="J199" s="339">
        <v>0</v>
      </c>
      <c r="K199" s="339">
        <v>0</v>
      </c>
      <c r="L199" s="339">
        <v>0.65209146625438585</v>
      </c>
      <c r="M199" s="339">
        <v>0</v>
      </c>
      <c r="N199" s="339">
        <v>0</v>
      </c>
      <c r="O199" s="339">
        <v>0</v>
      </c>
      <c r="P199" s="339">
        <v>0</v>
      </c>
      <c r="Q199" s="339">
        <v>0</v>
      </c>
      <c r="R199" s="339">
        <v>0</v>
      </c>
      <c r="S199" s="339">
        <v>0.65209146625438585</v>
      </c>
      <c r="T199" s="340"/>
      <c r="U199" s="229">
        <v>1</v>
      </c>
      <c r="V199" s="222">
        <v>0</v>
      </c>
    </row>
    <row r="200" spans="1:22" customFormat="1" x14ac:dyDescent="0.25">
      <c r="A200" s="214">
        <v>51</v>
      </c>
      <c r="B200" s="215" t="s">
        <v>351</v>
      </c>
      <c r="C200" s="338" t="s">
        <v>370</v>
      </c>
      <c r="D200" s="337" t="s">
        <v>369</v>
      </c>
      <c r="E200" s="215" t="s">
        <v>380</v>
      </c>
      <c r="F200" s="216" t="s">
        <v>381</v>
      </c>
      <c r="G200" s="339">
        <v>0</v>
      </c>
      <c r="H200" s="339">
        <v>0</v>
      </c>
      <c r="I200" s="339">
        <v>4.0007030795662235</v>
      </c>
      <c r="J200" s="339">
        <v>4.3245877838674591</v>
      </c>
      <c r="K200" s="339">
        <v>4.1084166530724522</v>
      </c>
      <c r="L200" s="339">
        <v>16.019799393051162</v>
      </c>
      <c r="M200" s="339">
        <v>19.403649096294256</v>
      </c>
      <c r="N200" s="339">
        <v>5.3049009352580994</v>
      </c>
      <c r="O200" s="339">
        <v>0</v>
      </c>
      <c r="P200" s="339">
        <v>0</v>
      </c>
      <c r="Q200" s="339">
        <v>0</v>
      </c>
      <c r="R200" s="339">
        <v>0</v>
      </c>
      <c r="S200" s="339">
        <v>53.162056941109647</v>
      </c>
      <c r="T200" s="340"/>
      <c r="U200" s="222">
        <v>0</v>
      </c>
      <c r="V200" s="229">
        <v>-1</v>
      </c>
    </row>
    <row r="201" spans="1:22" customFormat="1" x14ac:dyDescent="0.25">
      <c r="A201" s="214">
        <v>51</v>
      </c>
      <c r="B201" s="215" t="s">
        <v>351</v>
      </c>
      <c r="C201" s="338" t="s">
        <v>370</v>
      </c>
      <c r="D201" s="337" t="s">
        <v>369</v>
      </c>
      <c r="E201" s="215" t="s">
        <v>382</v>
      </c>
      <c r="F201" s="216" t="s">
        <v>383</v>
      </c>
      <c r="G201" s="339">
        <v>0</v>
      </c>
      <c r="H201" s="339">
        <v>0</v>
      </c>
      <c r="I201" s="339">
        <v>13.069994944731075</v>
      </c>
      <c r="J201" s="339">
        <v>19.547975866912587</v>
      </c>
      <c r="K201" s="339">
        <v>39.661345446421088</v>
      </c>
      <c r="L201" s="339">
        <v>71.238504999065029</v>
      </c>
      <c r="M201" s="339">
        <v>139.95253048836298</v>
      </c>
      <c r="N201" s="339">
        <v>34.975601895520242</v>
      </c>
      <c r="O201" s="339">
        <v>0</v>
      </c>
      <c r="P201" s="339">
        <v>0</v>
      </c>
      <c r="Q201" s="339">
        <v>0</v>
      </c>
      <c r="R201" s="339">
        <v>0</v>
      </c>
      <c r="S201" s="339">
        <v>318.44595364101298</v>
      </c>
      <c r="T201" s="340"/>
      <c r="U201" s="222">
        <v>0</v>
      </c>
      <c r="V201" s="229">
        <v>1</v>
      </c>
    </row>
    <row r="202" spans="1:22" customFormat="1" x14ac:dyDescent="0.25">
      <c r="A202" s="214">
        <v>51</v>
      </c>
      <c r="B202" s="215" t="s">
        <v>351</v>
      </c>
      <c r="C202" s="338" t="s">
        <v>370</v>
      </c>
      <c r="D202" s="337" t="s">
        <v>369</v>
      </c>
      <c r="E202" s="215" t="s">
        <v>384</v>
      </c>
      <c r="F202" s="216" t="s">
        <v>385</v>
      </c>
      <c r="G202" s="339">
        <v>0</v>
      </c>
      <c r="H202" s="339">
        <v>0</v>
      </c>
      <c r="I202" s="339">
        <v>13.069994944731073</v>
      </c>
      <c r="J202" s="339">
        <v>19.547975866912584</v>
      </c>
      <c r="K202" s="339">
        <v>39.661345446421095</v>
      </c>
      <c r="L202" s="339">
        <v>71.238504999065071</v>
      </c>
      <c r="M202" s="339">
        <v>139.84420562169626</v>
      </c>
      <c r="N202" s="339">
        <v>34.877248159622809</v>
      </c>
      <c r="O202" s="339">
        <v>0</v>
      </c>
      <c r="P202" s="339">
        <v>0</v>
      </c>
      <c r="Q202" s="339">
        <v>0</v>
      </c>
      <c r="R202" s="339">
        <v>0</v>
      </c>
      <c r="S202" s="339">
        <v>318.23927503844891</v>
      </c>
      <c r="T202" s="340"/>
      <c r="U202" s="222">
        <v>0</v>
      </c>
      <c r="V202" s="222">
        <v>0</v>
      </c>
    </row>
    <row r="203" spans="1:22" customFormat="1" x14ac:dyDescent="0.25">
      <c r="A203" s="214">
        <v>44</v>
      </c>
      <c r="B203" s="215" t="s">
        <v>351</v>
      </c>
      <c r="C203" s="323" t="s">
        <v>356</v>
      </c>
      <c r="D203" s="322" t="s">
        <v>355</v>
      </c>
      <c r="E203" s="215" t="s">
        <v>350</v>
      </c>
      <c r="F203" s="216" t="s">
        <v>352</v>
      </c>
      <c r="G203" s="324">
        <v>-10.716098398287286</v>
      </c>
      <c r="H203" s="324">
        <v>-10.377948495663688</v>
      </c>
      <c r="I203" s="324">
        <v>-8.0891546617829562</v>
      </c>
      <c r="J203" s="324">
        <v>-7.1362061518969142</v>
      </c>
      <c r="K203" s="324">
        <v>-4.7053907146178631</v>
      </c>
      <c r="L203" s="324">
        <v>-5.7335150149382059</v>
      </c>
      <c r="M203" s="324">
        <v>-9.8752545709783988</v>
      </c>
      <c r="N203" s="324">
        <v>-1.9609598346347781</v>
      </c>
      <c r="O203" s="324">
        <v>11.78493193260779</v>
      </c>
      <c r="P203" s="324">
        <v>24.300641173678734</v>
      </c>
      <c r="Q203" s="324">
        <v>23.336614956668242</v>
      </c>
      <c r="R203" s="324">
        <v>-0.82753954950749176</v>
      </c>
      <c r="S203" s="324">
        <v>1.0560647069723927E-5</v>
      </c>
      <c r="T203" s="325"/>
      <c r="U203" s="222">
        <v>0</v>
      </c>
      <c r="V203" s="222">
        <v>0</v>
      </c>
    </row>
    <row r="204" spans="1:22" customFormat="1" x14ac:dyDescent="0.25">
      <c r="A204" s="214">
        <v>44</v>
      </c>
      <c r="B204" s="215" t="s">
        <v>351</v>
      </c>
      <c r="C204" s="323" t="s">
        <v>356</v>
      </c>
      <c r="D204" s="322" t="s">
        <v>355</v>
      </c>
      <c r="E204" s="215" t="s">
        <v>379</v>
      </c>
      <c r="F204" s="216" t="s">
        <v>16</v>
      </c>
      <c r="G204" s="324">
        <v>-0.53698091347139609</v>
      </c>
      <c r="H204" s="324">
        <v>-0.36665030240558849</v>
      </c>
      <c r="I204" s="324">
        <v>-5.6835726708186485E-3</v>
      </c>
      <c r="J204" s="324">
        <v>0</v>
      </c>
      <c r="K204" s="324">
        <v>2.5069965215607226E-3</v>
      </c>
      <c r="L204" s="324">
        <v>-2.506955616979667E-3</v>
      </c>
      <c r="M204" s="324">
        <v>1.4069437285854747E-2</v>
      </c>
      <c r="N204" s="324">
        <v>8.7281614055072509E-2</v>
      </c>
      <c r="O204" s="324">
        <v>0.32550150708303249</v>
      </c>
      <c r="P204" s="324">
        <v>0.45893562874671545</v>
      </c>
      <c r="Q204" s="324">
        <v>0.3700875989237602</v>
      </c>
      <c r="R204" s="324">
        <v>-0.34694634708337446</v>
      </c>
      <c r="S204" s="324">
        <v>-3.8530863207597577E-4</v>
      </c>
      <c r="T204" s="325"/>
      <c r="U204" s="222">
        <v>0</v>
      </c>
      <c r="V204" s="229">
        <v>1</v>
      </c>
    </row>
    <row r="205" spans="1:22" customFormat="1" x14ac:dyDescent="0.25">
      <c r="A205" s="214">
        <v>44</v>
      </c>
      <c r="B205" s="215" t="s">
        <v>351</v>
      </c>
      <c r="C205" s="323" t="s">
        <v>356</v>
      </c>
      <c r="D205" s="322" t="s">
        <v>355</v>
      </c>
      <c r="E205" s="215" t="s">
        <v>380</v>
      </c>
      <c r="F205" s="216" t="s">
        <v>381</v>
      </c>
      <c r="G205" s="324">
        <v>-0.23104227645141862</v>
      </c>
      <c r="H205" s="324">
        <v>-27.032960563030443</v>
      </c>
      <c r="I205" s="324">
        <v>-36.632826974077858</v>
      </c>
      <c r="J205" s="324">
        <v>-29.757777552329173</v>
      </c>
      <c r="K205" s="324">
        <v>-26.279863498501868</v>
      </c>
      <c r="L205" s="324">
        <v>-46.233906283789793</v>
      </c>
      <c r="M205" s="324">
        <v>-17.629066661298396</v>
      </c>
      <c r="N205" s="324">
        <v>-1.282229669674706</v>
      </c>
      <c r="O205" s="324">
        <v>26.647169874618982</v>
      </c>
      <c r="P205" s="324">
        <v>64.033306649571273</v>
      </c>
      <c r="Q205" s="324">
        <v>65.819624890238316</v>
      </c>
      <c r="R205" s="324">
        <v>28.795768479758507</v>
      </c>
      <c r="S205" s="324">
        <v>0.21619641503320963</v>
      </c>
      <c r="T205" s="325"/>
      <c r="U205" s="222">
        <v>0</v>
      </c>
      <c r="V205" s="222">
        <v>0</v>
      </c>
    </row>
    <row r="206" spans="1:22" customFormat="1" x14ac:dyDescent="0.25">
      <c r="A206" s="214">
        <v>44</v>
      </c>
      <c r="B206" s="215" t="s">
        <v>351</v>
      </c>
      <c r="C206" s="323" t="s">
        <v>356</v>
      </c>
      <c r="D206" s="322" t="s">
        <v>355</v>
      </c>
      <c r="E206" s="215" t="s">
        <v>382</v>
      </c>
      <c r="F206" s="216" t="s">
        <v>383</v>
      </c>
      <c r="G206" s="324">
        <v>2.9182203177193742</v>
      </c>
      <c r="H206" s="324">
        <v>-0.69273757029274918</v>
      </c>
      <c r="I206" s="324">
        <v>-6.0361461980774607</v>
      </c>
      <c r="J206" s="324">
        <v>-8.0320045527014656</v>
      </c>
      <c r="K206" s="324">
        <v>-2.7590200457690628</v>
      </c>
      <c r="L206" s="324">
        <v>-6.2591323346361492</v>
      </c>
      <c r="M206" s="324">
        <v>-2.6253750571879664</v>
      </c>
      <c r="N206" s="324">
        <v>1.4454944933454215</v>
      </c>
      <c r="O206" s="324">
        <v>3.254377588975359</v>
      </c>
      <c r="P206" s="324">
        <v>6.788713961335759</v>
      </c>
      <c r="Q206" s="324">
        <v>6.8529049105335105</v>
      </c>
      <c r="R206" s="324">
        <v>5.8157880409406886</v>
      </c>
      <c r="S206" s="324">
        <v>0.67108355418486099</v>
      </c>
      <c r="T206" s="325"/>
      <c r="U206" s="222">
        <v>0</v>
      </c>
      <c r="V206" s="222">
        <v>0</v>
      </c>
    </row>
    <row r="207" spans="1:22" customFormat="1" x14ac:dyDescent="0.25">
      <c r="A207" s="214">
        <v>44</v>
      </c>
      <c r="B207" s="215" t="s">
        <v>351</v>
      </c>
      <c r="C207" s="323" t="s">
        <v>356</v>
      </c>
      <c r="D207" s="322" t="s">
        <v>355</v>
      </c>
      <c r="E207" s="215" t="s">
        <v>384</v>
      </c>
      <c r="F207" s="216" t="s">
        <v>385</v>
      </c>
      <c r="G207" s="324">
        <v>-2.2306540098014693E-2</v>
      </c>
      <c r="H207" s="324">
        <v>5.6254506068142973E-2</v>
      </c>
      <c r="I207" s="324">
        <v>-3.0487118483250697E-2</v>
      </c>
      <c r="J207" s="324">
        <v>-8.9923397676443528E-3</v>
      </c>
      <c r="K207" s="324">
        <v>-9.4504347773778363E-2</v>
      </c>
      <c r="L207" s="324">
        <v>1.7601731257798292E-2</v>
      </c>
      <c r="M207" s="324">
        <v>1.8579605160709889E-2</v>
      </c>
      <c r="N207" s="324">
        <v>2.0535352967215204E-2</v>
      </c>
      <c r="O207" s="324">
        <v>3.0005094457209225E-2</v>
      </c>
      <c r="P207" s="324">
        <v>0.10802245818656786</v>
      </c>
      <c r="Q207" s="324">
        <v>6.314660955992224E-2</v>
      </c>
      <c r="R207" s="324">
        <v>7.6195165311148116E-2</v>
      </c>
      <c r="S207" s="324">
        <v>6.1066789839969715E-5</v>
      </c>
      <c r="T207" s="325"/>
      <c r="U207" s="229">
        <v>1</v>
      </c>
      <c r="V207" s="222">
        <v>0</v>
      </c>
    </row>
    <row r="208" spans="1:22" customFormat="1" x14ac:dyDescent="0.25">
      <c r="A208" s="214">
        <v>55</v>
      </c>
      <c r="B208" s="215" t="s">
        <v>351</v>
      </c>
      <c r="C208" s="218" t="s">
        <v>378</v>
      </c>
      <c r="D208" s="217" t="s">
        <v>377</v>
      </c>
      <c r="E208" s="215" t="s">
        <v>350</v>
      </c>
      <c r="F208" s="216" t="s">
        <v>352</v>
      </c>
      <c r="G208" s="220">
        <v>105.36556371896306</v>
      </c>
      <c r="H208" s="220">
        <v>111.22745383387087</v>
      </c>
      <c r="I208" s="220">
        <v>117.68219109533409</v>
      </c>
      <c r="J208" s="220">
        <v>128.14475563694197</v>
      </c>
      <c r="K208" s="220">
        <v>123.91477189063286</v>
      </c>
      <c r="L208" s="220">
        <v>145.15399628905735</v>
      </c>
      <c r="M208" s="220">
        <v>159.1026754043213</v>
      </c>
      <c r="N208" s="220">
        <v>118.87950957238516</v>
      </c>
      <c r="O208" s="220">
        <v>91.201813346081849</v>
      </c>
      <c r="P208" s="220">
        <v>82.322621364463402</v>
      </c>
      <c r="Q208" s="220">
        <v>83.183503920407489</v>
      </c>
      <c r="R208" s="220">
        <v>88.088428710351124</v>
      </c>
      <c r="S208" s="219">
        <v>1354.2672847828105</v>
      </c>
      <c r="T208" s="321"/>
      <c r="U208" s="222">
        <v>0</v>
      </c>
      <c r="V208" s="222">
        <v>0</v>
      </c>
    </row>
    <row r="209" spans="1:22" customFormat="1" x14ac:dyDescent="0.25">
      <c r="A209" s="214">
        <v>55</v>
      </c>
      <c r="B209" s="215" t="s">
        <v>351</v>
      </c>
      <c r="C209" s="218" t="s">
        <v>378</v>
      </c>
      <c r="D209" s="217" t="s">
        <v>377</v>
      </c>
      <c r="E209" s="215" t="s">
        <v>379</v>
      </c>
      <c r="F209" s="216" t="s">
        <v>16</v>
      </c>
      <c r="G209" s="220">
        <v>104.71847762643164</v>
      </c>
      <c r="H209" s="220">
        <v>110.86080353146528</v>
      </c>
      <c r="I209" s="220">
        <v>117.67650752266327</v>
      </c>
      <c r="J209" s="220">
        <v>128.14475563694194</v>
      </c>
      <c r="K209" s="220">
        <v>123.91727888715442</v>
      </c>
      <c r="L209" s="220">
        <v>145.15148933344037</v>
      </c>
      <c r="M209" s="220">
        <v>159.06795515532826</v>
      </c>
      <c r="N209" s="220">
        <v>118.82793763192029</v>
      </c>
      <c r="O209" s="220">
        <v>91.291308566800183</v>
      </c>
      <c r="P209" s="220">
        <v>82.460772666531014</v>
      </c>
      <c r="Q209" s="220">
        <v>83.23546222289238</v>
      </c>
      <c r="R209" s="220">
        <v>87.506430224672513</v>
      </c>
      <c r="S209" s="219">
        <v>1352.8591790062417</v>
      </c>
      <c r="T209" s="321"/>
      <c r="U209" s="222">
        <v>0</v>
      </c>
      <c r="V209" s="222">
        <v>0</v>
      </c>
    </row>
    <row r="210" spans="1:22" customFormat="1" x14ac:dyDescent="0.25">
      <c r="A210" s="214">
        <v>55</v>
      </c>
      <c r="B210" s="215" t="s">
        <v>351</v>
      </c>
      <c r="C210" s="218" t="s">
        <v>378</v>
      </c>
      <c r="D210" s="217" t="s">
        <v>377</v>
      </c>
      <c r="E210" s="215" t="s">
        <v>380</v>
      </c>
      <c r="F210" s="216" t="s">
        <v>381</v>
      </c>
      <c r="G210" s="220">
        <v>109.7475442342792</v>
      </c>
      <c r="H210" s="220">
        <v>114.64528886707915</v>
      </c>
      <c r="I210" s="220">
        <v>157.29193838071876</v>
      </c>
      <c r="J210" s="220">
        <v>177.44654179777191</v>
      </c>
      <c r="K210" s="220">
        <v>201.59198803354295</v>
      </c>
      <c r="L210" s="220">
        <v>286.91342241527383</v>
      </c>
      <c r="M210" s="220">
        <v>354.51119797271565</v>
      </c>
      <c r="N210" s="220">
        <v>217.72572816493198</v>
      </c>
      <c r="O210" s="220">
        <v>116.61735945447127</v>
      </c>
      <c r="P210" s="220">
        <v>106.37539972793628</v>
      </c>
      <c r="Q210" s="220">
        <v>107.59854915557742</v>
      </c>
      <c r="R210" s="220">
        <v>105.06202053212532</v>
      </c>
      <c r="S210" s="219">
        <v>2055.5269787364236</v>
      </c>
      <c r="T210" s="321"/>
      <c r="U210" s="222">
        <v>0</v>
      </c>
      <c r="V210" s="222">
        <v>0</v>
      </c>
    </row>
    <row r="211" spans="1:22" customFormat="1" x14ac:dyDescent="0.25">
      <c r="A211" s="214">
        <v>55</v>
      </c>
      <c r="B211" s="215" t="s">
        <v>351</v>
      </c>
      <c r="C211" s="218" t="s">
        <v>378</v>
      </c>
      <c r="D211" s="217" t="s">
        <v>377</v>
      </c>
      <c r="E211" s="215" t="s">
        <v>382</v>
      </c>
      <c r="F211" s="216" t="s">
        <v>383</v>
      </c>
      <c r="G211" s="220">
        <v>114.67443068545501</v>
      </c>
      <c r="H211" s="220">
        <v>117.98757294309183</v>
      </c>
      <c r="I211" s="220">
        <v>159.05242046049204</v>
      </c>
      <c r="J211" s="220">
        <v>180.49356964157326</v>
      </c>
      <c r="K211" s="220">
        <v>213.44197660946978</v>
      </c>
      <c r="L211" s="220">
        <v>305.59171011298685</v>
      </c>
      <c r="M211" s="220">
        <v>376.09529691571709</v>
      </c>
      <c r="N211" s="220">
        <v>233.10944485108311</v>
      </c>
      <c r="O211" s="220">
        <v>125.01168414393116</v>
      </c>
      <c r="P211" s="220">
        <v>113.22525586559</v>
      </c>
      <c r="Q211" s="220">
        <v>113.53905773708891</v>
      </c>
      <c r="R211" s="220">
        <v>110.17108610706393</v>
      </c>
      <c r="S211" s="219">
        <v>2162.393506073543</v>
      </c>
      <c r="T211" s="321"/>
      <c r="U211" s="229">
        <v>1</v>
      </c>
      <c r="V211" s="222">
        <v>-1</v>
      </c>
    </row>
    <row r="212" spans="1:22" customFormat="1" x14ac:dyDescent="0.25">
      <c r="A212" s="214">
        <v>55</v>
      </c>
      <c r="B212" s="215" t="s">
        <v>351</v>
      </c>
      <c r="C212" s="218" t="s">
        <v>378</v>
      </c>
      <c r="D212" s="217" t="s">
        <v>377</v>
      </c>
      <c r="E212" s="215" t="s">
        <v>384</v>
      </c>
      <c r="F212" s="216" t="s">
        <v>385</v>
      </c>
      <c r="G212" s="220">
        <v>114.45974174615029</v>
      </c>
      <c r="H212" s="220">
        <v>117.98549697747902</v>
      </c>
      <c r="I212" s="220">
        <v>159.00649495491689</v>
      </c>
      <c r="J212" s="220">
        <v>180.46893131835438</v>
      </c>
      <c r="K212" s="220">
        <v>213.33084840434157</v>
      </c>
      <c r="L212" s="220">
        <v>305.5917101129869</v>
      </c>
      <c r="M212" s="220">
        <v>375.9192690073836</v>
      </c>
      <c r="N212" s="220">
        <v>232.72586528108306</v>
      </c>
      <c r="O212" s="220">
        <v>124.4314711391055</v>
      </c>
      <c r="P212" s="220">
        <v>112.56362841851221</v>
      </c>
      <c r="Q212" s="220">
        <v>112.89058868736883</v>
      </c>
      <c r="R212" s="220">
        <v>109.7709786395602</v>
      </c>
      <c r="S212" s="219">
        <v>2159.1450246872423</v>
      </c>
      <c r="T212" s="321"/>
      <c r="U212" s="222">
        <v>0</v>
      </c>
      <c r="V212" s="222">
        <v>0</v>
      </c>
    </row>
    <row r="213" spans="1:22" customFormat="1" x14ac:dyDescent="0.25">
      <c r="A213" s="214">
        <v>54</v>
      </c>
      <c r="B213" s="215" t="s">
        <v>351</v>
      </c>
      <c r="C213" s="288" t="s">
        <v>376</v>
      </c>
      <c r="D213" s="287" t="s">
        <v>375</v>
      </c>
      <c r="E213" s="215" t="s">
        <v>350</v>
      </c>
      <c r="F213" s="216" t="s">
        <v>352</v>
      </c>
      <c r="G213" s="342">
        <v>105.36556371896306</v>
      </c>
      <c r="H213" s="342">
        <v>111.22745383387087</v>
      </c>
      <c r="I213" s="342">
        <v>117.68219109533409</v>
      </c>
      <c r="J213" s="342">
        <v>128.14475563694194</v>
      </c>
      <c r="K213" s="342">
        <v>123.91477189063288</v>
      </c>
      <c r="L213" s="342">
        <v>145.15399628905737</v>
      </c>
      <c r="M213" s="342">
        <v>159.1026754043213</v>
      </c>
      <c r="N213" s="342">
        <v>118.87950957238517</v>
      </c>
      <c r="O213" s="342">
        <v>91.201813346081849</v>
      </c>
      <c r="P213" s="342">
        <v>82.322621364463402</v>
      </c>
      <c r="Q213" s="342">
        <v>83.183503920407489</v>
      </c>
      <c r="R213" s="342">
        <v>88.088428710351124</v>
      </c>
      <c r="S213" s="341">
        <v>1354.2672847828105</v>
      </c>
      <c r="T213" s="291"/>
      <c r="U213" s="222">
        <v>0</v>
      </c>
      <c r="V213" s="222">
        <v>0</v>
      </c>
    </row>
    <row r="214" spans="1:22" customFormat="1" x14ac:dyDescent="0.25">
      <c r="A214" s="214">
        <v>54</v>
      </c>
      <c r="B214" s="215" t="s">
        <v>351</v>
      </c>
      <c r="C214" s="288" t="s">
        <v>376</v>
      </c>
      <c r="D214" s="287" t="s">
        <v>375</v>
      </c>
      <c r="E214" s="215" t="s">
        <v>379</v>
      </c>
      <c r="F214" s="216" t="s">
        <v>16</v>
      </c>
      <c r="G214" s="342">
        <v>104.71847762643164</v>
      </c>
      <c r="H214" s="342">
        <v>110.86080353146528</v>
      </c>
      <c r="I214" s="342">
        <v>117.67650752266327</v>
      </c>
      <c r="J214" s="342">
        <v>128.14475563694194</v>
      </c>
      <c r="K214" s="342">
        <v>123.91727888715442</v>
      </c>
      <c r="L214" s="342">
        <v>145.15148933344037</v>
      </c>
      <c r="M214" s="342">
        <v>159.06795515532826</v>
      </c>
      <c r="N214" s="342">
        <v>118.82793763192029</v>
      </c>
      <c r="O214" s="342">
        <v>91.291308566800183</v>
      </c>
      <c r="P214" s="342">
        <v>82.460772666531014</v>
      </c>
      <c r="Q214" s="342">
        <v>83.23546222289238</v>
      </c>
      <c r="R214" s="342">
        <v>87.506430224672513</v>
      </c>
      <c r="S214" s="341">
        <v>1352.8591790062417</v>
      </c>
      <c r="T214" s="291"/>
      <c r="U214" s="222">
        <v>0</v>
      </c>
      <c r="V214" s="222">
        <v>0</v>
      </c>
    </row>
    <row r="215" spans="1:22" customFormat="1" x14ac:dyDescent="0.25">
      <c r="A215" s="214">
        <v>54</v>
      </c>
      <c r="B215" s="215" t="s">
        <v>351</v>
      </c>
      <c r="C215" s="288" t="s">
        <v>376</v>
      </c>
      <c r="D215" s="287" t="s">
        <v>375</v>
      </c>
      <c r="E215" s="215" t="s">
        <v>380</v>
      </c>
      <c r="F215" s="216" t="s">
        <v>381</v>
      </c>
      <c r="G215" s="342">
        <v>109.7475442342792</v>
      </c>
      <c r="H215" s="342">
        <v>114.64528886707915</v>
      </c>
      <c r="I215" s="342">
        <v>157.29193838071873</v>
      </c>
      <c r="J215" s="342">
        <v>177.44654179777191</v>
      </c>
      <c r="K215" s="342">
        <v>201.59198803354292</v>
      </c>
      <c r="L215" s="342">
        <v>286.91342241527371</v>
      </c>
      <c r="M215" s="342">
        <v>354.51119797271548</v>
      </c>
      <c r="N215" s="342">
        <v>217.72572816493195</v>
      </c>
      <c r="O215" s="342">
        <v>116.61735945447127</v>
      </c>
      <c r="P215" s="342">
        <v>106.37539972793628</v>
      </c>
      <c r="Q215" s="342">
        <v>107.59854915557742</v>
      </c>
      <c r="R215" s="342">
        <v>105.06202053212532</v>
      </c>
      <c r="S215" s="341">
        <v>2055.5269787364232</v>
      </c>
      <c r="T215" s="291"/>
      <c r="U215" s="222">
        <v>0</v>
      </c>
      <c r="V215" s="222">
        <v>1</v>
      </c>
    </row>
    <row r="216" spans="1:22" customFormat="1" x14ac:dyDescent="0.25">
      <c r="A216" s="214">
        <v>54</v>
      </c>
      <c r="B216" s="215" t="s">
        <v>351</v>
      </c>
      <c r="C216" s="288" t="s">
        <v>376</v>
      </c>
      <c r="D216" s="287" t="s">
        <v>375</v>
      </c>
      <c r="E216" s="215" t="s">
        <v>382</v>
      </c>
      <c r="F216" s="216" t="s">
        <v>383</v>
      </c>
      <c r="G216" s="342">
        <v>114.67443068545501</v>
      </c>
      <c r="H216" s="342">
        <v>117.98757294309183</v>
      </c>
      <c r="I216" s="342">
        <v>159.05242046049204</v>
      </c>
      <c r="J216" s="342">
        <v>180.49356964157326</v>
      </c>
      <c r="K216" s="342">
        <v>213.44197660946978</v>
      </c>
      <c r="L216" s="342">
        <v>305.59171011298696</v>
      </c>
      <c r="M216" s="342">
        <v>376.09529691571692</v>
      </c>
      <c r="N216" s="342">
        <v>233.10944485108311</v>
      </c>
      <c r="O216" s="342">
        <v>125.01168414393116</v>
      </c>
      <c r="P216" s="342">
        <v>113.22525586559</v>
      </c>
      <c r="Q216" s="342">
        <v>113.53905773708891</v>
      </c>
      <c r="R216" s="342">
        <v>110.17108610706393</v>
      </c>
      <c r="S216" s="341">
        <v>2162.3935060735425</v>
      </c>
      <c r="T216" s="291"/>
      <c r="U216" s="222">
        <v>0</v>
      </c>
      <c r="V216" s="222">
        <v>1</v>
      </c>
    </row>
    <row r="217" spans="1:22" customFormat="1" x14ac:dyDescent="0.25">
      <c r="A217" s="214">
        <v>54</v>
      </c>
      <c r="B217" s="215" t="s">
        <v>351</v>
      </c>
      <c r="C217" s="288" t="s">
        <v>376</v>
      </c>
      <c r="D217" s="287" t="s">
        <v>375</v>
      </c>
      <c r="E217" s="215" t="s">
        <v>384</v>
      </c>
      <c r="F217" s="216" t="s">
        <v>385</v>
      </c>
      <c r="G217" s="342">
        <v>114.45974174615029</v>
      </c>
      <c r="H217" s="342">
        <v>117.98549697747902</v>
      </c>
      <c r="I217" s="342">
        <v>159.00649495491689</v>
      </c>
      <c r="J217" s="342">
        <v>180.46893131835438</v>
      </c>
      <c r="K217" s="342">
        <v>213.33084840434157</v>
      </c>
      <c r="L217" s="342">
        <v>305.5917101129869</v>
      </c>
      <c r="M217" s="342">
        <v>375.9192690073836</v>
      </c>
      <c r="N217" s="342">
        <v>232.72586528108306</v>
      </c>
      <c r="O217" s="342">
        <v>124.4314711391055</v>
      </c>
      <c r="P217" s="342">
        <v>112.56362841851221</v>
      </c>
      <c r="Q217" s="342">
        <v>112.89058868736883</v>
      </c>
      <c r="R217" s="342">
        <v>109.7709786395602</v>
      </c>
      <c r="S217" s="341">
        <v>2159.1450246872428</v>
      </c>
      <c r="T217" s="291"/>
      <c r="U217" s="222">
        <v>0</v>
      </c>
      <c r="V217" s="222">
        <v>1</v>
      </c>
    </row>
    <row r="218" spans="1:22" customFormat="1" x14ac:dyDescent="0.25">
      <c r="A218" s="214">
        <v>53</v>
      </c>
      <c r="B218" s="215" t="s">
        <v>351</v>
      </c>
      <c r="C218" s="288" t="s">
        <v>374</v>
      </c>
      <c r="D218" s="287" t="s">
        <v>373</v>
      </c>
      <c r="E218" s="215" t="s">
        <v>350</v>
      </c>
      <c r="F218" s="216" t="s">
        <v>352</v>
      </c>
      <c r="G218" s="342">
        <v>105.36556371896306</v>
      </c>
      <c r="H218" s="342">
        <v>111.22745383387087</v>
      </c>
      <c r="I218" s="342">
        <v>117.68219109533409</v>
      </c>
      <c r="J218" s="342">
        <v>128.14475563694197</v>
      </c>
      <c r="K218" s="342">
        <v>123.91477189063286</v>
      </c>
      <c r="L218" s="342">
        <v>145.15399628905735</v>
      </c>
      <c r="M218" s="342">
        <v>159.1026754043213</v>
      </c>
      <c r="N218" s="342">
        <v>118.87950957238516</v>
      </c>
      <c r="O218" s="342">
        <v>91.201813346081849</v>
      </c>
      <c r="P218" s="342">
        <v>82.322621364463402</v>
      </c>
      <c r="Q218" s="342">
        <v>83.183503920407489</v>
      </c>
      <c r="R218" s="342">
        <v>88.088428710351124</v>
      </c>
      <c r="S218" s="341">
        <v>1354.2672847828105</v>
      </c>
      <c r="T218" s="291"/>
      <c r="U218" s="222">
        <v>0</v>
      </c>
      <c r="V218" s="222">
        <v>-1</v>
      </c>
    </row>
    <row r="219" spans="1:22" customFormat="1" x14ac:dyDescent="0.25">
      <c r="A219" s="214">
        <v>53</v>
      </c>
      <c r="B219" s="215" t="s">
        <v>351</v>
      </c>
      <c r="C219" s="288" t="s">
        <v>374</v>
      </c>
      <c r="D219" s="287" t="s">
        <v>373</v>
      </c>
      <c r="E219" s="215" t="s">
        <v>379</v>
      </c>
      <c r="F219" s="216" t="s">
        <v>16</v>
      </c>
      <c r="G219" s="342">
        <v>104.71847762643164</v>
      </c>
      <c r="H219" s="342">
        <v>110.86080353146528</v>
      </c>
      <c r="I219" s="342">
        <v>117.67650752266327</v>
      </c>
      <c r="J219" s="342">
        <v>128.14475563694194</v>
      </c>
      <c r="K219" s="342">
        <v>123.91727888715442</v>
      </c>
      <c r="L219" s="342">
        <v>145.15148933344037</v>
      </c>
      <c r="M219" s="342">
        <v>159.06795515532826</v>
      </c>
      <c r="N219" s="342">
        <v>118.82793763192029</v>
      </c>
      <c r="O219" s="342">
        <v>91.291308566800183</v>
      </c>
      <c r="P219" s="342">
        <v>82.460772666531014</v>
      </c>
      <c r="Q219" s="342">
        <v>83.23546222289238</v>
      </c>
      <c r="R219" s="342">
        <v>87.506430224672513</v>
      </c>
      <c r="S219" s="341">
        <v>1352.8591790062417</v>
      </c>
      <c r="T219" s="291"/>
      <c r="U219" s="222"/>
      <c r="V219" s="222"/>
    </row>
    <row r="220" spans="1:22" customFormat="1" x14ac:dyDescent="0.25">
      <c r="A220" s="214">
        <v>53</v>
      </c>
      <c r="B220" s="215" t="s">
        <v>351</v>
      </c>
      <c r="C220" s="288" t="s">
        <v>374</v>
      </c>
      <c r="D220" s="287" t="s">
        <v>373</v>
      </c>
      <c r="E220" s="215" t="s">
        <v>380</v>
      </c>
      <c r="F220" s="216" t="s">
        <v>381</v>
      </c>
      <c r="G220" s="342">
        <v>109.7475442342792</v>
      </c>
      <c r="H220" s="342">
        <v>114.64528886707915</v>
      </c>
      <c r="I220" s="342">
        <v>157.29193838071876</v>
      </c>
      <c r="J220" s="342">
        <v>177.44654179777191</v>
      </c>
      <c r="K220" s="342">
        <v>201.59198803354295</v>
      </c>
      <c r="L220" s="342">
        <v>286.91342241527383</v>
      </c>
      <c r="M220" s="342">
        <v>354.51119797271565</v>
      </c>
      <c r="N220" s="342">
        <v>217.72572816493198</v>
      </c>
      <c r="O220" s="342">
        <v>116.61735945447127</v>
      </c>
      <c r="P220" s="342">
        <v>106.37539972793628</v>
      </c>
      <c r="Q220" s="342">
        <v>107.59854915557742</v>
      </c>
      <c r="R220" s="342">
        <v>105.06202053212532</v>
      </c>
      <c r="S220" s="341">
        <v>2055.5269787364236</v>
      </c>
      <c r="T220" s="291"/>
      <c r="U220" s="222"/>
      <c r="V220" s="222"/>
    </row>
    <row r="221" spans="1:22" customFormat="1" x14ac:dyDescent="0.25">
      <c r="A221" s="214">
        <v>53</v>
      </c>
      <c r="B221" s="215" t="s">
        <v>351</v>
      </c>
      <c r="C221" s="288" t="s">
        <v>374</v>
      </c>
      <c r="D221" s="287" t="s">
        <v>373</v>
      </c>
      <c r="E221" s="215" t="s">
        <v>382</v>
      </c>
      <c r="F221" s="216" t="s">
        <v>383</v>
      </c>
      <c r="G221" s="342">
        <v>114.67443068545501</v>
      </c>
      <c r="H221" s="342">
        <v>117.98757294309183</v>
      </c>
      <c r="I221" s="342">
        <v>159.05242046049204</v>
      </c>
      <c r="J221" s="342">
        <v>180.49356964157326</v>
      </c>
      <c r="K221" s="342">
        <v>213.44197660946978</v>
      </c>
      <c r="L221" s="342">
        <v>305.59171011298685</v>
      </c>
      <c r="M221" s="342">
        <v>376.09529691571709</v>
      </c>
      <c r="N221" s="342">
        <v>233.10944485108311</v>
      </c>
      <c r="O221" s="342">
        <v>125.01168414393116</v>
      </c>
      <c r="P221" s="342">
        <v>113.22525586559</v>
      </c>
      <c r="Q221" s="342">
        <v>113.53905773708891</v>
      </c>
      <c r="R221" s="342">
        <v>110.17108610706393</v>
      </c>
      <c r="S221" s="341">
        <v>2162.393506073543</v>
      </c>
      <c r="T221" s="291"/>
      <c r="U221" s="222"/>
      <c r="V221" s="222"/>
    </row>
    <row r="222" spans="1:22" customFormat="1" x14ac:dyDescent="0.25">
      <c r="A222" s="214">
        <v>53</v>
      </c>
      <c r="B222" s="215" t="s">
        <v>351</v>
      </c>
      <c r="C222" s="288" t="s">
        <v>374</v>
      </c>
      <c r="D222" s="287" t="s">
        <v>373</v>
      </c>
      <c r="E222" s="215" t="s">
        <v>384</v>
      </c>
      <c r="F222" s="216" t="s">
        <v>385</v>
      </c>
      <c r="G222" s="342">
        <v>114.45974174615029</v>
      </c>
      <c r="H222" s="342">
        <v>117.98549697747902</v>
      </c>
      <c r="I222" s="342">
        <v>159.00649495491689</v>
      </c>
      <c r="J222" s="342">
        <v>180.46893131835438</v>
      </c>
      <c r="K222" s="342">
        <v>213.33084840434157</v>
      </c>
      <c r="L222" s="342">
        <v>305.5917101129869</v>
      </c>
      <c r="M222" s="342">
        <v>375.9192690073836</v>
      </c>
      <c r="N222" s="342">
        <v>232.72586528108306</v>
      </c>
      <c r="O222" s="342">
        <v>124.4314711391055</v>
      </c>
      <c r="P222" s="342">
        <v>112.56362841851221</v>
      </c>
      <c r="Q222" s="342">
        <v>112.89058868736883</v>
      </c>
      <c r="R222" s="342">
        <v>109.7709786395602</v>
      </c>
      <c r="S222" s="341">
        <v>2159.1450246872423</v>
      </c>
      <c r="T222" s="291"/>
      <c r="U222" s="437"/>
      <c r="V222" s="437"/>
    </row>
    <row r="223" spans="1:22" customFormat="1" x14ac:dyDescent="0.25">
      <c r="A223" s="214">
        <v>2</v>
      </c>
      <c r="B223" s="215" t="s">
        <v>247</v>
      </c>
      <c r="C223" s="225" t="s">
        <v>252</v>
      </c>
      <c r="D223" s="224" t="s">
        <v>251</v>
      </c>
      <c r="E223" s="215" t="s">
        <v>246</v>
      </c>
      <c r="F223" s="216" t="s">
        <v>248</v>
      </c>
      <c r="G223" s="227">
        <v>62.527943830521835</v>
      </c>
      <c r="H223" s="227">
        <v>71.057918299249579</v>
      </c>
      <c r="I223" s="227">
        <v>85.467505635250831</v>
      </c>
      <c r="J223" s="227">
        <v>90.288872169027258</v>
      </c>
      <c r="K223" s="227">
        <v>92.961838135638899</v>
      </c>
      <c r="L223" s="227">
        <v>111.57645295467177</v>
      </c>
      <c r="M223" s="227">
        <v>104.31037456132718</v>
      </c>
      <c r="N223" s="227">
        <v>93.561788557938499</v>
      </c>
      <c r="O223" s="227">
        <v>89.790349711390576</v>
      </c>
      <c r="P223" s="227">
        <v>65.542476502025664</v>
      </c>
      <c r="Q223" s="227">
        <v>58.473100114267176</v>
      </c>
      <c r="R223" s="227">
        <v>53.425223669383392</v>
      </c>
      <c r="S223" s="226">
        <v>978.98384414069267</v>
      </c>
      <c r="T223" s="228"/>
      <c r="U223" s="222"/>
      <c r="V223" s="222"/>
    </row>
    <row r="224" spans="1:22" customFormat="1" x14ac:dyDescent="0.25">
      <c r="A224" s="214">
        <v>2</v>
      </c>
      <c r="B224" s="215" t="s">
        <v>332</v>
      </c>
      <c r="C224" s="225" t="s">
        <v>252</v>
      </c>
      <c r="D224" s="224" t="s">
        <v>251</v>
      </c>
      <c r="E224" s="215" t="s">
        <v>331</v>
      </c>
      <c r="F224" s="216" t="s">
        <v>333</v>
      </c>
      <c r="G224" s="227">
        <v>29.307271791094792</v>
      </c>
      <c r="H224" s="227">
        <v>41.543402465058797</v>
      </c>
      <c r="I224" s="227">
        <v>40.563148145247013</v>
      </c>
      <c r="J224" s="227">
        <v>41.663895445362805</v>
      </c>
      <c r="K224" s="227">
        <v>45.977497970882766</v>
      </c>
      <c r="L224" s="227">
        <v>50.808757149003767</v>
      </c>
      <c r="M224" s="227">
        <v>52.971507885629471</v>
      </c>
      <c r="N224" s="227">
        <v>56.606691212723561</v>
      </c>
      <c r="O224" s="227">
        <v>36.831747448704867</v>
      </c>
      <c r="P224" s="227">
        <v>31.523526052208219</v>
      </c>
      <c r="Q224" s="227">
        <v>29.899797663106675</v>
      </c>
      <c r="R224" s="227">
        <v>30.156098088261061</v>
      </c>
      <c r="S224" s="226">
        <v>487.85334131728376</v>
      </c>
      <c r="T224" s="228"/>
      <c r="U224" s="222"/>
      <c r="V224" s="222"/>
    </row>
    <row r="225" spans="1:22" customFormat="1" x14ac:dyDescent="0.25">
      <c r="A225" s="214">
        <v>2</v>
      </c>
      <c r="B225" s="215" t="s">
        <v>335</v>
      </c>
      <c r="C225" s="225" t="s">
        <v>252</v>
      </c>
      <c r="D225" s="224" t="s">
        <v>251</v>
      </c>
      <c r="E225" s="215" t="s">
        <v>334</v>
      </c>
      <c r="F225" s="216" t="s">
        <v>336</v>
      </c>
      <c r="G225" s="227">
        <v>13.184141802638532</v>
      </c>
      <c r="H225" s="227">
        <v>16.826514346760916</v>
      </c>
      <c r="I225" s="227">
        <v>29.15711036859344</v>
      </c>
      <c r="J225" s="227">
        <v>33.052751281035228</v>
      </c>
      <c r="K225" s="227">
        <v>41.240791771743559</v>
      </c>
      <c r="L225" s="227">
        <v>69.30136165665904</v>
      </c>
      <c r="M225" s="227">
        <v>66.125237737199555</v>
      </c>
      <c r="N225" s="227">
        <v>43.959055344749245</v>
      </c>
      <c r="O225" s="227">
        <v>23.818728748737094</v>
      </c>
      <c r="P225" s="227">
        <v>8.7296848931652704</v>
      </c>
      <c r="Q225" s="227">
        <v>4.8446021620574795</v>
      </c>
      <c r="R225" s="227">
        <v>7.4030996903167328</v>
      </c>
      <c r="S225" s="226">
        <v>357.64307980365601</v>
      </c>
      <c r="T225" s="228"/>
      <c r="U225" s="222"/>
      <c r="V225" s="222"/>
    </row>
    <row r="226" spans="1:22" customFormat="1" x14ac:dyDescent="0.25">
      <c r="A226" s="214">
        <v>2</v>
      </c>
      <c r="B226" s="215" t="s">
        <v>351</v>
      </c>
      <c r="C226" s="225" t="s">
        <v>252</v>
      </c>
      <c r="D226" s="224" t="s">
        <v>251</v>
      </c>
      <c r="E226" s="215" t="s">
        <v>350</v>
      </c>
      <c r="F226" s="216" t="s">
        <v>352</v>
      </c>
      <c r="G226" s="227">
        <v>16.955671780619056</v>
      </c>
      <c r="H226" s="227">
        <v>-0.29013948057161087</v>
      </c>
      <c r="I226" s="227">
        <v>1.3653991708463877</v>
      </c>
      <c r="J226" s="227">
        <v>1.765814160865375</v>
      </c>
      <c r="K226" s="227">
        <v>1.3063532814289545</v>
      </c>
      <c r="L226" s="227">
        <v>1.8755605050086785</v>
      </c>
      <c r="M226" s="227">
        <v>7.3067413650644539</v>
      </c>
      <c r="N226" s="227">
        <v>-4.0964669718558753</v>
      </c>
      <c r="O226" s="227">
        <v>11.442695926720177</v>
      </c>
      <c r="P226" s="227">
        <v>16.728686773194809</v>
      </c>
      <c r="Q226" s="227">
        <v>17.161492678101965</v>
      </c>
      <c r="R226" s="227">
        <v>15.876980218232305</v>
      </c>
      <c r="S226" s="226">
        <v>87.398789407654675</v>
      </c>
      <c r="T226" s="318"/>
      <c r="U226" s="222"/>
      <c r="V226" s="222"/>
    </row>
    <row r="227" spans="1:22" customFormat="1" x14ac:dyDescent="0.25">
      <c r="A227" s="214">
        <v>2</v>
      </c>
      <c r="B227" s="215" t="s">
        <v>351</v>
      </c>
      <c r="C227" s="225" t="s">
        <v>252</v>
      </c>
      <c r="D227" s="224" t="s">
        <v>251</v>
      </c>
      <c r="E227" s="215" t="s">
        <v>379</v>
      </c>
      <c r="F227" s="216" t="s">
        <v>16</v>
      </c>
      <c r="G227" s="227">
        <v>0.14683992279880442</v>
      </c>
      <c r="H227" s="227">
        <v>0.15546271544599222</v>
      </c>
      <c r="I227" s="227">
        <v>0.18846689003200368</v>
      </c>
      <c r="J227" s="227">
        <v>0.20076805745139836</v>
      </c>
      <c r="K227" s="227">
        <v>0.21848292274435721</v>
      </c>
      <c r="L227" s="227">
        <v>0.28117431653123504</v>
      </c>
      <c r="M227" s="227">
        <v>0.27774541920049955</v>
      </c>
      <c r="N227" s="227">
        <v>0.22876934367201329</v>
      </c>
      <c r="O227" s="227">
        <v>0.19488385453718138</v>
      </c>
      <c r="P227" s="227">
        <v>0.14750125307455164</v>
      </c>
      <c r="Q227" s="227">
        <v>0.13288000716394777</v>
      </c>
      <c r="R227" s="227">
        <v>0.12864534711015096</v>
      </c>
      <c r="S227" s="226">
        <v>2.3016200497620503</v>
      </c>
      <c r="T227" s="318"/>
      <c r="U227" s="437"/>
      <c r="V227" s="437"/>
    </row>
    <row r="228" spans="1:22" customFormat="1" x14ac:dyDescent="0.25">
      <c r="A228" s="214">
        <v>2</v>
      </c>
      <c r="B228" s="215" t="s">
        <v>335</v>
      </c>
      <c r="C228" s="225" t="s">
        <v>252</v>
      </c>
      <c r="D228" s="224" t="s">
        <v>251</v>
      </c>
      <c r="E228" s="215" t="s">
        <v>348</v>
      </c>
      <c r="F228" s="216" t="s">
        <v>349</v>
      </c>
      <c r="G228" s="227">
        <v>23.81048692611186</v>
      </c>
      <c r="H228" s="227">
        <v>23.3641681687198</v>
      </c>
      <c r="I228" s="227">
        <v>50.335189827392298</v>
      </c>
      <c r="J228" s="227">
        <v>52.668607990812639</v>
      </c>
      <c r="K228" s="227">
        <v>65.821354620534123</v>
      </c>
      <c r="L228" s="227">
        <v>106.99173025017549</v>
      </c>
      <c r="M228" s="227">
        <v>112.58273629432922</v>
      </c>
      <c r="N228" s="227">
        <v>57.192820556416791</v>
      </c>
      <c r="O228" s="227">
        <v>32.74378013487371</v>
      </c>
      <c r="P228" s="227">
        <v>26.276006691130881</v>
      </c>
      <c r="Q228" s="227">
        <v>26.112632918987241</v>
      </c>
      <c r="R228" s="227">
        <v>23.843305348548899</v>
      </c>
      <c r="S228" s="226">
        <v>601.74281972803306</v>
      </c>
      <c r="T228" s="228"/>
      <c r="U228" s="437"/>
      <c r="V228" s="437"/>
    </row>
    <row r="229" spans="1:22" customFormat="1" x14ac:dyDescent="0.25">
      <c r="A229" s="214">
        <v>2</v>
      </c>
      <c r="B229" s="215" t="s">
        <v>351</v>
      </c>
      <c r="C229" s="225" t="s">
        <v>252</v>
      </c>
      <c r="D229" s="224" t="s">
        <v>251</v>
      </c>
      <c r="E229" s="215" t="s">
        <v>380</v>
      </c>
      <c r="F229" s="216" t="s">
        <v>381</v>
      </c>
      <c r="G229" s="227">
        <v>-6.9200785319951317</v>
      </c>
      <c r="H229" s="227">
        <v>16.049272537236732</v>
      </c>
      <c r="I229" s="227">
        <v>38.641194930462802</v>
      </c>
      <c r="J229" s="227">
        <v>40.177758152752318</v>
      </c>
      <c r="K229" s="227">
        <v>55.143730219073461</v>
      </c>
      <c r="L229" s="227">
        <v>110.22422138677575</v>
      </c>
      <c r="M229" s="227">
        <v>134.57878320327734</v>
      </c>
      <c r="N229" s="227">
        <v>75.471246997364176</v>
      </c>
      <c r="O229" s="227">
        <v>12.701695516978077</v>
      </c>
      <c r="P229" s="227">
        <v>-6.3268806514853964</v>
      </c>
      <c r="Q229" s="227">
        <v>-9.5243429287339865</v>
      </c>
      <c r="R229" s="227">
        <v>-8.6249788932997973</v>
      </c>
      <c r="S229" s="226">
        <v>451.59162193840621</v>
      </c>
      <c r="T229" s="318"/>
      <c r="U229" s="437"/>
      <c r="V229" s="437"/>
    </row>
    <row r="230" spans="1:22" customFormat="1" x14ac:dyDescent="0.25">
      <c r="A230" s="214">
        <v>2</v>
      </c>
      <c r="B230" s="215" t="s">
        <v>351</v>
      </c>
      <c r="C230" s="225" t="s">
        <v>252</v>
      </c>
      <c r="D230" s="224" t="s">
        <v>251</v>
      </c>
      <c r="E230" s="215" t="s">
        <v>382</v>
      </c>
      <c r="F230" s="216" t="s">
        <v>383</v>
      </c>
      <c r="G230" s="227">
        <v>7.0026965062547362</v>
      </c>
      <c r="H230" s="227">
        <v>5.9147678248741178</v>
      </c>
      <c r="I230" s="227">
        <v>8.5817164592871205</v>
      </c>
      <c r="J230" s="227">
        <v>11.211950021578158</v>
      </c>
      <c r="K230" s="227">
        <v>17.435155639914989</v>
      </c>
      <c r="L230" s="227">
        <v>27.757083338613146</v>
      </c>
      <c r="M230" s="227">
        <v>27.290377503255442</v>
      </c>
      <c r="N230" s="227">
        <v>19.818951805295111</v>
      </c>
      <c r="O230" s="227">
        <v>15.011840592592053</v>
      </c>
      <c r="P230" s="227">
        <v>9.9199039662164754</v>
      </c>
      <c r="Q230" s="227">
        <v>8.1319526074712378</v>
      </c>
      <c r="R230" s="227">
        <v>5.9284192293630671</v>
      </c>
      <c r="S230" s="226">
        <v>164.0048154947157</v>
      </c>
      <c r="T230" s="318"/>
      <c r="U230" s="437"/>
      <c r="V230" s="437"/>
    </row>
    <row r="231" spans="1:22" customFormat="1" x14ac:dyDescent="0.25">
      <c r="A231" s="214">
        <v>2</v>
      </c>
      <c r="B231" s="215" t="s">
        <v>351</v>
      </c>
      <c r="C231" s="225" t="s">
        <v>252</v>
      </c>
      <c r="D231" s="224" t="s">
        <v>251</v>
      </c>
      <c r="E231" s="215" t="s">
        <v>384</v>
      </c>
      <c r="F231" s="216" t="s">
        <v>385</v>
      </c>
      <c r="G231" s="227">
        <v>0.64340757348998068</v>
      </c>
      <c r="H231" s="227">
        <v>0.76946019193960069</v>
      </c>
      <c r="I231" s="227">
        <v>1.1205588620329934</v>
      </c>
      <c r="J231" s="227">
        <v>1.1942817802362811</v>
      </c>
      <c r="K231" s="227">
        <v>1.4105273400875262</v>
      </c>
      <c r="L231" s="227">
        <v>2.1098799114234907</v>
      </c>
      <c r="M231" s="227">
        <v>2.2272111513898949</v>
      </c>
      <c r="N231" s="227">
        <v>1.5102790061254723</v>
      </c>
      <c r="O231" s="227">
        <v>0.98059236607630851</v>
      </c>
      <c r="P231" s="227">
        <v>0.67216375927097261</v>
      </c>
      <c r="Q231" s="227">
        <v>0.59589345334168797</v>
      </c>
      <c r="R231" s="227">
        <v>0.56462827469133003</v>
      </c>
      <c r="S231" s="226">
        <v>13.798883670106079</v>
      </c>
      <c r="T231" s="318"/>
      <c r="U231" s="437"/>
      <c r="V231" s="437"/>
    </row>
    <row r="232" spans="1:22" customFormat="1" x14ac:dyDescent="0.25">
      <c r="A232" s="214">
        <v>2</v>
      </c>
      <c r="B232" s="215" t="s">
        <v>351</v>
      </c>
      <c r="C232" s="225" t="s">
        <v>252</v>
      </c>
      <c r="D232" s="224" t="s">
        <v>251</v>
      </c>
      <c r="E232" s="215" t="s">
        <v>386</v>
      </c>
      <c r="F232" s="216" t="s">
        <v>387</v>
      </c>
      <c r="G232" s="227">
        <v>50.737799967117411</v>
      </c>
      <c r="H232" s="227">
        <v>43.598518354926483</v>
      </c>
      <c r="I232" s="227">
        <v>33.433653540942515</v>
      </c>
      <c r="J232" s="227">
        <v>72.648676375344678</v>
      </c>
      <c r="K232" s="227">
        <v>19.246983721261245</v>
      </c>
      <c r="L232" s="227">
        <v>-56.85496358668712</v>
      </c>
      <c r="M232" s="227">
        <v>-103.03508684796753</v>
      </c>
      <c r="N232" s="227">
        <v>-38.655118384950981</v>
      </c>
      <c r="O232" s="227">
        <v>40.891373425747332</v>
      </c>
      <c r="P232" s="227">
        <v>119.35792719028063</v>
      </c>
      <c r="Q232" s="227">
        <v>117.66611551515382</v>
      </c>
      <c r="R232" s="227">
        <v>76.058052351458031</v>
      </c>
      <c r="S232" s="226">
        <v>375.09393162262631</v>
      </c>
      <c r="T232" s="318"/>
      <c r="U232" s="437"/>
      <c r="V232" s="437"/>
    </row>
    <row r="233" spans="1:22" customFormat="1" x14ac:dyDescent="0.25">
      <c r="A233" s="214">
        <v>2</v>
      </c>
      <c r="B233" s="215" t="s">
        <v>389</v>
      </c>
      <c r="C233" s="225" t="s">
        <v>252</v>
      </c>
      <c r="D233" s="224" t="s">
        <v>251</v>
      </c>
      <c r="E233" s="215" t="s">
        <v>388</v>
      </c>
      <c r="F233" s="216" t="s">
        <v>112</v>
      </c>
      <c r="G233" s="227">
        <v>18.032250845858346</v>
      </c>
      <c r="H233" s="227">
        <v>26.504547286353571</v>
      </c>
      <c r="I233" s="227">
        <v>54.90066272430991</v>
      </c>
      <c r="J233" s="227">
        <v>64.264576855644748</v>
      </c>
      <c r="K233" s="227">
        <v>77.162890730479631</v>
      </c>
      <c r="L233" s="227">
        <v>108.9324487949075</v>
      </c>
      <c r="M233" s="227">
        <v>120.89369774394639</v>
      </c>
      <c r="N233" s="227">
        <v>84.234095899193349</v>
      </c>
      <c r="O233" s="227">
        <v>44.901987885135945</v>
      </c>
      <c r="P233" s="227">
        <v>23.490770851844669</v>
      </c>
      <c r="Q233" s="227">
        <v>16.145777963578077</v>
      </c>
      <c r="R233" s="227">
        <v>10.119919409788936</v>
      </c>
      <c r="S233" s="226">
        <v>649.58362699104111</v>
      </c>
      <c r="T233" s="318"/>
      <c r="U233" s="437"/>
      <c r="V233" s="437"/>
    </row>
    <row r="234" spans="1:22" customFormat="1" x14ac:dyDescent="0.25">
      <c r="A234" s="214">
        <v>2</v>
      </c>
      <c r="B234" s="215" t="s">
        <v>351</v>
      </c>
      <c r="C234" s="225" t="s">
        <v>252</v>
      </c>
      <c r="D234" s="224" t="s">
        <v>251</v>
      </c>
      <c r="E234" s="215" t="s">
        <v>390</v>
      </c>
      <c r="F234" s="216" t="s">
        <v>391</v>
      </c>
      <c r="G234" s="227">
        <v>1.9939008239257783</v>
      </c>
      <c r="H234" s="227">
        <v>2.2120135901377838</v>
      </c>
      <c r="I234" s="227">
        <v>2.9177166043443199</v>
      </c>
      <c r="J234" s="227">
        <v>3.4835694488329945</v>
      </c>
      <c r="K234" s="227">
        <v>3.4420476325586886</v>
      </c>
      <c r="L234" s="227">
        <v>4.2835480594159154</v>
      </c>
      <c r="M234" s="227">
        <v>4.0872285684111711</v>
      </c>
      <c r="N234" s="227">
        <v>3.0868486612876596</v>
      </c>
      <c r="O234" s="227">
        <v>2.6707847245086631</v>
      </c>
      <c r="P234" s="227">
        <v>2.753242388172549</v>
      </c>
      <c r="Q234" s="227">
        <v>2.5605467089991665</v>
      </c>
      <c r="R234" s="227">
        <v>2.0682775083238925</v>
      </c>
      <c r="S234" s="226">
        <v>35.559724718918588</v>
      </c>
      <c r="T234" s="318"/>
      <c r="U234" s="437"/>
      <c r="V234" s="437"/>
    </row>
    <row r="235" spans="1:22" customFormat="1" x14ac:dyDescent="0.25">
      <c r="A235" s="214">
        <v>2</v>
      </c>
      <c r="B235" s="215" t="s">
        <v>393</v>
      </c>
      <c r="C235" s="225" t="s">
        <v>252</v>
      </c>
      <c r="D235" s="224" t="s">
        <v>251</v>
      </c>
      <c r="E235" s="215" t="s">
        <v>392</v>
      </c>
      <c r="F235" s="216" t="s">
        <v>394</v>
      </c>
      <c r="G235" s="227">
        <v>102.29923816411304</v>
      </c>
      <c r="H235" s="227">
        <v>136.38971131943762</v>
      </c>
      <c r="I235" s="227">
        <v>227.56763951074225</v>
      </c>
      <c r="J235" s="227">
        <v>273.66463093473578</v>
      </c>
      <c r="K235" s="227">
        <v>280.12588610500143</v>
      </c>
      <c r="L235" s="227">
        <v>338.44775213312994</v>
      </c>
      <c r="M235" s="227">
        <v>284.77649558114376</v>
      </c>
      <c r="N235" s="227">
        <v>190.45090013486271</v>
      </c>
      <c r="O235" s="227">
        <v>136.6009274320154</v>
      </c>
      <c r="P235" s="227">
        <v>126.26184397215889</v>
      </c>
      <c r="Q235" s="227">
        <v>101.86521484333889</v>
      </c>
      <c r="R235" s="227">
        <v>82.40431477966888</v>
      </c>
      <c r="S235" s="226">
        <v>2280.8545549103483</v>
      </c>
      <c r="T235" s="318"/>
      <c r="U235" s="437"/>
      <c r="V235" s="437"/>
    </row>
    <row r="236" spans="1:22" customFormat="1" x14ac:dyDescent="0.25">
      <c r="A236" s="214">
        <v>3</v>
      </c>
      <c r="B236" s="215" t="s">
        <v>247</v>
      </c>
      <c r="C236" s="231" t="s">
        <v>254</v>
      </c>
      <c r="D236" s="230" t="s">
        <v>253</v>
      </c>
      <c r="E236" s="215" t="s">
        <v>246</v>
      </c>
      <c r="F236" s="216" t="s">
        <v>248</v>
      </c>
      <c r="G236" s="310">
        <v>0</v>
      </c>
      <c r="H236" s="310">
        <v>0</v>
      </c>
      <c r="I236" s="310">
        <v>0</v>
      </c>
      <c r="J236" s="310">
        <v>0</v>
      </c>
      <c r="K236" s="310">
        <v>0</v>
      </c>
      <c r="L236" s="310">
        <v>0</v>
      </c>
      <c r="M236" s="310">
        <v>0</v>
      </c>
      <c r="N236" s="310">
        <v>0</v>
      </c>
      <c r="O236" s="310">
        <v>0</v>
      </c>
      <c r="P236" s="310">
        <v>0</v>
      </c>
      <c r="Q236" s="310">
        <v>0</v>
      </c>
      <c r="R236" s="310">
        <v>0</v>
      </c>
      <c r="S236" s="309">
        <v>0</v>
      </c>
      <c r="T236" s="311"/>
      <c r="U236" s="437"/>
      <c r="V236" s="437"/>
    </row>
    <row r="237" spans="1:22" customFormat="1" x14ac:dyDescent="0.25">
      <c r="A237" s="214">
        <v>3</v>
      </c>
      <c r="B237" s="215" t="s">
        <v>332</v>
      </c>
      <c r="C237" s="231" t="s">
        <v>254</v>
      </c>
      <c r="D237" s="230" t="s">
        <v>253</v>
      </c>
      <c r="E237" s="215" t="s">
        <v>331</v>
      </c>
      <c r="F237" s="216" t="s">
        <v>333</v>
      </c>
      <c r="G237" s="310">
        <v>0</v>
      </c>
      <c r="H237" s="310">
        <v>0</v>
      </c>
      <c r="I237" s="310">
        <v>0</v>
      </c>
      <c r="J237" s="310">
        <v>0</v>
      </c>
      <c r="K237" s="310">
        <v>0</v>
      </c>
      <c r="L237" s="310">
        <v>0</v>
      </c>
      <c r="M237" s="310">
        <v>0</v>
      </c>
      <c r="N237" s="310">
        <v>0</v>
      </c>
      <c r="O237" s="310">
        <v>0</v>
      </c>
      <c r="P237" s="310">
        <v>0</v>
      </c>
      <c r="Q237" s="310">
        <v>0</v>
      </c>
      <c r="R237" s="310">
        <v>0</v>
      </c>
      <c r="S237" s="309">
        <v>0</v>
      </c>
      <c r="T237" s="311"/>
      <c r="U237" s="437"/>
      <c r="V237" s="437"/>
    </row>
    <row r="238" spans="1:22" customFormat="1" x14ac:dyDescent="0.25">
      <c r="A238" s="214">
        <v>3</v>
      </c>
      <c r="B238" s="215" t="s">
        <v>335</v>
      </c>
      <c r="C238" s="231" t="s">
        <v>254</v>
      </c>
      <c r="D238" s="230" t="s">
        <v>253</v>
      </c>
      <c r="E238" s="215" t="s">
        <v>334</v>
      </c>
      <c r="F238" s="216" t="s">
        <v>336</v>
      </c>
      <c r="G238" s="310">
        <v>0</v>
      </c>
      <c r="H238" s="310">
        <v>0</v>
      </c>
      <c r="I238" s="310">
        <v>0</v>
      </c>
      <c r="J238" s="310">
        <v>0</v>
      </c>
      <c r="K238" s="310">
        <v>0</v>
      </c>
      <c r="L238" s="310">
        <v>0</v>
      </c>
      <c r="M238" s="310">
        <v>0</v>
      </c>
      <c r="N238" s="310">
        <v>0</v>
      </c>
      <c r="O238" s="310">
        <v>0</v>
      </c>
      <c r="P238" s="310">
        <v>0</v>
      </c>
      <c r="Q238" s="310">
        <v>0</v>
      </c>
      <c r="R238" s="310">
        <v>0</v>
      </c>
      <c r="S238" s="309">
        <v>0</v>
      </c>
      <c r="T238" s="311"/>
      <c r="U238" s="437"/>
      <c r="V238" s="437"/>
    </row>
    <row r="239" spans="1:22" customFormat="1" x14ac:dyDescent="0.25">
      <c r="A239" s="214">
        <v>3</v>
      </c>
      <c r="B239" s="215" t="s">
        <v>351</v>
      </c>
      <c r="C239" s="231" t="s">
        <v>254</v>
      </c>
      <c r="D239" s="230" t="s">
        <v>253</v>
      </c>
      <c r="E239" s="215" t="s">
        <v>350</v>
      </c>
      <c r="F239" s="216" t="s">
        <v>352</v>
      </c>
      <c r="G239" s="227">
        <v>0</v>
      </c>
      <c r="H239" s="227">
        <v>0</v>
      </c>
      <c r="I239" s="227">
        <v>0</v>
      </c>
      <c r="J239" s="227">
        <v>0</v>
      </c>
      <c r="K239" s="227">
        <v>0</v>
      </c>
      <c r="L239" s="227">
        <v>0</v>
      </c>
      <c r="M239" s="227">
        <v>0</v>
      </c>
      <c r="N239" s="227">
        <v>0</v>
      </c>
      <c r="O239" s="227">
        <v>0</v>
      </c>
      <c r="P239" s="227">
        <v>0</v>
      </c>
      <c r="Q239" s="227">
        <v>0</v>
      </c>
      <c r="R239" s="227">
        <v>0</v>
      </c>
      <c r="S239" s="226">
        <v>0</v>
      </c>
      <c r="T239" s="428"/>
      <c r="U239" s="437"/>
      <c r="V239" s="437"/>
    </row>
    <row r="240" spans="1:22" customFormat="1" x14ac:dyDescent="0.25">
      <c r="A240" s="214">
        <v>3</v>
      </c>
      <c r="B240" s="215" t="s">
        <v>351</v>
      </c>
      <c r="C240" s="231" t="s">
        <v>254</v>
      </c>
      <c r="D240" s="230" t="s">
        <v>253</v>
      </c>
      <c r="E240" s="215" t="s">
        <v>379</v>
      </c>
      <c r="F240" s="216" t="s">
        <v>16</v>
      </c>
      <c r="G240" s="227">
        <v>0</v>
      </c>
      <c r="H240" s="227">
        <v>0</v>
      </c>
      <c r="I240" s="227">
        <v>0</v>
      </c>
      <c r="J240" s="227">
        <v>0</v>
      </c>
      <c r="K240" s="227">
        <v>0</v>
      </c>
      <c r="L240" s="227">
        <v>0</v>
      </c>
      <c r="M240" s="227">
        <v>0</v>
      </c>
      <c r="N240" s="227">
        <v>0</v>
      </c>
      <c r="O240" s="227">
        <v>0</v>
      </c>
      <c r="P240" s="227">
        <v>0</v>
      </c>
      <c r="Q240" s="227">
        <v>0</v>
      </c>
      <c r="R240" s="227">
        <v>0</v>
      </c>
      <c r="S240" s="226">
        <v>0</v>
      </c>
      <c r="T240" s="428"/>
      <c r="U240" s="437"/>
      <c r="V240" s="437"/>
    </row>
    <row r="241" spans="1:22" customFormat="1" x14ac:dyDescent="0.25">
      <c r="A241" s="214">
        <v>3</v>
      </c>
      <c r="B241" s="215" t="s">
        <v>335</v>
      </c>
      <c r="C241" s="231" t="s">
        <v>254</v>
      </c>
      <c r="D241" s="230" t="s">
        <v>253</v>
      </c>
      <c r="E241" s="215" t="s">
        <v>348</v>
      </c>
      <c r="F241" s="216" t="s">
        <v>349</v>
      </c>
      <c r="G241" s="310">
        <v>10.814235523199997</v>
      </c>
      <c r="H241" s="310">
        <v>9.4188502943999985</v>
      </c>
      <c r="I241" s="310">
        <v>8.6513884185600034</v>
      </c>
      <c r="J241" s="310">
        <v>8.6513884185599998</v>
      </c>
      <c r="K241" s="310">
        <v>8.3025421113599975</v>
      </c>
      <c r="L241" s="310">
        <v>9.7328119708800003</v>
      </c>
      <c r="M241" s="310">
        <v>9.9421197551999967</v>
      </c>
      <c r="N241" s="310">
        <v>11.354947299360006</v>
      </c>
      <c r="O241" s="310">
        <v>12.035197598399993</v>
      </c>
      <c r="P241" s="310">
        <v>12.977082627840012</v>
      </c>
      <c r="Q241" s="310">
        <v>13.517794404000004</v>
      </c>
      <c r="R241" s="310">
        <v>12.0351975984</v>
      </c>
      <c r="S241" s="309">
        <v>127.43355602016001</v>
      </c>
      <c r="T241" s="311"/>
      <c r="U241" s="437"/>
      <c r="V241" s="437"/>
    </row>
    <row r="242" spans="1:22" customFormat="1" x14ac:dyDescent="0.25">
      <c r="A242" s="214">
        <v>3</v>
      </c>
      <c r="B242" s="215" t="s">
        <v>351</v>
      </c>
      <c r="C242" s="231" t="s">
        <v>254</v>
      </c>
      <c r="D242" s="230" t="s">
        <v>253</v>
      </c>
      <c r="E242" s="215" t="s">
        <v>380</v>
      </c>
      <c r="F242" s="216" t="s">
        <v>381</v>
      </c>
      <c r="G242" s="227">
        <v>0</v>
      </c>
      <c r="H242" s="227">
        <v>0</v>
      </c>
      <c r="I242" s="227">
        <v>0</v>
      </c>
      <c r="J242" s="227">
        <v>0</v>
      </c>
      <c r="K242" s="227">
        <v>0</v>
      </c>
      <c r="L242" s="227">
        <v>0</v>
      </c>
      <c r="M242" s="227">
        <v>0</v>
      </c>
      <c r="N242" s="227">
        <v>0</v>
      </c>
      <c r="O242" s="227">
        <v>0</v>
      </c>
      <c r="P242" s="227">
        <v>0</v>
      </c>
      <c r="Q242" s="227">
        <v>0</v>
      </c>
      <c r="R242" s="227">
        <v>0</v>
      </c>
      <c r="S242" s="226">
        <v>0</v>
      </c>
      <c r="T242" s="428"/>
      <c r="U242" s="222">
        <v>0</v>
      </c>
      <c r="V242" s="222">
        <v>1</v>
      </c>
    </row>
    <row r="243" spans="1:22" customFormat="1" x14ac:dyDescent="0.25">
      <c r="A243" s="214">
        <v>3</v>
      </c>
      <c r="B243" s="215" t="s">
        <v>351</v>
      </c>
      <c r="C243" s="231" t="s">
        <v>254</v>
      </c>
      <c r="D243" s="230" t="s">
        <v>253</v>
      </c>
      <c r="E243" s="215" t="s">
        <v>382</v>
      </c>
      <c r="F243" s="216" t="s">
        <v>383</v>
      </c>
      <c r="G243" s="227">
        <v>0</v>
      </c>
      <c r="H243" s="227">
        <v>0</v>
      </c>
      <c r="I243" s="227">
        <v>0</v>
      </c>
      <c r="J243" s="227">
        <v>0</v>
      </c>
      <c r="K243" s="227">
        <v>0</v>
      </c>
      <c r="L243" s="227">
        <v>0</v>
      </c>
      <c r="M243" s="227">
        <v>0</v>
      </c>
      <c r="N243" s="227">
        <v>0</v>
      </c>
      <c r="O243" s="227">
        <v>0</v>
      </c>
      <c r="P243" s="227">
        <v>0</v>
      </c>
      <c r="Q243" s="227">
        <v>0</v>
      </c>
      <c r="R243" s="227">
        <v>0</v>
      </c>
      <c r="S243" s="226">
        <v>0</v>
      </c>
      <c r="T243" s="428"/>
      <c r="U243" s="222">
        <v>0</v>
      </c>
      <c r="V243" s="229">
        <v>1</v>
      </c>
    </row>
    <row r="244" spans="1:22" customFormat="1" x14ac:dyDescent="0.25">
      <c r="A244" s="214">
        <v>3</v>
      </c>
      <c r="B244" s="215" t="s">
        <v>351</v>
      </c>
      <c r="C244" s="231" t="s">
        <v>254</v>
      </c>
      <c r="D244" s="230" t="s">
        <v>253</v>
      </c>
      <c r="E244" s="215" t="s">
        <v>384</v>
      </c>
      <c r="F244" s="216" t="s">
        <v>385</v>
      </c>
      <c r="G244" s="227">
        <v>0</v>
      </c>
      <c r="H244" s="227">
        <v>0</v>
      </c>
      <c r="I244" s="227">
        <v>0</v>
      </c>
      <c r="J244" s="227">
        <v>0</v>
      </c>
      <c r="K244" s="227">
        <v>0</v>
      </c>
      <c r="L244" s="227">
        <v>0</v>
      </c>
      <c r="M244" s="227">
        <v>0</v>
      </c>
      <c r="N244" s="227">
        <v>0</v>
      </c>
      <c r="O244" s="227">
        <v>0</v>
      </c>
      <c r="P244" s="227">
        <v>0</v>
      </c>
      <c r="Q244" s="227">
        <v>0</v>
      </c>
      <c r="R244" s="227">
        <v>0</v>
      </c>
      <c r="S244" s="226">
        <v>0</v>
      </c>
      <c r="T244" s="428"/>
      <c r="U244" s="222">
        <v>0</v>
      </c>
      <c r="V244" s="229">
        <v>1</v>
      </c>
    </row>
    <row r="245" spans="1:22" customFormat="1" x14ac:dyDescent="0.25">
      <c r="A245" s="214">
        <v>3</v>
      </c>
      <c r="B245" s="215" t="s">
        <v>351</v>
      </c>
      <c r="C245" s="225" t="s">
        <v>254</v>
      </c>
      <c r="D245" s="230" t="s">
        <v>253</v>
      </c>
      <c r="E245" s="215" t="s">
        <v>386</v>
      </c>
      <c r="F245" s="216" t="s">
        <v>387</v>
      </c>
      <c r="G245" s="227">
        <v>0</v>
      </c>
      <c r="H245" s="227">
        <v>0</v>
      </c>
      <c r="I245" s="227">
        <v>0</v>
      </c>
      <c r="J245" s="227">
        <v>0</v>
      </c>
      <c r="K245" s="227">
        <v>0</v>
      </c>
      <c r="L245" s="227">
        <v>0</v>
      </c>
      <c r="M245" s="227">
        <v>0</v>
      </c>
      <c r="N245" s="227">
        <v>0</v>
      </c>
      <c r="O245" s="227">
        <v>0</v>
      </c>
      <c r="P245" s="227">
        <v>0</v>
      </c>
      <c r="Q245" s="227">
        <v>0</v>
      </c>
      <c r="R245" s="227">
        <v>0</v>
      </c>
      <c r="S245" s="226">
        <v>0</v>
      </c>
      <c r="T245" s="428"/>
      <c r="U245" s="229">
        <v>1</v>
      </c>
      <c r="V245" s="229">
        <v>-1</v>
      </c>
    </row>
    <row r="246" spans="1:22" customFormat="1" x14ac:dyDescent="0.25">
      <c r="A246" s="214">
        <v>3</v>
      </c>
      <c r="B246" s="215" t="s">
        <v>389</v>
      </c>
      <c r="C246" s="225" t="s">
        <v>254</v>
      </c>
      <c r="D246" s="230" t="s">
        <v>253</v>
      </c>
      <c r="E246" s="215" t="s">
        <v>388</v>
      </c>
      <c r="F246" s="216" t="s">
        <v>112</v>
      </c>
      <c r="G246" s="227">
        <v>0</v>
      </c>
      <c r="H246" s="227">
        <v>0</v>
      </c>
      <c r="I246" s="227">
        <v>0</v>
      </c>
      <c r="J246" s="227">
        <v>0</v>
      </c>
      <c r="K246" s="227">
        <v>0</v>
      </c>
      <c r="L246" s="227">
        <v>0</v>
      </c>
      <c r="M246" s="227">
        <v>0</v>
      </c>
      <c r="N246" s="227">
        <v>0</v>
      </c>
      <c r="O246" s="227">
        <v>0</v>
      </c>
      <c r="P246" s="227">
        <v>0</v>
      </c>
      <c r="Q246" s="227">
        <v>0</v>
      </c>
      <c r="R246" s="227">
        <v>0</v>
      </c>
      <c r="S246" s="226">
        <v>0</v>
      </c>
      <c r="T246" s="428"/>
      <c r="U246" s="229">
        <v>1</v>
      </c>
      <c r="V246" s="229">
        <v>-1</v>
      </c>
    </row>
    <row r="247" spans="1:22" customFormat="1" x14ac:dyDescent="0.25">
      <c r="A247" s="214">
        <v>3</v>
      </c>
      <c r="B247" s="215" t="s">
        <v>351</v>
      </c>
      <c r="C247" s="225" t="s">
        <v>254</v>
      </c>
      <c r="D247" s="230" t="s">
        <v>253</v>
      </c>
      <c r="E247" s="215" t="s">
        <v>390</v>
      </c>
      <c r="F247" s="216" t="s">
        <v>391</v>
      </c>
      <c r="G247" s="227">
        <v>0</v>
      </c>
      <c r="H247" s="227">
        <v>0</v>
      </c>
      <c r="I247" s="227">
        <v>0</v>
      </c>
      <c r="J247" s="227">
        <v>0</v>
      </c>
      <c r="K247" s="227">
        <v>0</v>
      </c>
      <c r="L247" s="227">
        <v>0</v>
      </c>
      <c r="M247" s="227">
        <v>0</v>
      </c>
      <c r="N247" s="227">
        <v>0</v>
      </c>
      <c r="O247" s="227">
        <v>0</v>
      </c>
      <c r="P247" s="227">
        <v>0</v>
      </c>
      <c r="Q247" s="227">
        <v>0</v>
      </c>
      <c r="R247" s="227">
        <v>0</v>
      </c>
      <c r="S247" s="226">
        <v>0</v>
      </c>
      <c r="T247" s="428"/>
      <c r="U247" s="222">
        <v>0</v>
      </c>
      <c r="V247" s="229">
        <v>-1</v>
      </c>
    </row>
    <row r="248" spans="1:22" customFormat="1" x14ac:dyDescent="0.25">
      <c r="A248" s="214">
        <v>3</v>
      </c>
      <c r="B248" s="215" t="s">
        <v>393</v>
      </c>
      <c r="C248" s="225" t="s">
        <v>254</v>
      </c>
      <c r="D248" s="230" t="s">
        <v>253</v>
      </c>
      <c r="E248" s="215" t="s">
        <v>392</v>
      </c>
      <c r="F248" s="216" t="s">
        <v>394</v>
      </c>
      <c r="G248" s="227">
        <v>0</v>
      </c>
      <c r="H248" s="227">
        <v>0</v>
      </c>
      <c r="I248" s="227">
        <v>0</v>
      </c>
      <c r="J248" s="227">
        <v>0</v>
      </c>
      <c r="K248" s="227">
        <v>0</v>
      </c>
      <c r="L248" s="227">
        <v>0</v>
      </c>
      <c r="M248" s="227">
        <v>0</v>
      </c>
      <c r="N248" s="227">
        <v>0</v>
      </c>
      <c r="O248" s="227">
        <v>0</v>
      </c>
      <c r="P248" s="227">
        <v>0</v>
      </c>
      <c r="Q248" s="227">
        <v>0</v>
      </c>
      <c r="R248" s="227">
        <v>0</v>
      </c>
      <c r="S248" s="226">
        <v>0</v>
      </c>
      <c r="T248" s="428"/>
      <c r="U248" s="222">
        <v>0</v>
      </c>
      <c r="V248" s="229">
        <v>1</v>
      </c>
    </row>
    <row r="249" spans="1:22" customFormat="1" x14ac:dyDescent="0.25">
      <c r="A249" s="214">
        <v>43</v>
      </c>
      <c r="B249" s="215" t="s">
        <v>335</v>
      </c>
      <c r="C249" s="254" t="s">
        <v>338</v>
      </c>
      <c r="D249" s="251" t="s">
        <v>337</v>
      </c>
      <c r="E249" s="215" t="s">
        <v>334</v>
      </c>
      <c r="F249" s="216" t="s">
        <v>336</v>
      </c>
      <c r="G249" s="252">
        <v>0.22615986890977252</v>
      </c>
      <c r="H249" s="252">
        <v>0.36097496320817329</v>
      </c>
      <c r="I249" s="252">
        <v>1.539339007378371</v>
      </c>
      <c r="J249" s="252">
        <v>1.542349592978532</v>
      </c>
      <c r="K249" s="252">
        <v>1.9607008504236483</v>
      </c>
      <c r="L249" s="252">
        <v>2.8303396233913172</v>
      </c>
      <c r="M249" s="252">
        <v>1.3268432572259126</v>
      </c>
      <c r="N249" s="252">
        <v>1.1299892696586151</v>
      </c>
      <c r="O249" s="252">
        <v>0.81924225857801425</v>
      </c>
      <c r="P249" s="252">
        <v>0.34310239878628523</v>
      </c>
      <c r="Q249" s="252">
        <v>0.11118372955756083</v>
      </c>
      <c r="R249" s="252">
        <v>0.15690156431315047</v>
      </c>
      <c r="S249" s="303">
        <v>12.347126384409354</v>
      </c>
      <c r="T249" s="253">
        <v>1</v>
      </c>
      <c r="U249" s="229">
        <v>1</v>
      </c>
      <c r="V249" s="222">
        <v>0</v>
      </c>
    </row>
    <row r="250" spans="1:22" customFormat="1" x14ac:dyDescent="0.25">
      <c r="A250" s="214">
        <v>44</v>
      </c>
      <c r="B250" s="215" t="s">
        <v>335</v>
      </c>
      <c r="C250" s="305" t="s">
        <v>339</v>
      </c>
      <c r="D250" s="304" t="s">
        <v>337</v>
      </c>
      <c r="E250" s="215" t="s">
        <v>334</v>
      </c>
      <c r="F250" s="216" t="s">
        <v>336</v>
      </c>
      <c r="G250" s="307">
        <v>13.113763695359998</v>
      </c>
      <c r="H250" s="307">
        <v>11.802387325823998</v>
      </c>
      <c r="I250" s="307">
        <v>10.491010956287999</v>
      </c>
      <c r="J250" s="307">
        <v>10.491010956287999</v>
      </c>
      <c r="K250" s="307">
        <v>11.146699141055997</v>
      </c>
      <c r="L250" s="307">
        <v>11.802387325823998</v>
      </c>
      <c r="M250" s="307">
        <v>12.458075510592</v>
      </c>
      <c r="N250" s="307">
        <v>13.769451880127997</v>
      </c>
      <c r="O250" s="307">
        <v>15.080828249663996</v>
      </c>
      <c r="P250" s="307">
        <v>15.736516434431996</v>
      </c>
      <c r="Q250" s="307">
        <v>16.392204619199997</v>
      </c>
      <c r="R250" s="307">
        <v>15.080828249663996</v>
      </c>
      <c r="S250" s="306">
        <v>157.36516434431996</v>
      </c>
      <c r="T250" s="308">
        <v>0.25</v>
      </c>
      <c r="U250" s="222">
        <v>0</v>
      </c>
      <c r="V250" s="229">
        <v>-1</v>
      </c>
    </row>
    <row r="251" spans="1:22" customFormat="1" x14ac:dyDescent="0.25">
      <c r="A251" s="214">
        <v>45</v>
      </c>
      <c r="B251" s="215" t="s">
        <v>335</v>
      </c>
      <c r="C251" s="254" t="s">
        <v>340</v>
      </c>
      <c r="D251" s="251" t="s">
        <v>337</v>
      </c>
      <c r="E251" s="215" t="s">
        <v>334</v>
      </c>
      <c r="F251" s="216" t="s">
        <v>336</v>
      </c>
      <c r="G251" s="252">
        <v>6.3821409753600014</v>
      </c>
      <c r="H251" s="252">
        <v>5.9393610858239949</v>
      </c>
      <c r="I251" s="252">
        <v>5.2437973489033851</v>
      </c>
      <c r="J251" s="252">
        <v>5.2437973489033851</v>
      </c>
      <c r="K251" s="252">
        <v>6.2169167033124051</v>
      </c>
      <c r="L251" s="252">
        <v>6.800830035157329</v>
      </c>
      <c r="M251" s="252">
        <v>9.4378511864894374</v>
      </c>
      <c r="N251" s="252">
        <v>9.2258036499741536</v>
      </c>
      <c r="O251" s="252">
        <v>7.726703847612713</v>
      </c>
      <c r="P251" s="252">
        <v>7.6585691704320027</v>
      </c>
      <c r="Q251" s="252">
        <v>7.977676219200001</v>
      </c>
      <c r="R251" s="252">
        <v>7.5891836096639942</v>
      </c>
      <c r="S251" s="303">
        <v>85.442631180832805</v>
      </c>
      <c r="T251" s="253">
        <v>0.25</v>
      </c>
      <c r="U251" s="222">
        <v>0</v>
      </c>
      <c r="V251" s="229">
        <v>1</v>
      </c>
    </row>
    <row r="252" spans="1:22" customFormat="1" x14ac:dyDescent="0.25">
      <c r="A252" s="214">
        <v>46</v>
      </c>
      <c r="B252" s="215" t="s">
        <v>335</v>
      </c>
      <c r="C252" s="231" t="s">
        <v>341</v>
      </c>
      <c r="D252" s="230" t="s">
        <v>337</v>
      </c>
      <c r="E252" s="215" t="s">
        <v>334</v>
      </c>
      <c r="F252" s="216" t="s">
        <v>336</v>
      </c>
      <c r="G252" s="310">
        <v>10.271468476800001</v>
      </c>
      <c r="H252" s="310">
        <v>8.9461177056000007</v>
      </c>
      <c r="I252" s="310">
        <v>8.2171747814400007</v>
      </c>
      <c r="J252" s="310">
        <v>8.2171747814400007</v>
      </c>
      <c r="K252" s="310">
        <v>7.8858370886399989</v>
      </c>
      <c r="L252" s="310">
        <v>9.2443216291200017</v>
      </c>
      <c r="M252" s="310">
        <v>9.4431242447999999</v>
      </c>
      <c r="N252" s="310">
        <v>10.785041900640001</v>
      </c>
      <c r="O252" s="310">
        <v>11.4311504016</v>
      </c>
      <c r="P252" s="310">
        <v>12.325762172160001</v>
      </c>
      <c r="Q252" s="310">
        <v>12.839335596000002</v>
      </c>
      <c r="R252" s="310">
        <v>11.4311504016</v>
      </c>
      <c r="S252" s="309">
        <v>121.03765917984001</v>
      </c>
      <c r="T252" s="311">
        <v>0.25</v>
      </c>
      <c r="U252" s="229">
        <v>1</v>
      </c>
      <c r="V252" s="222">
        <v>0</v>
      </c>
    </row>
    <row r="253" spans="1:22" customFormat="1" x14ac:dyDescent="0.25">
      <c r="A253" s="214">
        <v>47</v>
      </c>
      <c r="B253" s="215" t="s">
        <v>335</v>
      </c>
      <c r="C253" s="231" t="s">
        <v>342</v>
      </c>
      <c r="D253" s="230" t="s">
        <v>337</v>
      </c>
      <c r="E253" s="215" t="s">
        <v>334</v>
      </c>
      <c r="F253" s="216" t="s">
        <v>336</v>
      </c>
      <c r="G253" s="310">
        <v>6.7316227199999963</v>
      </c>
      <c r="H253" s="310">
        <v>5.8630262400000035</v>
      </c>
      <c r="I253" s="310">
        <v>5.2472136073846141</v>
      </c>
      <c r="J253" s="310">
        <v>5.2472136073846141</v>
      </c>
      <c r="K253" s="310">
        <v>4.9297824377435919</v>
      </c>
      <c r="L253" s="310">
        <v>5.0015572906666694</v>
      </c>
      <c r="M253" s="310">
        <v>3.0202243241025624</v>
      </c>
      <c r="N253" s="310">
        <v>4.5436482301538446</v>
      </c>
      <c r="O253" s="310">
        <v>7.3541244020512835</v>
      </c>
      <c r="P253" s="310">
        <v>8.0779472639999934</v>
      </c>
      <c r="Q253" s="310">
        <v>8.4145283999999965</v>
      </c>
      <c r="R253" s="310">
        <v>7.4916446400000023</v>
      </c>
      <c r="S253" s="309">
        <v>71.922533163487174</v>
      </c>
      <c r="T253" s="311">
        <v>0.25</v>
      </c>
      <c r="U253" s="222">
        <v>0</v>
      </c>
      <c r="V253" s="222">
        <v>0</v>
      </c>
    </row>
    <row r="254" spans="1:22" customFormat="1" x14ac:dyDescent="0.25">
      <c r="A254" s="214">
        <v>48</v>
      </c>
      <c r="B254" s="215" t="s">
        <v>335</v>
      </c>
      <c r="C254" s="313" t="s">
        <v>343</v>
      </c>
      <c r="D254" s="312" t="s">
        <v>337</v>
      </c>
      <c r="E254" s="215" t="s">
        <v>334</v>
      </c>
      <c r="F254" s="216" t="s">
        <v>336</v>
      </c>
      <c r="G254" s="315">
        <v>10.814235523199997</v>
      </c>
      <c r="H254" s="315">
        <v>9.4188502943999985</v>
      </c>
      <c r="I254" s="315">
        <v>8.6513884185600034</v>
      </c>
      <c r="J254" s="315">
        <v>8.6513884185599998</v>
      </c>
      <c r="K254" s="315">
        <v>8.3025421113599975</v>
      </c>
      <c r="L254" s="315">
        <v>9.7328119708800003</v>
      </c>
      <c r="M254" s="315">
        <v>9.9421197551999967</v>
      </c>
      <c r="N254" s="315">
        <v>11.354947299360006</v>
      </c>
      <c r="O254" s="315">
        <v>12.035197598399993</v>
      </c>
      <c r="P254" s="315">
        <v>12.977082627840012</v>
      </c>
      <c r="Q254" s="315">
        <v>13.517794404000004</v>
      </c>
      <c r="R254" s="315">
        <v>12.0351975984</v>
      </c>
      <c r="S254" s="314">
        <v>127.43355602016001</v>
      </c>
      <c r="T254" s="316">
        <v>0.25</v>
      </c>
      <c r="U254" s="222">
        <v>0</v>
      </c>
      <c r="V254" s="229">
        <v>-1</v>
      </c>
    </row>
    <row r="255" spans="1:22" customFormat="1" x14ac:dyDescent="0.25">
      <c r="A255" s="214">
        <v>49</v>
      </c>
      <c r="B255" s="215" t="s">
        <v>335</v>
      </c>
      <c r="C255" s="313" t="s">
        <v>344</v>
      </c>
      <c r="D255" s="312" t="s">
        <v>337</v>
      </c>
      <c r="E255" s="215" t="s">
        <v>334</v>
      </c>
      <c r="F255" s="216" t="s">
        <v>336</v>
      </c>
      <c r="G255" s="315">
        <v>0</v>
      </c>
      <c r="H255" s="315">
        <v>0</v>
      </c>
      <c r="I255" s="315">
        <v>0</v>
      </c>
      <c r="J255" s="315">
        <v>0</v>
      </c>
      <c r="K255" s="315">
        <v>0</v>
      </c>
      <c r="L255" s="315">
        <v>0</v>
      </c>
      <c r="M255" s="315">
        <v>0</v>
      </c>
      <c r="N255" s="315">
        <v>0</v>
      </c>
      <c r="O255" s="315">
        <v>0</v>
      </c>
      <c r="P255" s="315">
        <v>0</v>
      </c>
      <c r="Q255" s="315">
        <v>0</v>
      </c>
      <c r="R255" s="315">
        <v>0</v>
      </c>
      <c r="S255" s="314">
        <v>0</v>
      </c>
      <c r="T255" s="316">
        <v>0.25</v>
      </c>
      <c r="U255" s="222">
        <v>0</v>
      </c>
      <c r="V255" s="229">
        <v>1</v>
      </c>
    </row>
    <row r="256" spans="1:22" customFormat="1" x14ac:dyDescent="0.25">
      <c r="A256" s="214">
        <v>50</v>
      </c>
      <c r="B256" s="215" t="s">
        <v>335</v>
      </c>
      <c r="C256" s="288" t="s">
        <v>345</v>
      </c>
      <c r="D256" s="287" t="s">
        <v>337</v>
      </c>
      <c r="E256" s="215" t="s">
        <v>334</v>
      </c>
      <c r="F256" s="216" t="s">
        <v>336</v>
      </c>
      <c r="G256" s="290">
        <v>8.7760267927497715</v>
      </c>
      <c r="H256" s="290">
        <v>7.9028137946641728</v>
      </c>
      <c r="I256" s="290">
        <v>8.379232546450373</v>
      </c>
      <c r="J256" s="290">
        <v>8.3822431320505313</v>
      </c>
      <c r="K256" s="290">
        <v>8.7944704356876482</v>
      </c>
      <c r="L256" s="290">
        <v>10.525219854847316</v>
      </c>
      <c r="M256" s="290">
        <v>9.287673134873911</v>
      </c>
      <c r="N256" s="290">
        <v>10.107349539690617</v>
      </c>
      <c r="O256" s="290">
        <v>10.456036320994013</v>
      </c>
      <c r="P256" s="290">
        <v>10.602942707394288</v>
      </c>
      <c r="Q256" s="290">
        <v>10.798517384357561</v>
      </c>
      <c r="R256" s="290">
        <v>9.7936956267291482</v>
      </c>
      <c r="S256" s="289">
        <v>113.80622127048935</v>
      </c>
      <c r="T256" s="291"/>
      <c r="U256" s="229">
        <v>1</v>
      </c>
      <c r="V256" s="222">
        <v>0</v>
      </c>
    </row>
    <row r="257" spans="1:22" customFormat="1" x14ac:dyDescent="0.25">
      <c r="A257" s="214">
        <v>51</v>
      </c>
      <c r="B257" s="215" t="s">
        <v>335</v>
      </c>
      <c r="C257" s="261" t="s">
        <v>346</v>
      </c>
      <c r="D257" s="260" t="s">
        <v>337</v>
      </c>
      <c r="E257" s="215" t="s">
        <v>334</v>
      </c>
      <c r="F257" s="216" t="s">
        <v>336</v>
      </c>
      <c r="G257" s="263">
        <v>20.862995039999998</v>
      </c>
      <c r="H257" s="263">
        <v>18.170995680000001</v>
      </c>
      <c r="I257" s="263">
        <v>16.586832605538465</v>
      </c>
      <c r="J257" s="263">
        <v>16.586832605538461</v>
      </c>
      <c r="K257" s="263">
        <v>15.838621228307693</v>
      </c>
      <c r="L257" s="263">
        <v>17.984018168000002</v>
      </c>
      <c r="M257" s="263">
        <v>16.804101243076918</v>
      </c>
      <c r="N257" s="263">
        <v>20.012728072615392</v>
      </c>
      <c r="O257" s="263">
        <v>23.115354301538456</v>
      </c>
      <c r="P257" s="263">
        <v>25.035594048000004</v>
      </c>
      <c r="Q257" s="263">
        <v>26.078743799999998</v>
      </c>
      <c r="R257" s="263">
        <v>23.21849448</v>
      </c>
      <c r="S257" s="262">
        <v>240.29531127261538</v>
      </c>
      <c r="T257" s="264"/>
      <c r="U257" s="222">
        <v>0</v>
      </c>
      <c r="V257" s="229">
        <v>-1</v>
      </c>
    </row>
    <row r="258" spans="1:22" customFormat="1" x14ac:dyDescent="0.25">
      <c r="A258" s="214">
        <v>52</v>
      </c>
      <c r="B258" s="215" t="s">
        <v>335</v>
      </c>
      <c r="C258" s="288" t="s">
        <v>347</v>
      </c>
      <c r="D258" s="287" t="s">
        <v>337</v>
      </c>
      <c r="E258" s="215" t="s">
        <v>334</v>
      </c>
      <c r="F258" s="216" t="s">
        <v>336</v>
      </c>
      <c r="G258" s="290">
        <v>-12.086968247250226</v>
      </c>
      <c r="H258" s="290">
        <v>-10.268181885335828</v>
      </c>
      <c r="I258" s="290">
        <v>-8.207600059088092</v>
      </c>
      <c r="J258" s="290">
        <v>-8.2045894734879301</v>
      </c>
      <c r="K258" s="290">
        <v>-7.0441507926200444</v>
      </c>
      <c r="L258" s="290">
        <v>-7.4587983131526858</v>
      </c>
      <c r="M258" s="290">
        <v>-7.5164281082030069</v>
      </c>
      <c r="N258" s="290">
        <v>-9.9053785329247752</v>
      </c>
      <c r="O258" s="290">
        <v>-12.659317980544444</v>
      </c>
      <c r="P258" s="290">
        <v>-14.432651340605716</v>
      </c>
      <c r="Q258" s="290">
        <v>-15.280226415642437</v>
      </c>
      <c r="R258" s="290">
        <v>-13.424798853270852</v>
      </c>
      <c r="S258" s="289">
        <v>-126.48909000212603</v>
      </c>
      <c r="T258" s="291"/>
      <c r="U258" s="222">
        <v>0</v>
      </c>
      <c r="V258" s="229">
        <v>1</v>
      </c>
    </row>
    <row r="259" spans="1:22" customFormat="1" x14ac:dyDescent="0.25">
      <c r="A259" s="214">
        <v>43</v>
      </c>
      <c r="B259" s="215" t="s">
        <v>393</v>
      </c>
      <c r="C259" s="401" t="s">
        <v>395</v>
      </c>
      <c r="D259" s="312" t="s">
        <v>337</v>
      </c>
      <c r="E259" s="215" t="s">
        <v>392</v>
      </c>
      <c r="F259" s="216" t="s">
        <v>394</v>
      </c>
      <c r="G259" s="403">
        <v>8.665963200000002</v>
      </c>
      <c r="H259" s="404">
        <v>7.5477744000000007</v>
      </c>
      <c r="I259" s="402">
        <v>6.9327705599999963</v>
      </c>
      <c r="J259" s="402">
        <v>6.9327705599999963</v>
      </c>
      <c r="K259" s="402">
        <v>6.6532233599999993</v>
      </c>
      <c r="L259" s="402">
        <v>7.7993668800000018</v>
      </c>
      <c r="M259" s="402">
        <v>7.9670951999999993</v>
      </c>
      <c r="N259" s="402">
        <v>9.0992613600000087</v>
      </c>
      <c r="O259" s="402">
        <v>9.6443783999999955</v>
      </c>
      <c r="P259" s="402">
        <v>10.399155839999995</v>
      </c>
      <c r="Q259" s="402">
        <v>10.832453999999997</v>
      </c>
      <c r="R259" s="402">
        <v>9.6443783999999955</v>
      </c>
      <c r="S259" s="402">
        <v>102.11859215999998</v>
      </c>
      <c r="T259" s="316"/>
      <c r="U259" s="222">
        <v>0</v>
      </c>
      <c r="V259" s="222">
        <v>0</v>
      </c>
    </row>
    <row r="260" spans="1:22" customFormat="1" x14ac:dyDescent="0.25">
      <c r="A260" s="214">
        <v>44</v>
      </c>
      <c r="B260" s="215" t="s">
        <v>393</v>
      </c>
      <c r="C260" s="401" t="s">
        <v>396</v>
      </c>
      <c r="D260" s="312" t="s">
        <v>337</v>
      </c>
      <c r="E260" s="215" t="s">
        <v>392</v>
      </c>
      <c r="F260" s="216" t="s">
        <v>394</v>
      </c>
      <c r="G260" s="403">
        <v>8.7502278552126249</v>
      </c>
      <c r="H260" s="404">
        <v>10.395380525206479</v>
      </c>
      <c r="I260" s="402">
        <v>7.1438305255195269</v>
      </c>
      <c r="J260" s="402">
        <v>5.29250936782873</v>
      </c>
      <c r="K260" s="402">
        <v>5.6124805900255144</v>
      </c>
      <c r="L260" s="402">
        <v>5.4368655444233971</v>
      </c>
      <c r="M260" s="402">
        <v>6.4567125858742136</v>
      </c>
      <c r="N260" s="402">
        <v>9.2717461493169449</v>
      </c>
      <c r="O260" s="402">
        <v>10.899025730446111</v>
      </c>
      <c r="P260" s="402">
        <v>15.267690449520346</v>
      </c>
      <c r="Q260" s="402">
        <v>16.106906495676341</v>
      </c>
      <c r="R260" s="402">
        <v>15.395440863624534</v>
      </c>
      <c r="S260" s="402">
        <v>116.02881668267476</v>
      </c>
      <c r="T260" s="316"/>
      <c r="U260" s="222">
        <v>0</v>
      </c>
      <c r="V260" s="222">
        <v>0</v>
      </c>
    </row>
    <row r="261" spans="1:22" customFormat="1" x14ac:dyDescent="0.25">
      <c r="A261" s="214">
        <v>41</v>
      </c>
      <c r="B261" s="215" t="s">
        <v>247</v>
      </c>
      <c r="C261" s="293" t="s">
        <v>328</v>
      </c>
      <c r="D261" s="292" t="s">
        <v>327</v>
      </c>
      <c r="E261" s="215" t="s">
        <v>246</v>
      </c>
      <c r="F261" s="216" t="s">
        <v>248</v>
      </c>
      <c r="G261" s="295">
        <v>-1.465322643847216</v>
      </c>
      <c r="H261" s="295">
        <v>-1.49242233601184</v>
      </c>
      <c r="I261" s="295">
        <v>-2.5804935918838545</v>
      </c>
      <c r="J261" s="295">
        <v>-2.3899993429742743</v>
      </c>
      <c r="K261" s="295">
        <v>-3.2231569031335816</v>
      </c>
      <c r="L261" s="295">
        <v>-5.1291259359795021</v>
      </c>
      <c r="M261" s="295">
        <v>-28.16483288044941</v>
      </c>
      <c r="N261" s="295">
        <v>-1.0648151155821424</v>
      </c>
      <c r="O261" s="295">
        <v>22.896047683218718</v>
      </c>
      <c r="P261" s="295">
        <v>0.40118714611872974</v>
      </c>
      <c r="Q261" s="295">
        <v>-0.40019731498715316</v>
      </c>
      <c r="R261" s="295">
        <v>-0.76675572152355187</v>
      </c>
      <c r="S261" s="294">
        <v>-23.379886957035012</v>
      </c>
      <c r="T261" s="296"/>
      <c r="U261" s="222">
        <v>0</v>
      </c>
      <c r="V261" s="229">
        <v>1</v>
      </c>
    </row>
    <row r="262" spans="1:22" customFormat="1" x14ac:dyDescent="0.25">
      <c r="A262" s="214">
        <v>41</v>
      </c>
      <c r="B262" s="215" t="s">
        <v>332</v>
      </c>
      <c r="C262" s="293" t="s">
        <v>328</v>
      </c>
      <c r="D262" s="292" t="s">
        <v>327</v>
      </c>
      <c r="E262" s="215" t="s">
        <v>331</v>
      </c>
      <c r="F262" s="216" t="s">
        <v>333</v>
      </c>
      <c r="G262" s="295">
        <v>-1.7921676296525835</v>
      </c>
      <c r="H262" s="295">
        <v>0.26628356114695606</v>
      </c>
      <c r="I262" s="295">
        <v>4.0762045668160667</v>
      </c>
      <c r="J262" s="295">
        <v>-1.0644168379635559</v>
      </c>
      <c r="K262" s="295">
        <v>4.9677437715996682</v>
      </c>
      <c r="L262" s="295">
        <v>10.501376044451412</v>
      </c>
      <c r="M262" s="295">
        <v>0.5778538517809011</v>
      </c>
      <c r="N262" s="295">
        <v>1.5551141486161661</v>
      </c>
      <c r="O262" s="295">
        <v>-1.8827550698707824</v>
      </c>
      <c r="P262" s="295">
        <v>-4.5681544714899864</v>
      </c>
      <c r="Q262" s="295">
        <v>-3.5482275227260409</v>
      </c>
      <c r="R262" s="295">
        <v>-2.8182679348976798</v>
      </c>
      <c r="S262" s="294">
        <v>6.2725864778105347</v>
      </c>
      <c r="T262" s="296"/>
      <c r="U262" s="222">
        <v>0</v>
      </c>
      <c r="V262" s="222">
        <v>0</v>
      </c>
    </row>
    <row r="263" spans="1:22" customFormat="1" x14ac:dyDescent="0.25">
      <c r="A263" s="214">
        <v>41</v>
      </c>
      <c r="B263" s="215" t="s">
        <v>335</v>
      </c>
      <c r="C263" s="293" t="s">
        <v>328</v>
      </c>
      <c r="D263" s="292" t="s">
        <v>327</v>
      </c>
      <c r="E263" s="215" t="s">
        <v>334</v>
      </c>
      <c r="F263" s="216" t="s">
        <v>336</v>
      </c>
      <c r="G263" s="295">
        <v>-6.3727199521628677</v>
      </c>
      <c r="H263" s="295">
        <v>-3.4606968225133006</v>
      </c>
      <c r="I263" s="295">
        <v>3.6221033426899698</v>
      </c>
      <c r="J263" s="295">
        <v>2.9681908746106984</v>
      </c>
      <c r="K263" s="295">
        <v>6.1509806136439185</v>
      </c>
      <c r="L263" s="295">
        <v>17.403912872881833</v>
      </c>
      <c r="M263" s="295">
        <v>10.108147335129203</v>
      </c>
      <c r="N263" s="295">
        <v>-2.2652550966460279</v>
      </c>
      <c r="O263" s="295">
        <v>-8.1147546549318399</v>
      </c>
      <c r="P263" s="295">
        <v>-13.674541776652607</v>
      </c>
      <c r="Q263" s="295">
        <v>-15.032955013661677</v>
      </c>
      <c r="R263" s="295">
        <v>-11.16094247717951</v>
      </c>
      <c r="S263" s="294">
        <v>-19.828530754792183</v>
      </c>
      <c r="T263" s="296"/>
      <c r="U263" s="222">
        <v>0</v>
      </c>
      <c r="V263" s="222">
        <v>0</v>
      </c>
    </row>
    <row r="264" spans="1:22" customFormat="1" x14ac:dyDescent="0.25">
      <c r="A264" s="214">
        <v>41</v>
      </c>
      <c r="B264" s="215" t="s">
        <v>351</v>
      </c>
      <c r="C264" s="293" t="s">
        <v>328</v>
      </c>
      <c r="D264" s="292" t="s">
        <v>327</v>
      </c>
      <c r="E264" s="215" t="s">
        <v>350</v>
      </c>
      <c r="F264" s="216" t="s">
        <v>352</v>
      </c>
      <c r="G264" s="295">
        <v>13.098593419776194</v>
      </c>
      <c r="H264" s="295">
        <v>13.686083415950721</v>
      </c>
      <c r="I264" s="295">
        <v>21.949049370887</v>
      </c>
      <c r="J264" s="295">
        <v>20.992085865396721</v>
      </c>
      <c r="K264" s="295">
        <v>33.443239220429319</v>
      </c>
      <c r="L264" s="295">
        <v>47.19373991743425</v>
      </c>
      <c r="M264" s="295">
        <v>35.13754007401991</v>
      </c>
      <c r="N264" s="295">
        <v>32.338434035674595</v>
      </c>
      <c r="O264" s="295">
        <v>28.682380179561207</v>
      </c>
      <c r="P264" s="295">
        <v>22.198653307665158</v>
      </c>
      <c r="Q264" s="295">
        <v>20.241722653391729</v>
      </c>
      <c r="R264" s="295">
        <v>12.523876892187515</v>
      </c>
      <c r="S264" s="294">
        <v>301.48550846237436</v>
      </c>
      <c r="T264" s="296"/>
      <c r="U264" s="229">
        <v>1</v>
      </c>
      <c r="V264" s="222">
        <v>0</v>
      </c>
    </row>
    <row r="265" spans="1:22" customFormat="1" x14ac:dyDescent="0.25">
      <c r="A265" s="214">
        <v>41</v>
      </c>
      <c r="B265" s="215" t="s">
        <v>351</v>
      </c>
      <c r="C265" s="293" t="s">
        <v>328</v>
      </c>
      <c r="D265" s="292" t="s">
        <v>327</v>
      </c>
      <c r="E265" s="215" t="s">
        <v>379</v>
      </c>
      <c r="F265" s="216" t="s">
        <v>16</v>
      </c>
      <c r="G265" s="295">
        <v>-0.14683993279880442</v>
      </c>
      <c r="H265" s="295">
        <v>-0.15546272544599221</v>
      </c>
      <c r="I265" s="295">
        <v>-0.18846690003200367</v>
      </c>
      <c r="J265" s="295">
        <v>-0.20076806745139836</v>
      </c>
      <c r="K265" s="295">
        <v>-0.21848293274435721</v>
      </c>
      <c r="L265" s="295">
        <v>-0.28117432653123497</v>
      </c>
      <c r="M265" s="295">
        <v>-0.27774542920049949</v>
      </c>
      <c r="N265" s="295">
        <v>-0.22876935367201329</v>
      </c>
      <c r="O265" s="295">
        <v>-0.19488386453718137</v>
      </c>
      <c r="P265" s="295">
        <v>-0.14750126307455164</v>
      </c>
      <c r="Q265" s="295">
        <v>-0.13288001716394776</v>
      </c>
      <c r="R265" s="295">
        <v>-0.12864535711015096</v>
      </c>
      <c r="S265" s="294">
        <v>-9.9999146740969991E-9</v>
      </c>
      <c r="T265" s="296"/>
      <c r="U265" s="222">
        <v>0</v>
      </c>
      <c r="V265" s="222">
        <v>0</v>
      </c>
    </row>
    <row r="266" spans="1:22" customFormat="1" x14ac:dyDescent="0.25">
      <c r="A266" s="214">
        <v>41</v>
      </c>
      <c r="B266" s="215" t="s">
        <v>335</v>
      </c>
      <c r="C266" s="293" t="s">
        <v>328</v>
      </c>
      <c r="D266" s="292" t="s">
        <v>327</v>
      </c>
      <c r="E266" s="215" t="s">
        <v>348</v>
      </c>
      <c r="F266" s="216" t="s">
        <v>349</v>
      </c>
      <c r="G266" s="295">
        <v>-0.35960538864782876</v>
      </c>
      <c r="H266" s="295">
        <v>-0.19242468880291597</v>
      </c>
      <c r="I266" s="295">
        <v>-0.23087856755118352</v>
      </c>
      <c r="J266" s="295">
        <v>-8.4610627766760871E-2</v>
      </c>
      <c r="K266" s="295">
        <v>-0.62140388851166861</v>
      </c>
      <c r="L266" s="295">
        <v>0.17273520903938788</v>
      </c>
      <c r="M266" s="295">
        <v>1.0329715482267332</v>
      </c>
      <c r="N266" s="295">
        <v>0.65663009156635255</v>
      </c>
      <c r="O266" s="295">
        <v>0.2805174051903343</v>
      </c>
      <c r="P266" s="295">
        <v>-1.2022066019425566</v>
      </c>
      <c r="Q266" s="295">
        <v>-1.1699852944846683</v>
      </c>
      <c r="R266" s="295">
        <v>-0.59389496965513544</v>
      </c>
      <c r="S266" s="294">
        <v>-2.3050982270279405</v>
      </c>
      <c r="T266" s="296"/>
      <c r="U266" s="222">
        <v>0</v>
      </c>
      <c r="V266" s="222">
        <v>0</v>
      </c>
    </row>
    <row r="267" spans="1:22" customFormat="1" x14ac:dyDescent="0.25">
      <c r="A267" s="214">
        <v>41</v>
      </c>
      <c r="B267" s="215" t="s">
        <v>351</v>
      </c>
      <c r="C267" s="293" t="s">
        <v>328</v>
      </c>
      <c r="D267" s="292" t="s">
        <v>327</v>
      </c>
      <c r="E267" s="215" t="s">
        <v>380</v>
      </c>
      <c r="F267" s="216" t="s">
        <v>381</v>
      </c>
      <c r="G267" s="295">
        <v>-0.80832963907721034</v>
      </c>
      <c r="H267" s="295">
        <v>-0.36126714043061475</v>
      </c>
      <c r="I267" s="295">
        <v>-0.93068190260499095</v>
      </c>
      <c r="J267" s="295">
        <v>-0.82173387720472679</v>
      </c>
      <c r="K267" s="295">
        <v>-1.0990297445300223</v>
      </c>
      <c r="L267" s="295">
        <v>-2.5923256118553177</v>
      </c>
      <c r="M267" s="295">
        <v>-3.881621479180613</v>
      </c>
      <c r="N267" s="295">
        <v>-3.219443922629158</v>
      </c>
      <c r="O267" s="295">
        <v>-4.6515508504178564</v>
      </c>
      <c r="P267" s="295">
        <v>-4.2960827118352229</v>
      </c>
      <c r="Q267" s="295">
        <v>-3.525010164441849</v>
      </c>
      <c r="R267" s="295">
        <v>-1.7472390386122296</v>
      </c>
      <c r="S267" s="294">
        <v>-27.934316082819812</v>
      </c>
      <c r="T267" s="296"/>
      <c r="U267" s="222">
        <v>0</v>
      </c>
      <c r="V267" s="222">
        <v>0</v>
      </c>
    </row>
    <row r="268" spans="1:22" customFormat="1" x14ac:dyDescent="0.25">
      <c r="A268" s="214">
        <v>41</v>
      </c>
      <c r="B268" s="215" t="s">
        <v>351</v>
      </c>
      <c r="C268" s="293" t="s">
        <v>328</v>
      </c>
      <c r="D268" s="292" t="s">
        <v>327</v>
      </c>
      <c r="E268" s="215" t="s">
        <v>382</v>
      </c>
      <c r="F268" s="216" t="s">
        <v>383</v>
      </c>
      <c r="G268" s="295">
        <v>-0.7631060521554065</v>
      </c>
      <c r="H268" s="295">
        <v>-0.16189544693986596</v>
      </c>
      <c r="I268" s="295">
        <v>-0.2946848417243253</v>
      </c>
      <c r="J268" s="295">
        <v>-0.36406205264623137</v>
      </c>
      <c r="K268" s="295">
        <v>-0.68312843093662068</v>
      </c>
      <c r="L268" s="295">
        <v>-1.2661948092270106</v>
      </c>
      <c r="M268" s="295">
        <v>-1.3912611875173997</v>
      </c>
      <c r="N268" s="295">
        <v>-2.2393939440981785</v>
      </c>
      <c r="O268" s="295">
        <v>-4.2125267006789571</v>
      </c>
      <c r="P268" s="295">
        <v>-3.3915930789693469</v>
      </c>
      <c r="Q268" s="295">
        <v>-2.7486594572597363</v>
      </c>
      <c r="R268" s="295">
        <v>-1.2925267006789576</v>
      </c>
      <c r="S268" s="294">
        <v>-18.806032702832034</v>
      </c>
      <c r="T268" s="296"/>
      <c r="U268" s="229">
        <v>1</v>
      </c>
      <c r="V268" s="222">
        <v>-1</v>
      </c>
    </row>
    <row r="269" spans="1:22" customFormat="1" x14ac:dyDescent="0.25">
      <c r="A269" s="214">
        <v>41</v>
      </c>
      <c r="B269" s="215" t="s">
        <v>351</v>
      </c>
      <c r="C269" s="293" t="s">
        <v>328</v>
      </c>
      <c r="D269" s="292" t="s">
        <v>327</v>
      </c>
      <c r="E269" s="215" t="s">
        <v>384</v>
      </c>
      <c r="F269" s="216" t="s">
        <v>385</v>
      </c>
      <c r="G269" s="295">
        <v>-0.66270555710484513</v>
      </c>
      <c r="H269" s="295">
        <v>-0.78682837729297872</v>
      </c>
      <c r="I269" s="295">
        <v>-1.1359972491248849</v>
      </c>
      <c r="J269" s="295">
        <v>-1.2099277636875374</v>
      </c>
      <c r="K269" s="295">
        <v>-1.4271511974419859</v>
      </c>
      <c r="L269" s="295">
        <v>-2.127481642681154</v>
      </c>
      <c r="M269" s="295">
        <v>-2.2457907565507615</v>
      </c>
      <c r="N269" s="295">
        <v>-1.5308143590927461</v>
      </c>
      <c r="O269" s="295">
        <v>-1.0030834668499893</v>
      </c>
      <c r="P269" s="295">
        <v>-0.69563273394785696</v>
      </c>
      <c r="Q269" s="295">
        <v>-0.62034030192177581</v>
      </c>
      <c r="R269" s="295">
        <v>-0.58711937546501092</v>
      </c>
      <c r="S269" s="294">
        <v>-13.798883671106079</v>
      </c>
      <c r="T269" s="296"/>
      <c r="U269" s="222">
        <v>0</v>
      </c>
      <c r="V269" s="222">
        <v>0</v>
      </c>
    </row>
    <row r="270" spans="1:22" customFormat="1" x14ac:dyDescent="0.25">
      <c r="A270" s="214">
        <v>41</v>
      </c>
      <c r="B270" s="215" t="s">
        <v>351</v>
      </c>
      <c r="C270" s="385" t="s">
        <v>328</v>
      </c>
      <c r="D270" s="292" t="s">
        <v>327</v>
      </c>
      <c r="E270" s="215" t="s">
        <v>386</v>
      </c>
      <c r="F270" s="216" t="s">
        <v>387</v>
      </c>
      <c r="G270" s="387">
        <v>-3.624847091159622</v>
      </c>
      <c r="H270" s="387">
        <v>-2.6211721725237265</v>
      </c>
      <c r="I270" s="387">
        <v>-4.3059915103785356</v>
      </c>
      <c r="J270" s="387">
        <v>-5.8269641920782158</v>
      </c>
      <c r="K270" s="387">
        <v>-8.4956617265308569</v>
      </c>
      <c r="L270" s="387">
        <v>-14.727311394076873</v>
      </c>
      <c r="M270" s="387">
        <v>-13.826832769567279</v>
      </c>
      <c r="N270" s="387">
        <v>-13.573666353494948</v>
      </c>
      <c r="O270" s="387">
        <v>-21.268465445904642</v>
      </c>
      <c r="P270" s="387">
        <v>-19.237179172920218</v>
      </c>
      <c r="Q270" s="387">
        <v>-15.679776969088703</v>
      </c>
      <c r="R270" s="387">
        <v>-5.5520523861088735</v>
      </c>
      <c r="S270" s="386">
        <v>-128.75865711091581</v>
      </c>
      <c r="T270" s="388"/>
      <c r="U270" s="222">
        <v>0</v>
      </c>
      <c r="V270" s="222">
        <v>0</v>
      </c>
    </row>
    <row r="271" spans="1:22" customFormat="1" x14ac:dyDescent="0.25">
      <c r="A271" s="214">
        <v>41</v>
      </c>
      <c r="B271" s="215" t="s">
        <v>389</v>
      </c>
      <c r="C271" s="293" t="s">
        <v>328</v>
      </c>
      <c r="D271" s="292" t="s">
        <v>327</v>
      </c>
      <c r="E271" s="215" t="s">
        <v>388</v>
      </c>
      <c r="F271" s="216" t="s">
        <v>112</v>
      </c>
      <c r="G271" s="295">
        <v>-0.30588655665943421</v>
      </c>
      <c r="H271" s="295">
        <v>-1.2586401900232556</v>
      </c>
      <c r="I271" s="295">
        <v>-1.9684988482034163</v>
      </c>
      <c r="J271" s="295">
        <v>-1.3480421214140392</v>
      </c>
      <c r="K271" s="295">
        <v>-1.5251540137937667</v>
      </c>
      <c r="L271" s="295">
        <v>1.370845078605841</v>
      </c>
      <c r="M271" s="295">
        <v>4.9482027680421972</v>
      </c>
      <c r="N271" s="295">
        <v>1.7026942282007962</v>
      </c>
      <c r="O271" s="295">
        <v>2.1717507241330782</v>
      </c>
      <c r="P271" s="295">
        <v>-3.248714066381357</v>
      </c>
      <c r="Q271" s="295">
        <v>-0.6643013075821198</v>
      </c>
      <c r="R271" s="295">
        <v>-0.43895050101386301</v>
      </c>
      <c r="S271" s="294">
        <v>-0.56469480608936351</v>
      </c>
      <c r="T271" s="296"/>
      <c r="U271" s="222">
        <v>0</v>
      </c>
      <c r="V271" s="222">
        <v>0</v>
      </c>
    </row>
    <row r="272" spans="1:22" customFormat="1" x14ac:dyDescent="0.25">
      <c r="A272" s="214">
        <v>41</v>
      </c>
      <c r="B272" s="215" t="s">
        <v>351</v>
      </c>
      <c r="C272" s="293" t="s">
        <v>328</v>
      </c>
      <c r="D272" s="292" t="s">
        <v>327</v>
      </c>
      <c r="E272" s="215" t="s">
        <v>390</v>
      </c>
      <c r="F272" s="216" t="s">
        <v>391</v>
      </c>
      <c r="G272" s="295">
        <v>-1.8091815564694522</v>
      </c>
      <c r="H272" s="295">
        <v>-1.9657138609294889</v>
      </c>
      <c r="I272" s="295">
        <v>-2.4114620894243322</v>
      </c>
      <c r="J272" s="295">
        <v>-2.6462600051691134</v>
      </c>
      <c r="K272" s="295">
        <v>-2.6042315722353546</v>
      </c>
      <c r="L272" s="295">
        <v>-2.9594168132587093</v>
      </c>
      <c r="M272" s="295">
        <v>-3.5079927220671649</v>
      </c>
      <c r="N272" s="295">
        <v>-2.2710485253566284</v>
      </c>
      <c r="O272" s="295">
        <v>-8.2003107350022688</v>
      </c>
      <c r="P272" s="295">
        <v>-13.710727537271694</v>
      </c>
      <c r="Q272" s="295">
        <v>-11.532413315232539</v>
      </c>
      <c r="R272" s="295">
        <v>-3.4940463028658253</v>
      </c>
      <c r="S272" s="294">
        <v>-57.11580503528257</v>
      </c>
      <c r="T272" s="296"/>
      <c r="U272" s="222">
        <v>0</v>
      </c>
      <c r="V272" s="222">
        <v>1</v>
      </c>
    </row>
    <row r="273" spans="1:22" customFormat="1" x14ac:dyDescent="0.25">
      <c r="A273" s="214">
        <v>41</v>
      </c>
      <c r="B273" s="215" t="s">
        <v>393</v>
      </c>
      <c r="C273" s="293" t="s">
        <v>328</v>
      </c>
      <c r="D273" s="292" t="s">
        <v>327</v>
      </c>
      <c r="E273" s="215" t="s">
        <v>392</v>
      </c>
      <c r="F273" s="216" t="s">
        <v>394</v>
      </c>
      <c r="G273" s="295">
        <v>-3.1068167986531066</v>
      </c>
      <c r="H273" s="295">
        <v>4.9165359335195227</v>
      </c>
      <c r="I273" s="295">
        <v>13.122906996875065</v>
      </c>
      <c r="J273" s="295">
        <v>16.601672162555708</v>
      </c>
      <c r="K273" s="295">
        <v>10.135602615040833</v>
      </c>
      <c r="L273" s="295">
        <v>8.0433712850500427</v>
      </c>
      <c r="M273" s="295">
        <v>-2.6776191118584496</v>
      </c>
      <c r="N273" s="295">
        <v>-7.0995442585195434</v>
      </c>
      <c r="O273" s="295">
        <v>-11.382623977392786</v>
      </c>
      <c r="P273" s="295">
        <v>-16.742688052743663</v>
      </c>
      <c r="Q273" s="295">
        <v>-11.220534901808051</v>
      </c>
      <c r="R273" s="295">
        <v>-9.3038182882394338</v>
      </c>
      <c r="S273" s="294">
        <v>-8.7134059313904686</v>
      </c>
      <c r="T273" s="296"/>
      <c r="U273" s="222">
        <v>0</v>
      </c>
      <c r="V273" s="222">
        <v>1</v>
      </c>
    </row>
    <row r="274" spans="1:22" customFormat="1" x14ac:dyDescent="0.25">
      <c r="A274" s="214">
        <v>40</v>
      </c>
      <c r="B274" s="215" t="s">
        <v>247</v>
      </c>
      <c r="C274" s="288" t="s">
        <v>326</v>
      </c>
      <c r="D274" s="287" t="s">
        <v>325</v>
      </c>
      <c r="E274" s="215" t="s">
        <v>246</v>
      </c>
      <c r="F274" s="216" t="s">
        <v>248</v>
      </c>
      <c r="G274" s="290">
        <v>13.833025452260394</v>
      </c>
      <c r="H274" s="290">
        <v>12.808084471068184</v>
      </c>
      <c r="I274" s="290">
        <v>17.628723897566275</v>
      </c>
      <c r="J274" s="290">
        <v>19.931757904717841</v>
      </c>
      <c r="K274" s="290">
        <v>23.578841502203659</v>
      </c>
      <c r="L274" s="290">
        <v>28.186526813770186</v>
      </c>
      <c r="M274" s="290">
        <v>25.699821948968363</v>
      </c>
      <c r="N274" s="290">
        <v>39.447874348845993</v>
      </c>
      <c r="O274" s="290">
        <v>57.790214581517091</v>
      </c>
      <c r="P274" s="290">
        <v>53.825647891360205</v>
      </c>
      <c r="Q274" s="290">
        <v>46.772200977298546</v>
      </c>
      <c r="R274" s="290">
        <v>26.944981996356553</v>
      </c>
      <c r="S274" s="289">
        <v>366.4477017859333</v>
      </c>
      <c r="T274" s="291"/>
      <c r="U274" s="222">
        <v>0</v>
      </c>
      <c r="V274" s="222">
        <v>1</v>
      </c>
    </row>
    <row r="275" spans="1:22" customFormat="1" x14ac:dyDescent="0.25">
      <c r="A275" s="214">
        <v>40</v>
      </c>
      <c r="B275" s="215" t="s">
        <v>332</v>
      </c>
      <c r="C275" s="288" t="s">
        <v>326</v>
      </c>
      <c r="D275" s="287" t="s">
        <v>325</v>
      </c>
      <c r="E275" s="215" t="s">
        <v>331</v>
      </c>
      <c r="F275" s="216" t="s">
        <v>333</v>
      </c>
      <c r="G275" s="290">
        <v>13.098603429776194</v>
      </c>
      <c r="H275" s="290">
        <v>13.686093425950721</v>
      </c>
      <c r="I275" s="290">
        <v>21.949059380887</v>
      </c>
      <c r="J275" s="290">
        <v>20.992095875396721</v>
      </c>
      <c r="K275" s="290">
        <v>33.443249230429316</v>
      </c>
      <c r="L275" s="290">
        <v>47.193749927434247</v>
      </c>
      <c r="M275" s="290">
        <v>35.137550084019907</v>
      </c>
      <c r="N275" s="290">
        <v>32.338444045674592</v>
      </c>
      <c r="O275" s="290">
        <v>28.682390189561207</v>
      </c>
      <c r="P275" s="290">
        <v>22.198663317665158</v>
      </c>
      <c r="Q275" s="290">
        <v>20.24173266339173</v>
      </c>
      <c r="R275" s="290">
        <v>12.523886902187515</v>
      </c>
      <c r="S275" s="289">
        <v>301.48551847237434</v>
      </c>
      <c r="T275" s="291"/>
      <c r="U275" s="222">
        <v>0</v>
      </c>
      <c r="V275" s="222">
        <v>-1</v>
      </c>
    </row>
    <row r="276" spans="1:22" customFormat="1" x14ac:dyDescent="0.25">
      <c r="A276" s="214">
        <v>40</v>
      </c>
      <c r="B276" s="215" t="s">
        <v>335</v>
      </c>
      <c r="C276" s="288" t="s">
        <v>326</v>
      </c>
      <c r="D276" s="287" t="s">
        <v>325</v>
      </c>
      <c r="E276" s="215" t="s">
        <v>334</v>
      </c>
      <c r="F276" s="216" t="s">
        <v>336</v>
      </c>
      <c r="G276" s="290">
        <v>-22.448041216008324</v>
      </c>
      <c r="H276" s="290">
        <v>-18.961894606055768</v>
      </c>
      <c r="I276" s="290">
        <v>-8.7959757256326316</v>
      </c>
      <c r="J276" s="290">
        <v>-9.4334925226627853</v>
      </c>
      <c r="K276" s="290">
        <v>-4.1557821881895229</v>
      </c>
      <c r="L276" s="290">
        <v>7.2943342101432362</v>
      </c>
      <c r="M276" s="290">
        <v>0.31866303411663593</v>
      </c>
      <c r="N276" s="290">
        <v>-4.4371525239589875</v>
      </c>
      <c r="O276" s="290">
        <v>-7.2068388628414501</v>
      </c>
      <c r="P276" s="290">
        <v>-15.89107333297888</v>
      </c>
      <c r="Q276" s="290">
        <v>-20.787425526737383</v>
      </c>
      <c r="R276" s="290">
        <v>-24.658300339341668</v>
      </c>
      <c r="S276" s="289">
        <v>-129.16297960014751</v>
      </c>
      <c r="T276" s="291"/>
      <c r="U276" s="222"/>
      <c r="V276" s="222"/>
    </row>
    <row r="277" spans="1:22" customFormat="1" x14ac:dyDescent="0.25">
      <c r="A277" s="214">
        <v>40</v>
      </c>
      <c r="B277" s="215" t="s">
        <v>351</v>
      </c>
      <c r="C277" s="288" t="s">
        <v>326</v>
      </c>
      <c r="D277" s="287" t="s">
        <v>325</v>
      </c>
      <c r="E277" s="215" t="s">
        <v>350</v>
      </c>
      <c r="F277" s="216" t="s">
        <v>352</v>
      </c>
      <c r="G277" s="290">
        <v>13.098603429776194</v>
      </c>
      <c r="H277" s="290">
        <v>13.686093425950721</v>
      </c>
      <c r="I277" s="290">
        <v>21.949059380887</v>
      </c>
      <c r="J277" s="290">
        <v>20.992095875396721</v>
      </c>
      <c r="K277" s="290">
        <v>33.443249230429316</v>
      </c>
      <c r="L277" s="290">
        <v>47.193749927434247</v>
      </c>
      <c r="M277" s="290">
        <v>35.137550084019907</v>
      </c>
      <c r="N277" s="290">
        <v>32.338444045674592</v>
      </c>
      <c r="O277" s="290">
        <v>28.682390189561207</v>
      </c>
      <c r="P277" s="290">
        <v>22.198663317665158</v>
      </c>
      <c r="Q277" s="290">
        <v>20.24173266339173</v>
      </c>
      <c r="R277" s="290">
        <v>12.523886902187515</v>
      </c>
      <c r="S277" s="289">
        <v>301.48551847237434</v>
      </c>
      <c r="T277" s="291"/>
      <c r="U277" s="222"/>
      <c r="V277" s="222"/>
    </row>
    <row r="278" spans="1:22" customFormat="1" x14ac:dyDescent="0.25">
      <c r="A278" s="214">
        <v>40</v>
      </c>
      <c r="B278" s="215" t="s">
        <v>351</v>
      </c>
      <c r="C278" s="288" t="s">
        <v>326</v>
      </c>
      <c r="D278" s="287" t="s">
        <v>325</v>
      </c>
      <c r="E278" s="215" t="s">
        <v>379</v>
      </c>
      <c r="F278" s="216" t="s">
        <v>16</v>
      </c>
      <c r="G278" s="290">
        <v>0.14683992279880442</v>
      </c>
      <c r="H278" s="290">
        <v>0.15546271544599222</v>
      </c>
      <c r="I278" s="290">
        <v>0.18846689003200368</v>
      </c>
      <c r="J278" s="290">
        <v>0.20076805745139836</v>
      </c>
      <c r="K278" s="290">
        <v>0.21848292274435721</v>
      </c>
      <c r="L278" s="290">
        <v>0.28117431653123504</v>
      </c>
      <c r="M278" s="290">
        <v>0.27774541920049955</v>
      </c>
      <c r="N278" s="290">
        <v>0.22876934367201329</v>
      </c>
      <c r="O278" s="290">
        <v>0.19488385453718138</v>
      </c>
      <c r="P278" s="290">
        <v>0.14750125307455164</v>
      </c>
      <c r="Q278" s="290">
        <v>0.13288000716394777</v>
      </c>
      <c r="R278" s="290">
        <v>0.12864534711015096</v>
      </c>
      <c r="S278" s="289">
        <v>2.3016200497621355</v>
      </c>
      <c r="T278" s="291"/>
      <c r="U278" s="222"/>
      <c r="V278" s="222"/>
    </row>
    <row r="279" spans="1:22" customFormat="1" x14ac:dyDescent="0.25">
      <c r="A279" s="214">
        <v>40</v>
      </c>
      <c r="B279" s="215" t="s">
        <v>335</v>
      </c>
      <c r="C279" s="288" t="s">
        <v>326</v>
      </c>
      <c r="D279" s="287" t="s">
        <v>325</v>
      </c>
      <c r="E279" s="215" t="s">
        <v>348</v>
      </c>
      <c r="F279" s="216" t="s">
        <v>349</v>
      </c>
      <c r="G279" s="290">
        <v>18.487624760626296</v>
      </c>
      <c r="H279" s="290">
        <v>16.609489718995224</v>
      </c>
      <c r="I279" s="290">
        <v>18.210579719377257</v>
      </c>
      <c r="J279" s="290">
        <v>18.307439580571419</v>
      </c>
      <c r="K279" s="290">
        <v>18.94973016685298</v>
      </c>
      <c r="L279" s="290">
        <v>30.440056735526721</v>
      </c>
      <c r="M279" s="290">
        <v>34.240902387871138</v>
      </c>
      <c r="N279" s="290">
        <v>24.985230282728871</v>
      </c>
      <c r="O279" s="290">
        <v>23.096235077618381</v>
      </c>
      <c r="P279" s="290">
        <v>22.017620103827596</v>
      </c>
      <c r="Q279" s="290">
        <v>22.834946649013077</v>
      </c>
      <c r="R279" s="290">
        <v>20.101993743168368</v>
      </c>
      <c r="S279" s="289">
        <v>268.2818489261773</v>
      </c>
      <c r="T279" s="291"/>
      <c r="U279" s="437"/>
      <c r="V279" s="437"/>
    </row>
    <row r="280" spans="1:22" customFormat="1" x14ac:dyDescent="0.25">
      <c r="A280" s="214">
        <v>40</v>
      </c>
      <c r="B280" s="215" t="s">
        <v>351</v>
      </c>
      <c r="C280" s="288" t="s">
        <v>326</v>
      </c>
      <c r="D280" s="287" t="s">
        <v>325</v>
      </c>
      <c r="E280" s="215" t="s">
        <v>380</v>
      </c>
      <c r="F280" s="216" t="s">
        <v>381</v>
      </c>
      <c r="G280" s="290"/>
      <c r="H280" s="290"/>
      <c r="I280" s="290"/>
      <c r="J280" s="290"/>
      <c r="K280" s="290"/>
      <c r="L280" s="290"/>
      <c r="M280" s="290"/>
      <c r="N280" s="290"/>
      <c r="O280" s="290"/>
      <c r="P280" s="290"/>
      <c r="Q280" s="290"/>
      <c r="R280" s="290"/>
      <c r="S280" s="289"/>
      <c r="T280" s="291"/>
      <c r="U280" s="222"/>
      <c r="V280" s="222"/>
    </row>
    <row r="281" spans="1:22" customFormat="1" x14ac:dyDescent="0.25">
      <c r="A281" s="214">
        <v>40</v>
      </c>
      <c r="B281" s="215" t="s">
        <v>351</v>
      </c>
      <c r="C281" s="288" t="s">
        <v>326</v>
      </c>
      <c r="D281" s="287" t="s">
        <v>325</v>
      </c>
      <c r="E281" s="215" t="s">
        <v>382</v>
      </c>
      <c r="F281" s="216" t="s">
        <v>383</v>
      </c>
      <c r="G281" s="290"/>
      <c r="H281" s="290"/>
      <c r="I281" s="290"/>
      <c r="J281" s="290"/>
      <c r="K281" s="290"/>
      <c r="L281" s="290"/>
      <c r="M281" s="290"/>
      <c r="N281" s="290"/>
      <c r="O281" s="290"/>
      <c r="P281" s="290"/>
      <c r="Q281" s="290"/>
      <c r="R281" s="290"/>
      <c r="S281" s="289"/>
      <c r="T281" s="291"/>
      <c r="U281" s="222"/>
      <c r="V281" s="222"/>
    </row>
    <row r="282" spans="1:22" customFormat="1" x14ac:dyDescent="0.25">
      <c r="A282" s="214">
        <v>40</v>
      </c>
      <c r="B282" s="215" t="s">
        <v>351</v>
      </c>
      <c r="C282" s="288" t="s">
        <v>326</v>
      </c>
      <c r="D282" s="287" t="s">
        <v>325</v>
      </c>
      <c r="E282" s="215" t="s">
        <v>384</v>
      </c>
      <c r="F282" s="216" t="s">
        <v>385</v>
      </c>
      <c r="G282" s="290"/>
      <c r="H282" s="290"/>
      <c r="I282" s="290"/>
      <c r="J282" s="290"/>
      <c r="K282" s="290"/>
      <c r="L282" s="290"/>
      <c r="M282" s="290"/>
      <c r="N282" s="290"/>
      <c r="O282" s="290"/>
      <c r="P282" s="290"/>
      <c r="Q282" s="290"/>
      <c r="R282" s="290"/>
      <c r="S282" s="289"/>
      <c r="T282" s="291"/>
      <c r="U282" s="222"/>
      <c r="V282" s="222"/>
    </row>
    <row r="283" spans="1:22" customFormat="1" x14ac:dyDescent="0.25">
      <c r="A283" s="214">
        <v>40</v>
      </c>
      <c r="B283" s="215" t="s">
        <v>351</v>
      </c>
      <c r="C283" s="383" t="s">
        <v>326</v>
      </c>
      <c r="D283" s="287" t="s">
        <v>325</v>
      </c>
      <c r="E283" s="215" t="s">
        <v>386</v>
      </c>
      <c r="F283" s="216" t="s">
        <v>387</v>
      </c>
      <c r="G283" s="342"/>
      <c r="H283" s="342"/>
      <c r="I283" s="342"/>
      <c r="J283" s="342"/>
      <c r="K283" s="342"/>
      <c r="L283" s="342"/>
      <c r="M283" s="342"/>
      <c r="N283" s="342"/>
      <c r="O283" s="342"/>
      <c r="P283" s="342"/>
      <c r="Q283" s="342"/>
      <c r="R283" s="342"/>
      <c r="S283" s="341"/>
      <c r="T283" s="384"/>
      <c r="U283" s="222"/>
      <c r="V283" s="222"/>
    </row>
    <row r="284" spans="1:22" customFormat="1" x14ac:dyDescent="0.25">
      <c r="A284" s="214">
        <v>40</v>
      </c>
      <c r="B284" s="215" t="s">
        <v>389</v>
      </c>
      <c r="C284" s="288" t="s">
        <v>326</v>
      </c>
      <c r="D284" s="287" t="s">
        <v>325</v>
      </c>
      <c r="E284" s="215" t="s">
        <v>388</v>
      </c>
      <c r="F284" s="216" t="s">
        <v>112</v>
      </c>
      <c r="G284" s="290">
        <v>3.1591913765312309</v>
      </c>
      <c r="H284" s="290">
        <v>3.5583785043501468</v>
      </c>
      <c r="I284" s="290">
        <v>6.4965256925688708</v>
      </c>
      <c r="J284" s="290">
        <v>8.6261558178168514</v>
      </c>
      <c r="K284" s="290">
        <v>9.5048851150372275</v>
      </c>
      <c r="L284" s="290">
        <v>16.63702995328779</v>
      </c>
      <c r="M284" s="290">
        <v>22.300368101802125</v>
      </c>
      <c r="N284" s="290">
        <v>14.703925301444476</v>
      </c>
      <c r="O284" s="290">
        <v>11.867942656891262</v>
      </c>
      <c r="P284" s="290">
        <v>11.993679429154309</v>
      </c>
      <c r="Q284" s="290">
        <v>9.1258174307424689</v>
      </c>
      <c r="R284" s="290">
        <v>3.2979061121819568</v>
      </c>
      <c r="S284" s="289">
        <v>121.27180549180872</v>
      </c>
      <c r="T284" s="291"/>
      <c r="U284" s="437"/>
      <c r="V284" s="437"/>
    </row>
    <row r="285" spans="1:22" customFormat="1" x14ac:dyDescent="0.25">
      <c r="A285" s="214">
        <v>40</v>
      </c>
      <c r="B285" s="215" t="s">
        <v>351</v>
      </c>
      <c r="C285" s="288" t="s">
        <v>326</v>
      </c>
      <c r="D285" s="287" t="s">
        <v>325</v>
      </c>
      <c r="E285" s="215" t="s">
        <v>390</v>
      </c>
      <c r="F285" s="216" t="s">
        <v>391</v>
      </c>
      <c r="G285" s="391"/>
      <c r="H285" s="391"/>
      <c r="I285" s="391"/>
      <c r="J285" s="391"/>
      <c r="K285" s="391"/>
      <c r="L285" s="391"/>
      <c r="M285" s="391"/>
      <c r="N285" s="391"/>
      <c r="O285" s="391"/>
      <c r="P285" s="391"/>
      <c r="Q285" s="391"/>
      <c r="R285" s="391"/>
      <c r="S285" s="392"/>
      <c r="T285" s="291"/>
      <c r="U285" s="437"/>
      <c r="V285" s="437"/>
    </row>
    <row r="286" spans="1:22" customFormat="1" x14ac:dyDescent="0.25">
      <c r="A286" s="214">
        <v>40</v>
      </c>
      <c r="B286" s="215" t="s">
        <v>393</v>
      </c>
      <c r="C286" s="288" t="s">
        <v>326</v>
      </c>
      <c r="D286" s="287" t="s">
        <v>325</v>
      </c>
      <c r="E286" s="215" t="s">
        <v>392</v>
      </c>
      <c r="F286" s="216" t="s">
        <v>394</v>
      </c>
      <c r="G286" s="342">
        <v>15.500526860200612</v>
      </c>
      <c r="H286" s="342">
        <v>23.024426836627963</v>
      </c>
      <c r="I286" s="342">
        <v>27.419470438410833</v>
      </c>
      <c r="J286" s="342">
        <v>29.128707459924581</v>
      </c>
      <c r="K286" s="342">
        <v>22.793751577345546</v>
      </c>
      <c r="L286" s="342">
        <v>21.889372447754624</v>
      </c>
      <c r="M286" s="342">
        <v>12.35958717232341</v>
      </c>
      <c r="N286" s="342">
        <v>17.678581512023932</v>
      </c>
      <c r="O286" s="342">
        <v>23.273842088534519</v>
      </c>
      <c r="P286" s="342">
        <v>28.092870973313186</v>
      </c>
      <c r="Q286" s="342">
        <v>28.978497236427927</v>
      </c>
      <c r="R286" s="342">
        <v>18.519613780320213</v>
      </c>
      <c r="S286" s="341">
        <v>268.65924838320734</v>
      </c>
      <c r="T286" s="291"/>
      <c r="U286" s="437"/>
      <c r="V286" s="437"/>
    </row>
    <row r="287" spans="1:22" customFormat="1" x14ac:dyDescent="0.25">
      <c r="A287" s="214">
        <v>39</v>
      </c>
      <c r="B287" s="215" t="s">
        <v>247</v>
      </c>
      <c r="C287" s="288" t="s">
        <v>324</v>
      </c>
      <c r="D287" s="287" t="s">
        <v>244</v>
      </c>
      <c r="E287" s="215" t="s">
        <v>246</v>
      </c>
      <c r="F287" s="216" t="s">
        <v>248</v>
      </c>
      <c r="G287" s="290">
        <v>15.29834809610761</v>
      </c>
      <c r="H287" s="290">
        <v>14.300506807080025</v>
      </c>
      <c r="I287" s="290">
        <v>20.209217489450129</v>
      </c>
      <c r="J287" s="290">
        <v>22.321757247692116</v>
      </c>
      <c r="K287" s="290">
        <v>26.80199840533724</v>
      </c>
      <c r="L287" s="290">
        <v>33.315652749749688</v>
      </c>
      <c r="M287" s="290">
        <v>53.864654829417773</v>
      </c>
      <c r="N287" s="290">
        <v>40.512689464428135</v>
      </c>
      <c r="O287" s="290">
        <v>34.894166898298373</v>
      </c>
      <c r="P287" s="290">
        <v>53.424460745241475</v>
      </c>
      <c r="Q287" s="290">
        <v>47.172398292285699</v>
      </c>
      <c r="R287" s="290">
        <v>27.711737717880105</v>
      </c>
      <c r="S287" s="289">
        <v>389.82758874296832</v>
      </c>
      <c r="T287" s="291"/>
      <c r="U287" s="437"/>
      <c r="V287" s="437"/>
    </row>
    <row r="288" spans="1:22" customFormat="1" x14ac:dyDescent="0.25">
      <c r="A288" s="214">
        <v>39</v>
      </c>
      <c r="B288" s="215" t="s">
        <v>332</v>
      </c>
      <c r="C288" s="288" t="s">
        <v>324</v>
      </c>
      <c r="D288" s="287" t="s">
        <v>244</v>
      </c>
      <c r="E288" s="215" t="s">
        <v>331</v>
      </c>
      <c r="F288" s="216" t="s">
        <v>333</v>
      </c>
      <c r="G288" s="290">
        <v>14.890771059428777</v>
      </c>
      <c r="H288" s="290">
        <v>13.419809864803765</v>
      </c>
      <c r="I288" s="290">
        <v>17.872854814070934</v>
      </c>
      <c r="J288" s="290">
        <v>22.056512713360277</v>
      </c>
      <c r="K288" s="290">
        <v>28.475505458829648</v>
      </c>
      <c r="L288" s="290">
        <v>36.692373882982835</v>
      </c>
      <c r="M288" s="290">
        <v>34.559696232239006</v>
      </c>
      <c r="N288" s="290">
        <v>30.783329897058426</v>
      </c>
      <c r="O288" s="290">
        <v>30.56514525943199</v>
      </c>
      <c r="P288" s="290">
        <v>26.766817789155144</v>
      </c>
      <c r="Q288" s="290">
        <v>23.789960186117771</v>
      </c>
      <c r="R288" s="290">
        <v>15.342154837085195</v>
      </c>
      <c r="S288" s="289">
        <v>295.2129319945638</v>
      </c>
      <c r="T288" s="291"/>
      <c r="U288" s="437"/>
      <c r="V288" s="437"/>
    </row>
    <row r="289" spans="1:22" customFormat="1" x14ac:dyDescent="0.25">
      <c r="A289" s="214">
        <v>39</v>
      </c>
      <c r="B289" s="215" t="s">
        <v>335</v>
      </c>
      <c r="C289" s="288" t="s">
        <v>324</v>
      </c>
      <c r="D289" s="287" t="s">
        <v>244</v>
      </c>
      <c r="E289" s="215" t="s">
        <v>334</v>
      </c>
      <c r="F289" s="216" t="s">
        <v>336</v>
      </c>
      <c r="G289" s="290">
        <v>-16.075321263845456</v>
      </c>
      <c r="H289" s="290">
        <v>-15.501197783542468</v>
      </c>
      <c r="I289" s="290">
        <v>-12.418079068322601</v>
      </c>
      <c r="J289" s="290">
        <v>-12.401683397273484</v>
      </c>
      <c r="K289" s="290">
        <v>-10.306762801833441</v>
      </c>
      <c r="L289" s="290">
        <v>-10.109578662738597</v>
      </c>
      <c r="M289" s="290">
        <v>-9.7894843010125676</v>
      </c>
      <c r="N289" s="290">
        <v>-2.1718974273129596</v>
      </c>
      <c r="O289" s="290">
        <v>0.90791579209038886</v>
      </c>
      <c r="P289" s="290">
        <v>-2.2165315563262737</v>
      </c>
      <c r="Q289" s="290">
        <v>-5.7544705130757059</v>
      </c>
      <c r="R289" s="290">
        <v>-13.497357862162158</v>
      </c>
      <c r="S289" s="289">
        <v>-109.33444884535533</v>
      </c>
      <c r="T289" s="291"/>
      <c r="U289" s="437"/>
      <c r="V289" s="437"/>
    </row>
    <row r="290" spans="1:22" customFormat="1" x14ac:dyDescent="0.25">
      <c r="A290" s="214">
        <v>39</v>
      </c>
      <c r="B290" s="215" t="s">
        <v>351</v>
      </c>
      <c r="C290" s="288" t="s">
        <v>324</v>
      </c>
      <c r="D290" s="287" t="s">
        <v>244</v>
      </c>
      <c r="E290" s="215" t="s">
        <v>350</v>
      </c>
      <c r="F290" s="216" t="s">
        <v>352</v>
      </c>
      <c r="G290" s="290">
        <v>1.0010000000000001E-5</v>
      </c>
      <c r="H290" s="290">
        <v>1.0010000000000001E-5</v>
      </c>
      <c r="I290" s="290">
        <v>1.0010000000000001E-5</v>
      </c>
      <c r="J290" s="290">
        <v>1.0010000000000001E-5</v>
      </c>
      <c r="K290" s="290">
        <v>1.0010000000000001E-5</v>
      </c>
      <c r="L290" s="290">
        <v>1.0010000000000001E-5</v>
      </c>
      <c r="M290" s="290">
        <v>1.0010000000000001E-5</v>
      </c>
      <c r="N290" s="290">
        <v>1.0010000000000001E-5</v>
      </c>
      <c r="O290" s="290">
        <v>1.0010000000000001E-5</v>
      </c>
      <c r="P290" s="290">
        <v>1.0010000000000001E-5</v>
      </c>
      <c r="Q290" s="290">
        <v>1.0010000000000001E-5</v>
      </c>
      <c r="R290" s="290">
        <v>1.0010000000000001E-5</v>
      </c>
      <c r="S290" s="289">
        <v>1.0010000000000001E-5</v>
      </c>
      <c r="T290" s="291"/>
      <c r="U290" s="437"/>
      <c r="V290" s="437"/>
    </row>
    <row r="291" spans="1:22" customFormat="1" x14ac:dyDescent="0.25">
      <c r="A291" s="214">
        <v>39</v>
      </c>
      <c r="B291" s="215" t="s">
        <v>351</v>
      </c>
      <c r="C291" s="288" t="s">
        <v>324</v>
      </c>
      <c r="D291" s="287" t="s">
        <v>244</v>
      </c>
      <c r="E291" s="215" t="s">
        <v>379</v>
      </c>
      <c r="F291" s="216" t="s">
        <v>16</v>
      </c>
      <c r="G291" s="290">
        <v>0.29367985559760884</v>
      </c>
      <c r="H291" s="290">
        <v>0.31092544089198443</v>
      </c>
      <c r="I291" s="290">
        <v>0.37693379006400735</v>
      </c>
      <c r="J291" s="290">
        <v>0.40153612490279672</v>
      </c>
      <c r="K291" s="290">
        <v>0.43696585548871442</v>
      </c>
      <c r="L291" s="290">
        <v>0.56234864306247001</v>
      </c>
      <c r="M291" s="290">
        <v>0.55549084840099905</v>
      </c>
      <c r="N291" s="290">
        <v>0.45753869734402658</v>
      </c>
      <c r="O291" s="290">
        <v>0.38976771907436275</v>
      </c>
      <c r="P291" s="290">
        <v>0.29500251614910328</v>
      </c>
      <c r="Q291" s="290">
        <v>0.26576002432789553</v>
      </c>
      <c r="R291" s="290">
        <v>0.25729070422030192</v>
      </c>
      <c r="S291" s="289">
        <v>2.3016200597620502</v>
      </c>
      <c r="T291" s="291"/>
      <c r="U291" s="437"/>
      <c r="V291" s="437"/>
    </row>
    <row r="292" spans="1:22" customFormat="1" x14ac:dyDescent="0.25">
      <c r="A292" s="214">
        <v>39</v>
      </c>
      <c r="B292" s="215" t="s">
        <v>335</v>
      </c>
      <c r="C292" s="288" t="s">
        <v>324</v>
      </c>
      <c r="D292" s="287" t="s">
        <v>244</v>
      </c>
      <c r="E292" s="215" t="s">
        <v>348</v>
      </c>
      <c r="F292" s="216" t="s">
        <v>349</v>
      </c>
      <c r="G292" s="290">
        <v>18.847230149274125</v>
      </c>
      <c r="H292" s="290">
        <v>16.80191440779814</v>
      </c>
      <c r="I292" s="290">
        <v>18.441458286928441</v>
      </c>
      <c r="J292" s="290">
        <v>18.39205020833818</v>
      </c>
      <c r="K292" s="290">
        <v>19.571134055364649</v>
      </c>
      <c r="L292" s="290">
        <v>30.267321526487333</v>
      </c>
      <c r="M292" s="290">
        <v>33.207930839644405</v>
      </c>
      <c r="N292" s="290">
        <v>24.328600191162518</v>
      </c>
      <c r="O292" s="290">
        <v>22.815717672428047</v>
      </c>
      <c r="P292" s="290">
        <v>23.219826705770153</v>
      </c>
      <c r="Q292" s="290">
        <v>24.004931943497745</v>
      </c>
      <c r="R292" s="290">
        <v>20.695888712823503</v>
      </c>
      <c r="S292" s="289">
        <v>270.58694715320524</v>
      </c>
      <c r="T292" s="291"/>
      <c r="U292" s="437"/>
      <c r="V292" s="437"/>
    </row>
    <row r="293" spans="1:22" customFormat="1" x14ac:dyDescent="0.25">
      <c r="A293" s="214">
        <v>39</v>
      </c>
      <c r="B293" s="215" t="s">
        <v>351</v>
      </c>
      <c r="C293" s="288" t="s">
        <v>324</v>
      </c>
      <c r="D293" s="287" t="s">
        <v>244</v>
      </c>
      <c r="E293" s="215" t="s">
        <v>380</v>
      </c>
      <c r="F293" s="216" t="s">
        <v>381</v>
      </c>
      <c r="G293" s="290">
        <v>0.80832963907721034</v>
      </c>
      <c r="H293" s="290">
        <v>0.36126714043061475</v>
      </c>
      <c r="I293" s="290">
        <v>0.93068190260499095</v>
      </c>
      <c r="J293" s="290">
        <v>0.82173387720472679</v>
      </c>
      <c r="K293" s="290">
        <v>1.0990297445300223</v>
      </c>
      <c r="L293" s="290">
        <v>2.5923256118553177</v>
      </c>
      <c r="M293" s="290">
        <v>3.881621479180613</v>
      </c>
      <c r="N293" s="290">
        <v>3.219443922629158</v>
      </c>
      <c r="O293" s="290">
        <v>4.6515508504178564</v>
      </c>
      <c r="P293" s="290">
        <v>4.2960827118352229</v>
      </c>
      <c r="Q293" s="290">
        <v>3.525010164441849</v>
      </c>
      <c r="R293" s="290">
        <v>1.7472390386122296</v>
      </c>
      <c r="S293" s="289">
        <v>27.934316082819812</v>
      </c>
      <c r="T293" s="291"/>
      <c r="U293" s="437"/>
      <c r="V293" s="437"/>
    </row>
    <row r="294" spans="1:22" customFormat="1" x14ac:dyDescent="0.25">
      <c r="A294" s="214">
        <v>39</v>
      </c>
      <c r="B294" s="215" t="s">
        <v>351</v>
      </c>
      <c r="C294" s="288" t="s">
        <v>324</v>
      </c>
      <c r="D294" s="287" t="s">
        <v>244</v>
      </c>
      <c r="E294" s="215" t="s">
        <v>382</v>
      </c>
      <c r="F294" s="216" t="s">
        <v>383</v>
      </c>
      <c r="G294" s="290">
        <v>0.7631060521554065</v>
      </c>
      <c r="H294" s="290">
        <v>0.16189544693986596</v>
      </c>
      <c r="I294" s="290">
        <v>0.2946848417243253</v>
      </c>
      <c r="J294" s="290">
        <v>0.36406205264623137</v>
      </c>
      <c r="K294" s="290">
        <v>0.68312843093662068</v>
      </c>
      <c r="L294" s="290">
        <v>1.2661948092270106</v>
      </c>
      <c r="M294" s="290">
        <v>1.3912611875173997</v>
      </c>
      <c r="N294" s="290">
        <v>2.2393939440981785</v>
      </c>
      <c r="O294" s="290">
        <v>4.2125267006789571</v>
      </c>
      <c r="P294" s="290">
        <v>3.3915930789693469</v>
      </c>
      <c r="Q294" s="290">
        <v>2.7486594572597363</v>
      </c>
      <c r="R294" s="290">
        <v>1.2925267006789576</v>
      </c>
      <c r="S294" s="289">
        <v>18.806032702832034</v>
      </c>
      <c r="T294" s="291"/>
      <c r="U294" s="437"/>
      <c r="V294" s="437"/>
    </row>
    <row r="295" spans="1:22" customFormat="1" x14ac:dyDescent="0.25">
      <c r="A295" s="214">
        <v>39</v>
      </c>
      <c r="B295" s="215" t="s">
        <v>351</v>
      </c>
      <c r="C295" s="288" t="s">
        <v>324</v>
      </c>
      <c r="D295" s="287" t="s">
        <v>244</v>
      </c>
      <c r="E295" s="215" t="s">
        <v>384</v>
      </c>
      <c r="F295" s="216" t="s">
        <v>385</v>
      </c>
      <c r="G295" s="290">
        <v>0.66270555710484513</v>
      </c>
      <c r="H295" s="290">
        <v>0.78682837729297872</v>
      </c>
      <c r="I295" s="290">
        <v>1.1359972491248849</v>
      </c>
      <c r="J295" s="290">
        <v>1.2099277636875374</v>
      </c>
      <c r="K295" s="290">
        <v>1.4271511974419859</v>
      </c>
      <c r="L295" s="290">
        <v>2.127481642681154</v>
      </c>
      <c r="M295" s="290">
        <v>2.2457907565507615</v>
      </c>
      <c r="N295" s="290">
        <v>1.5308143590927461</v>
      </c>
      <c r="O295" s="290">
        <v>1.0030834668499893</v>
      </c>
      <c r="P295" s="290">
        <v>0.69563273394785696</v>
      </c>
      <c r="Q295" s="290">
        <v>0.62034030192177581</v>
      </c>
      <c r="R295" s="290">
        <v>0.58711937546501092</v>
      </c>
      <c r="S295" s="289">
        <v>13.798883671106079</v>
      </c>
      <c r="T295" s="291"/>
      <c r="U295" s="437"/>
      <c r="V295" s="437"/>
    </row>
    <row r="296" spans="1:22" customFormat="1" x14ac:dyDescent="0.25">
      <c r="A296" s="214">
        <v>39</v>
      </c>
      <c r="B296" s="215" t="s">
        <v>351</v>
      </c>
      <c r="C296" s="383" t="s">
        <v>324</v>
      </c>
      <c r="D296" s="287" t="s">
        <v>244</v>
      </c>
      <c r="E296" s="215" t="s">
        <v>386</v>
      </c>
      <c r="F296" s="216" t="s">
        <v>387</v>
      </c>
      <c r="G296" s="342">
        <v>3.624847091159622</v>
      </c>
      <c r="H296" s="342">
        <v>2.6211721725237265</v>
      </c>
      <c r="I296" s="342">
        <v>4.3059915103785356</v>
      </c>
      <c r="J296" s="342">
        <v>5.8269641920782158</v>
      </c>
      <c r="K296" s="342">
        <v>8.4956617265308569</v>
      </c>
      <c r="L296" s="342">
        <v>14.727311394076873</v>
      </c>
      <c r="M296" s="342">
        <v>13.826832769567279</v>
      </c>
      <c r="N296" s="342">
        <v>13.573666353494948</v>
      </c>
      <c r="O296" s="342">
        <v>21.268465445904642</v>
      </c>
      <c r="P296" s="342">
        <v>19.237179172920218</v>
      </c>
      <c r="Q296" s="342">
        <v>15.679776969088703</v>
      </c>
      <c r="R296" s="342">
        <v>5.5520523861088735</v>
      </c>
      <c r="S296" s="341">
        <v>128.75865711091581</v>
      </c>
      <c r="T296" s="384"/>
      <c r="U296" s="437"/>
      <c r="V296" s="437"/>
    </row>
    <row r="297" spans="1:22" customFormat="1" x14ac:dyDescent="0.25">
      <c r="A297" s="214">
        <v>39</v>
      </c>
      <c r="B297" s="215" t="s">
        <v>389</v>
      </c>
      <c r="C297" s="288" t="s">
        <v>324</v>
      </c>
      <c r="D297" s="287" t="s">
        <v>244</v>
      </c>
      <c r="E297" s="215" t="s">
        <v>388</v>
      </c>
      <c r="F297" s="216" t="s">
        <v>112</v>
      </c>
      <c r="G297" s="290">
        <v>3.4650779331906651</v>
      </c>
      <c r="H297" s="290">
        <v>4.8170186943734024</v>
      </c>
      <c r="I297" s="290">
        <v>8.4650245407722871</v>
      </c>
      <c r="J297" s="290">
        <v>9.9741979392308906</v>
      </c>
      <c r="K297" s="290">
        <v>11.030039128830994</v>
      </c>
      <c r="L297" s="290">
        <v>15.266184874681949</v>
      </c>
      <c r="M297" s="290">
        <v>17.352165333759928</v>
      </c>
      <c r="N297" s="290">
        <v>13.00123107324368</v>
      </c>
      <c r="O297" s="290">
        <v>9.6961919327581843</v>
      </c>
      <c r="P297" s="290">
        <v>15.242393495535666</v>
      </c>
      <c r="Q297" s="290">
        <v>9.7901187383245887</v>
      </c>
      <c r="R297" s="290">
        <v>3.7368566131958199</v>
      </c>
      <c r="S297" s="289">
        <v>121.83650029789808</v>
      </c>
      <c r="T297" s="291"/>
      <c r="U297" s="437"/>
      <c r="V297" s="437"/>
    </row>
    <row r="298" spans="1:22" customFormat="1" x14ac:dyDescent="0.25">
      <c r="A298" s="214">
        <v>39</v>
      </c>
      <c r="B298" s="215" t="s">
        <v>351</v>
      </c>
      <c r="C298" s="288" t="s">
        <v>324</v>
      </c>
      <c r="D298" s="287" t="s">
        <v>244</v>
      </c>
      <c r="E298" s="215" t="s">
        <v>390</v>
      </c>
      <c r="F298" s="216" t="s">
        <v>391</v>
      </c>
      <c r="G298" s="290">
        <v>1.8091815564694522</v>
      </c>
      <c r="H298" s="290">
        <v>1.9657138609294889</v>
      </c>
      <c r="I298" s="290">
        <v>2.4114620894243322</v>
      </c>
      <c r="J298" s="290">
        <v>2.6462600051691134</v>
      </c>
      <c r="K298" s="290">
        <v>2.6042315722353546</v>
      </c>
      <c r="L298" s="290">
        <v>2.9594168132587093</v>
      </c>
      <c r="M298" s="290">
        <v>3.5079927220671649</v>
      </c>
      <c r="N298" s="290">
        <v>2.2710485253566284</v>
      </c>
      <c r="O298" s="290">
        <v>8.2003107350022688</v>
      </c>
      <c r="P298" s="290">
        <v>13.710727537271694</v>
      </c>
      <c r="Q298" s="290">
        <v>11.532413315232539</v>
      </c>
      <c r="R298" s="290">
        <v>3.4940463028658253</v>
      </c>
      <c r="S298" s="289">
        <v>57.11580503528257</v>
      </c>
      <c r="T298" s="291"/>
      <c r="U298" s="437"/>
      <c r="V298" s="437"/>
    </row>
    <row r="299" spans="1:22" customFormat="1" x14ac:dyDescent="0.25">
      <c r="A299" s="214">
        <v>39</v>
      </c>
      <c r="B299" s="215" t="s">
        <v>393</v>
      </c>
      <c r="C299" s="288" t="s">
        <v>324</v>
      </c>
      <c r="D299" s="287" t="s">
        <v>244</v>
      </c>
      <c r="E299" s="215" t="s">
        <v>392</v>
      </c>
      <c r="F299" s="216" t="s">
        <v>394</v>
      </c>
      <c r="G299" s="290">
        <v>18.607343658853718</v>
      </c>
      <c r="H299" s="290">
        <v>18.107890903108441</v>
      </c>
      <c r="I299" s="290">
        <v>14.296563441535769</v>
      </c>
      <c r="J299" s="290">
        <v>12.527035297368871</v>
      </c>
      <c r="K299" s="290">
        <v>12.658148962304713</v>
      </c>
      <c r="L299" s="290">
        <v>13.846001162704582</v>
      </c>
      <c r="M299" s="290">
        <v>15.03720628418186</v>
      </c>
      <c r="N299" s="290">
        <v>24.778125770543475</v>
      </c>
      <c r="O299" s="290">
        <v>34.656466065927304</v>
      </c>
      <c r="P299" s="290">
        <v>44.835559026056849</v>
      </c>
      <c r="Q299" s="290">
        <v>40.199032138235978</v>
      </c>
      <c r="R299" s="290">
        <v>27.823432068559647</v>
      </c>
      <c r="S299" s="289">
        <v>277.37265431459781</v>
      </c>
      <c r="T299" s="291"/>
      <c r="U299" s="222">
        <v>0</v>
      </c>
      <c r="V299" s="222">
        <v>1</v>
      </c>
    </row>
    <row r="300" spans="1:22" customFormat="1" x14ac:dyDescent="0.25">
      <c r="A300" s="214">
        <v>16</v>
      </c>
      <c r="B300" s="215" t="s">
        <v>247</v>
      </c>
      <c r="C300" s="254" t="s">
        <v>280</v>
      </c>
      <c r="D300" s="251" t="s">
        <v>279</v>
      </c>
      <c r="E300" s="215" t="s">
        <v>246</v>
      </c>
      <c r="F300" s="216" t="s">
        <v>248</v>
      </c>
      <c r="G300" s="252">
        <v>1.1859400288098403</v>
      </c>
      <c r="H300" s="252">
        <v>1.0673460259288563</v>
      </c>
      <c r="I300" s="252">
        <v>0.94875202304787221</v>
      </c>
      <c r="J300" s="252">
        <v>0.96326554169577938</v>
      </c>
      <c r="K300" s="252">
        <v>1.0234696380517654</v>
      </c>
      <c r="L300" s="252">
        <v>1.0836737344077514</v>
      </c>
      <c r="M300" s="252">
        <v>1.1438778307637378</v>
      </c>
      <c r="N300" s="252">
        <v>1.2642860234757103</v>
      </c>
      <c r="O300" s="252">
        <v>1.505102408899655</v>
      </c>
      <c r="P300" s="252">
        <v>1.3846942161876825</v>
      </c>
      <c r="Q300" s="252">
        <v>1.4448983125436687</v>
      </c>
      <c r="R300" s="252">
        <v>1.3846942161876825</v>
      </c>
      <c r="S300" s="303">
        <v>14.400000000000002</v>
      </c>
      <c r="T300" s="253">
        <v>1</v>
      </c>
      <c r="U300" s="222">
        <v>0</v>
      </c>
      <c r="V300" s="229">
        <v>1</v>
      </c>
    </row>
    <row r="301" spans="1:22" customFormat="1" x14ac:dyDescent="0.25">
      <c r="A301" s="214">
        <v>16</v>
      </c>
      <c r="B301" s="215" t="s">
        <v>332</v>
      </c>
      <c r="C301" s="254" t="s">
        <v>280</v>
      </c>
      <c r="D301" s="251" t="s">
        <v>279</v>
      </c>
      <c r="E301" s="215" t="s">
        <v>331</v>
      </c>
      <c r="F301" s="216" t="s">
        <v>333</v>
      </c>
      <c r="G301" s="252">
        <v>6.4352894382758397</v>
      </c>
      <c r="H301" s="252">
        <v>5.7917604944482557</v>
      </c>
      <c r="I301" s="252">
        <v>5.1482315506206717</v>
      </c>
      <c r="J301" s="252">
        <v>5.2269865390671173</v>
      </c>
      <c r="K301" s="252">
        <v>5.553673197758811</v>
      </c>
      <c r="L301" s="252">
        <v>5.8803598564505046</v>
      </c>
      <c r="M301" s="252">
        <v>6.2070465151422001</v>
      </c>
      <c r="N301" s="252">
        <v>6.8604198325255901</v>
      </c>
      <c r="O301" s="252">
        <v>8.1671664672923683</v>
      </c>
      <c r="P301" s="252">
        <v>7.5137931499089792</v>
      </c>
      <c r="Q301" s="252">
        <v>7.8404798086006746</v>
      </c>
      <c r="R301" s="252">
        <v>7.5137931499089792</v>
      </c>
      <c r="S301" s="303">
        <v>78.138999999999996</v>
      </c>
      <c r="T301" s="253">
        <v>1</v>
      </c>
      <c r="U301" s="222">
        <v>0</v>
      </c>
      <c r="V301" s="229">
        <v>1</v>
      </c>
    </row>
    <row r="302" spans="1:22" customFormat="1" x14ac:dyDescent="0.25">
      <c r="A302" s="214">
        <v>16</v>
      </c>
      <c r="B302" s="215" t="s">
        <v>335</v>
      </c>
      <c r="C302" s="254" t="s">
        <v>280</v>
      </c>
      <c r="D302" s="251" t="s">
        <v>279</v>
      </c>
      <c r="E302" s="215" t="s">
        <v>334</v>
      </c>
      <c r="F302" s="216" t="s">
        <v>336</v>
      </c>
      <c r="G302" s="252">
        <v>34.425627564269767</v>
      </c>
      <c r="H302" s="252">
        <v>30.528330289032173</v>
      </c>
      <c r="I302" s="252">
        <v>28.898913163666371</v>
      </c>
      <c r="J302" s="252">
        <v>28.901923749266533</v>
      </c>
      <c r="K302" s="252">
        <v>29.295779191479639</v>
      </c>
      <c r="L302" s="252">
        <v>33.60986054921532</v>
      </c>
      <c r="M302" s="252">
        <v>33.170162767817907</v>
      </c>
      <c r="N302" s="252">
        <v>37.039430349786628</v>
      </c>
      <c r="O302" s="252">
        <v>39.366418508242006</v>
      </c>
      <c r="P302" s="252">
        <v>41.382463633218293</v>
      </c>
      <c r="Q302" s="252">
        <v>42.860518348757566</v>
      </c>
      <c r="R302" s="252">
        <v>38.70407781397715</v>
      </c>
      <c r="S302" s="303">
        <v>418.18350592872935</v>
      </c>
      <c r="T302" s="253"/>
      <c r="U302" s="229">
        <v>1</v>
      </c>
      <c r="V302" s="229">
        <v>-1</v>
      </c>
    </row>
    <row r="303" spans="1:22" customFormat="1" x14ac:dyDescent="0.25">
      <c r="A303" s="214">
        <v>16</v>
      </c>
      <c r="B303" s="215" t="s">
        <v>351</v>
      </c>
      <c r="C303" s="254" t="s">
        <v>280</v>
      </c>
      <c r="D303" s="251" t="s">
        <v>279</v>
      </c>
      <c r="E303" s="215" t="s">
        <v>350</v>
      </c>
      <c r="F303" s="216" t="s">
        <v>352</v>
      </c>
      <c r="G303" s="252">
        <v>0</v>
      </c>
      <c r="H303" s="252">
        <v>0</v>
      </c>
      <c r="I303" s="252">
        <v>0</v>
      </c>
      <c r="J303" s="252">
        <v>0</v>
      </c>
      <c r="K303" s="252">
        <v>0</v>
      </c>
      <c r="L303" s="252">
        <v>0</v>
      </c>
      <c r="M303" s="252">
        <v>0</v>
      </c>
      <c r="N303" s="252">
        <v>0</v>
      </c>
      <c r="O303" s="252">
        <v>0</v>
      </c>
      <c r="P303" s="252">
        <v>0</v>
      </c>
      <c r="Q303" s="252">
        <v>0</v>
      </c>
      <c r="R303" s="252">
        <v>0</v>
      </c>
      <c r="S303" s="303">
        <v>0</v>
      </c>
      <c r="T303" s="253">
        <v>1</v>
      </c>
      <c r="U303" s="229">
        <v>1</v>
      </c>
      <c r="V303" s="229">
        <v>-1</v>
      </c>
    </row>
    <row r="304" spans="1:22" customFormat="1" x14ac:dyDescent="0.25">
      <c r="A304" s="214">
        <v>16</v>
      </c>
      <c r="B304" s="215" t="s">
        <v>351</v>
      </c>
      <c r="C304" s="254" t="s">
        <v>280</v>
      </c>
      <c r="D304" s="251" t="s">
        <v>279</v>
      </c>
      <c r="E304" s="215" t="s">
        <v>379</v>
      </c>
      <c r="F304" s="216" t="s">
        <v>16</v>
      </c>
      <c r="G304" s="252">
        <v>0</v>
      </c>
      <c r="H304" s="252">
        <v>0</v>
      </c>
      <c r="I304" s="252">
        <v>0</v>
      </c>
      <c r="J304" s="252">
        <v>0</v>
      </c>
      <c r="K304" s="252">
        <v>0</v>
      </c>
      <c r="L304" s="252">
        <v>0</v>
      </c>
      <c r="M304" s="252">
        <v>0</v>
      </c>
      <c r="N304" s="252">
        <v>0</v>
      </c>
      <c r="O304" s="252">
        <v>0</v>
      </c>
      <c r="P304" s="252">
        <v>0</v>
      </c>
      <c r="Q304" s="252">
        <v>0</v>
      </c>
      <c r="R304" s="252">
        <v>0</v>
      </c>
      <c r="S304" s="303">
        <v>0</v>
      </c>
      <c r="T304" s="253">
        <v>1</v>
      </c>
      <c r="U304" s="222">
        <v>0</v>
      </c>
      <c r="V304" s="229">
        <v>-1</v>
      </c>
    </row>
    <row r="305" spans="1:22" customFormat="1" x14ac:dyDescent="0.25">
      <c r="A305" s="214">
        <v>16</v>
      </c>
      <c r="B305" s="215" t="s">
        <v>335</v>
      </c>
      <c r="C305" s="254" t="s">
        <v>280</v>
      </c>
      <c r="D305" s="251" t="s">
        <v>279</v>
      </c>
      <c r="E305" s="215" t="s">
        <v>348</v>
      </c>
      <c r="F305" s="216" t="s">
        <v>349</v>
      </c>
      <c r="G305" s="252">
        <v>0.35965278512587295</v>
      </c>
      <c r="H305" s="252">
        <v>0.32368750661328566</v>
      </c>
      <c r="I305" s="252">
        <v>0.28772222810069836</v>
      </c>
      <c r="J305" s="252">
        <v>0.29212365420732411</v>
      </c>
      <c r="K305" s="252">
        <v>0.31038138259528175</v>
      </c>
      <c r="L305" s="252">
        <v>0.3286391109832395</v>
      </c>
      <c r="M305" s="252">
        <v>0.34689683937119731</v>
      </c>
      <c r="N305" s="252">
        <v>0.38341229614711281</v>
      </c>
      <c r="O305" s="252">
        <v>0.45644320969894381</v>
      </c>
      <c r="P305" s="252">
        <v>0.41992775292302825</v>
      </c>
      <c r="Q305" s="252">
        <v>0.43818548131098606</v>
      </c>
      <c r="R305" s="252">
        <v>0.41992775292302825</v>
      </c>
      <c r="S305" s="303">
        <v>4.3669999999999991</v>
      </c>
      <c r="T305" s="253">
        <v>1</v>
      </c>
      <c r="U305" s="222">
        <v>0</v>
      </c>
      <c r="V305" s="229">
        <v>1</v>
      </c>
    </row>
    <row r="306" spans="1:22" customFormat="1" x14ac:dyDescent="0.25">
      <c r="A306" s="214">
        <v>16</v>
      </c>
      <c r="B306" s="215" t="s">
        <v>351</v>
      </c>
      <c r="C306" s="254" t="s">
        <v>280</v>
      </c>
      <c r="D306" s="251" t="s">
        <v>279</v>
      </c>
      <c r="E306" s="215" t="s">
        <v>380</v>
      </c>
      <c r="F306" s="216" t="s">
        <v>381</v>
      </c>
      <c r="G306" s="343">
        <v>2.3409513024954257E-2</v>
      </c>
      <c r="H306" s="343">
        <v>2.1068561722458832E-2</v>
      </c>
      <c r="I306" s="343">
        <v>1.8727610419963407E-2</v>
      </c>
      <c r="J306" s="343">
        <v>1.8935508818907543E-2</v>
      </c>
      <c r="K306" s="343">
        <v>2.0118978120089264E-2</v>
      </c>
      <c r="L306" s="343">
        <v>2.1302447421270986E-2</v>
      </c>
      <c r="M306" s="343">
        <v>2.2485916722452703E-2</v>
      </c>
      <c r="N306" s="343">
        <v>2.4852855324816153E-2</v>
      </c>
      <c r="O306" s="343">
        <v>2.7219793927179589E-2</v>
      </c>
      <c r="P306" s="343">
        <v>2.8403263228361314E-2</v>
      </c>
      <c r="Q306" s="343">
        <v>2.9586732529543035E-2</v>
      </c>
      <c r="R306" s="343">
        <v>2.7219793927179589E-2</v>
      </c>
      <c r="S306" s="420">
        <v>0.28333097518717665</v>
      </c>
      <c r="T306" s="344">
        <v>1</v>
      </c>
      <c r="U306" s="229">
        <v>1</v>
      </c>
      <c r="V306" s="222">
        <v>0</v>
      </c>
    </row>
    <row r="307" spans="1:22" customFormat="1" x14ac:dyDescent="0.25">
      <c r="A307" s="214">
        <v>16</v>
      </c>
      <c r="B307" s="215" t="s">
        <v>351</v>
      </c>
      <c r="C307" s="254" t="s">
        <v>280</v>
      </c>
      <c r="D307" s="251" t="s">
        <v>279</v>
      </c>
      <c r="E307" s="215" t="s">
        <v>382</v>
      </c>
      <c r="F307" s="216" t="s">
        <v>383</v>
      </c>
      <c r="G307" s="252">
        <v>7.7191930459457866E-2</v>
      </c>
      <c r="H307" s="252">
        <v>6.9472737413512078E-2</v>
      </c>
      <c r="I307" s="252">
        <v>6.1753544367566297E-2</v>
      </c>
      <c r="J307" s="252">
        <v>6.258392980502496E-2</v>
      </c>
      <c r="K307" s="252">
        <v>6.6495425417839024E-2</v>
      </c>
      <c r="L307" s="252">
        <v>7.0406921030653088E-2</v>
      </c>
      <c r="M307" s="252">
        <v>7.4318416643467139E-2</v>
      </c>
      <c r="N307" s="252">
        <v>8.2141407869095268E-2</v>
      </c>
      <c r="O307" s="252">
        <v>8.9964399094723382E-2</v>
      </c>
      <c r="P307" s="252">
        <v>9.3875894707537447E-2</v>
      </c>
      <c r="Q307" s="252">
        <v>9.7787390320351497E-2</v>
      </c>
      <c r="R307" s="252">
        <v>8.9964399094723382E-2</v>
      </c>
      <c r="S307" s="303">
        <v>0.93595639622395166</v>
      </c>
      <c r="T307" s="253">
        <v>1</v>
      </c>
      <c r="U307" s="222">
        <v>0</v>
      </c>
      <c r="V307" s="229">
        <v>-1</v>
      </c>
    </row>
    <row r="308" spans="1:22" customFormat="1" x14ac:dyDescent="0.25">
      <c r="A308" s="214">
        <v>16</v>
      </c>
      <c r="B308" s="215" t="s">
        <v>351</v>
      </c>
      <c r="C308" s="254" t="s">
        <v>280</v>
      </c>
      <c r="D308" s="251" t="s">
        <v>279</v>
      </c>
      <c r="E308" s="215" t="s">
        <v>384</v>
      </c>
      <c r="F308" s="216" t="s">
        <v>385</v>
      </c>
      <c r="G308" s="252">
        <v>7.7191930459457866E-2</v>
      </c>
      <c r="H308" s="252">
        <v>6.9472737413512078E-2</v>
      </c>
      <c r="I308" s="252">
        <v>6.1753544367566297E-2</v>
      </c>
      <c r="J308" s="252">
        <v>6.258392980502496E-2</v>
      </c>
      <c r="K308" s="252">
        <v>6.6495425417839024E-2</v>
      </c>
      <c r="L308" s="252">
        <v>7.0406921030653088E-2</v>
      </c>
      <c r="M308" s="252">
        <v>7.4318416643467139E-2</v>
      </c>
      <c r="N308" s="252">
        <v>8.2141407869095268E-2</v>
      </c>
      <c r="O308" s="252">
        <v>8.9964399094723382E-2</v>
      </c>
      <c r="P308" s="252">
        <v>9.3875894707537447E-2</v>
      </c>
      <c r="Q308" s="252">
        <v>9.7787390320351497E-2</v>
      </c>
      <c r="R308" s="252">
        <v>8.9964399094723382E-2</v>
      </c>
      <c r="S308" s="303">
        <v>0</v>
      </c>
      <c r="T308" s="253">
        <v>1</v>
      </c>
      <c r="U308" s="222">
        <v>0</v>
      </c>
      <c r="V308" s="229">
        <v>1</v>
      </c>
    </row>
    <row r="309" spans="1:22" customFormat="1" x14ac:dyDescent="0.25">
      <c r="A309" s="214">
        <v>16</v>
      </c>
      <c r="B309" s="215" t="s">
        <v>351</v>
      </c>
      <c r="C309" s="358" t="s">
        <v>280</v>
      </c>
      <c r="D309" s="251" t="s">
        <v>279</v>
      </c>
      <c r="E309" s="215" t="s">
        <v>386</v>
      </c>
      <c r="F309" s="216" t="s">
        <v>387</v>
      </c>
      <c r="G309" s="332">
        <v>1.581702967054158</v>
      </c>
      <c r="H309" s="332">
        <v>1.195556144934304</v>
      </c>
      <c r="I309" s="332">
        <v>1.0629717327690882</v>
      </c>
      <c r="J309" s="332">
        <v>1.0762993733408295</v>
      </c>
      <c r="K309" s="332">
        <v>1.142636596197095</v>
      </c>
      <c r="L309" s="332">
        <v>1.2099188526400306</v>
      </c>
      <c r="M309" s="332">
        <v>1.2772011090829665</v>
      </c>
      <c r="N309" s="332">
        <v>1.410603858636023</v>
      </c>
      <c r="O309" s="332">
        <v>1.5451683715218945</v>
      </c>
      <c r="P309" s="332">
        <v>1.6136123912976454</v>
      </c>
      <c r="Q309" s="332">
        <v>1.6808946477405815</v>
      </c>
      <c r="R309" s="332">
        <v>1.5498154248531548</v>
      </c>
      <c r="S309" s="331">
        <v>16.346381470067772</v>
      </c>
      <c r="T309" s="357">
        <v>1</v>
      </c>
      <c r="U309" s="229">
        <v>1</v>
      </c>
      <c r="V309" s="222">
        <v>0</v>
      </c>
    </row>
    <row r="310" spans="1:22" customFormat="1" x14ac:dyDescent="0.25">
      <c r="A310" s="214">
        <v>16</v>
      </c>
      <c r="B310" s="215" t="s">
        <v>389</v>
      </c>
      <c r="C310" s="358" t="s">
        <v>280</v>
      </c>
      <c r="D310" s="251" t="s">
        <v>279</v>
      </c>
      <c r="E310" s="215" t="s">
        <v>388</v>
      </c>
      <c r="F310" s="216" t="s">
        <v>112</v>
      </c>
      <c r="G310" s="343">
        <v>1.5624174092927134</v>
      </c>
      <c r="H310" s="343">
        <v>1.4061756683634421</v>
      </c>
      <c r="I310" s="343">
        <v>1.2499339274341708</v>
      </c>
      <c r="J310" s="343">
        <v>1.248422102575014</v>
      </c>
      <c r="K310" s="343">
        <v>1.3264484839859523</v>
      </c>
      <c r="L310" s="343">
        <v>1.4044748653968906</v>
      </c>
      <c r="M310" s="343">
        <v>1.4825012468078289</v>
      </c>
      <c r="N310" s="343">
        <v>1.6385540096297055</v>
      </c>
      <c r="O310" s="343">
        <v>1.7820642523774184</v>
      </c>
      <c r="P310" s="343">
        <v>1.8789044138996025</v>
      </c>
      <c r="Q310" s="343">
        <v>1.956930795310541</v>
      </c>
      <c r="R310" s="343">
        <v>1.7946067724515822</v>
      </c>
      <c r="S310" s="420">
        <v>18.731433947524863</v>
      </c>
      <c r="T310" s="253">
        <v>1</v>
      </c>
      <c r="U310" s="222">
        <v>0</v>
      </c>
      <c r="V310" s="222">
        <v>0</v>
      </c>
    </row>
    <row r="311" spans="1:22" customFormat="1" x14ac:dyDescent="0.25">
      <c r="A311" s="214">
        <v>16</v>
      </c>
      <c r="B311" s="215" t="s">
        <v>351</v>
      </c>
      <c r="C311" s="254" t="s">
        <v>280</v>
      </c>
      <c r="D311" s="251" t="s">
        <v>279</v>
      </c>
      <c r="E311" s="215" t="s">
        <v>390</v>
      </c>
      <c r="F311" s="216" t="s">
        <v>391</v>
      </c>
      <c r="G311" s="252">
        <v>0.29942003873320322</v>
      </c>
      <c r="H311" s="252">
        <v>0.26947803485988292</v>
      </c>
      <c r="I311" s="252">
        <v>0.23953603098656262</v>
      </c>
      <c r="J311" s="252">
        <v>0.24596563210436667</v>
      </c>
      <c r="K311" s="252">
        <v>0.26133848411088956</v>
      </c>
      <c r="L311" s="252">
        <v>0.2767113361174125</v>
      </c>
      <c r="M311" s="252">
        <v>0.29208418812393538</v>
      </c>
      <c r="N311" s="252">
        <v>0.32282989213698127</v>
      </c>
      <c r="O311" s="252">
        <v>0.35357559615002704</v>
      </c>
      <c r="P311" s="252">
        <v>0.36894844815654998</v>
      </c>
      <c r="Q311" s="252">
        <v>0.38432130016307292</v>
      </c>
      <c r="R311" s="252">
        <v>0.35357559615002704</v>
      </c>
      <c r="S311" s="303">
        <v>1.6840917813454859</v>
      </c>
      <c r="T311" s="253">
        <v>1</v>
      </c>
      <c r="U311" s="222">
        <v>0</v>
      </c>
      <c r="V311" s="229">
        <v>-1</v>
      </c>
    </row>
    <row r="312" spans="1:22" customFormat="1" x14ac:dyDescent="0.25">
      <c r="A312" s="214">
        <v>16</v>
      </c>
      <c r="B312" s="215" t="s">
        <v>393</v>
      </c>
      <c r="C312" s="254" t="s">
        <v>280</v>
      </c>
      <c r="D312" s="251" t="s">
        <v>279</v>
      </c>
      <c r="E312" s="215" t="s">
        <v>392</v>
      </c>
      <c r="F312" s="216" t="s">
        <v>394</v>
      </c>
      <c r="G312" s="343">
        <v>0.50335072543115245</v>
      </c>
      <c r="H312" s="343">
        <v>0.43847283143081522</v>
      </c>
      <c r="I312" s="343">
        <v>0.40274541553645254</v>
      </c>
      <c r="J312" s="343">
        <v>0.40274541553645254</v>
      </c>
      <c r="K312" s="343">
        <v>0.38650568103901495</v>
      </c>
      <c r="L312" s="343">
        <v>0.45308859247850913</v>
      </c>
      <c r="M312" s="343">
        <v>0.46283243317697159</v>
      </c>
      <c r="N312" s="343">
        <v>0.52860335789159396</v>
      </c>
      <c r="O312" s="343">
        <v>0.56027084016159712</v>
      </c>
      <c r="P312" s="343">
        <v>0.60411812330467884</v>
      </c>
      <c r="Q312" s="343">
        <v>0.62928971177570714</v>
      </c>
      <c r="R312" s="343">
        <v>0.56027084016159712</v>
      </c>
      <c r="S312" s="420">
        <v>5.931420000000001</v>
      </c>
      <c r="T312" s="253">
        <v>1</v>
      </c>
      <c r="U312" s="222">
        <v>0</v>
      </c>
      <c r="V312" s="229">
        <v>1</v>
      </c>
    </row>
    <row r="313" spans="1:22" customFormat="1" x14ac:dyDescent="0.25">
      <c r="A313" s="214">
        <v>18</v>
      </c>
      <c r="B313" s="215" t="s">
        <v>247</v>
      </c>
      <c r="C313" s="254" t="s">
        <v>284</v>
      </c>
      <c r="D313" s="251" t="s">
        <v>283</v>
      </c>
      <c r="E313" s="215" t="s">
        <v>246</v>
      </c>
      <c r="F313" s="216" t="s">
        <v>248</v>
      </c>
      <c r="G313" s="252">
        <v>0.29648500720246007</v>
      </c>
      <c r="H313" s="252">
        <v>0.26683650648221408</v>
      </c>
      <c r="I313" s="252">
        <v>0.23718800576196805</v>
      </c>
      <c r="J313" s="252">
        <v>0.24081638542394485</v>
      </c>
      <c r="K313" s="252">
        <v>0.25586740951294135</v>
      </c>
      <c r="L313" s="252">
        <v>0.27091843360193785</v>
      </c>
      <c r="M313" s="252">
        <v>0.28596945769093446</v>
      </c>
      <c r="N313" s="252">
        <v>0.31607150586892757</v>
      </c>
      <c r="O313" s="252">
        <v>0.37627560222491374</v>
      </c>
      <c r="P313" s="252">
        <v>0.34617355404692063</v>
      </c>
      <c r="Q313" s="252">
        <v>0.36122457813591718</v>
      </c>
      <c r="R313" s="252">
        <v>0.34617355404692063</v>
      </c>
      <c r="S313" s="303">
        <v>3.6000000000000005</v>
      </c>
      <c r="T313" s="253">
        <v>0.25</v>
      </c>
      <c r="U313" s="229">
        <v>1</v>
      </c>
      <c r="V313" s="222">
        <v>0</v>
      </c>
    </row>
    <row r="314" spans="1:22" customFormat="1" x14ac:dyDescent="0.25">
      <c r="A314" s="214">
        <v>18</v>
      </c>
      <c r="B314" s="215" t="s">
        <v>332</v>
      </c>
      <c r="C314" s="254" t="s">
        <v>284</v>
      </c>
      <c r="D314" s="251" t="s">
        <v>283</v>
      </c>
      <c r="E314" s="215" t="s">
        <v>331</v>
      </c>
      <c r="F314" s="216" t="s">
        <v>333</v>
      </c>
      <c r="G314" s="252">
        <v>1.6088223595689599</v>
      </c>
      <c r="H314" s="252">
        <v>1.4479401236120639</v>
      </c>
      <c r="I314" s="252">
        <v>1.2870578876551679</v>
      </c>
      <c r="J314" s="252">
        <v>1.3067466347667793</v>
      </c>
      <c r="K314" s="252">
        <v>1.3884182994397027</v>
      </c>
      <c r="L314" s="252">
        <v>1.4700899641126262</v>
      </c>
      <c r="M314" s="252">
        <v>1.55176162878555</v>
      </c>
      <c r="N314" s="252">
        <v>1.7151049581313975</v>
      </c>
      <c r="O314" s="252">
        <v>2.0417916168230921</v>
      </c>
      <c r="P314" s="252">
        <v>1.8784482874772448</v>
      </c>
      <c r="Q314" s="252">
        <v>1.9601199521501687</v>
      </c>
      <c r="R314" s="252">
        <v>1.8784482874772448</v>
      </c>
      <c r="S314" s="303">
        <v>19.534749999999999</v>
      </c>
      <c r="T314" s="253">
        <v>0.25</v>
      </c>
      <c r="U314" s="222">
        <v>0</v>
      </c>
      <c r="V314" s="229">
        <v>-1</v>
      </c>
    </row>
    <row r="315" spans="1:22" customFormat="1" x14ac:dyDescent="0.25">
      <c r="A315" s="214">
        <v>18</v>
      </c>
      <c r="B315" s="215" t="s">
        <v>335</v>
      </c>
      <c r="C315" s="254" t="s">
        <v>284</v>
      </c>
      <c r="D315" s="251" t="s">
        <v>283</v>
      </c>
      <c r="E315" s="215" t="s">
        <v>334</v>
      </c>
      <c r="F315" s="216" t="s">
        <v>336</v>
      </c>
      <c r="G315" s="252">
        <v>8.7760267927497715</v>
      </c>
      <c r="H315" s="252">
        <v>7.9028137946641728</v>
      </c>
      <c r="I315" s="252">
        <v>8.379232546450373</v>
      </c>
      <c r="J315" s="252">
        <v>8.3822431320505313</v>
      </c>
      <c r="K315" s="252">
        <v>8.7944704356876482</v>
      </c>
      <c r="L315" s="252">
        <v>10.525219854847316</v>
      </c>
      <c r="M315" s="252">
        <v>9.287673134873911</v>
      </c>
      <c r="N315" s="252">
        <v>10.107349539690617</v>
      </c>
      <c r="O315" s="252">
        <v>10.456036320994013</v>
      </c>
      <c r="P315" s="252">
        <v>10.602942707394288</v>
      </c>
      <c r="Q315" s="252">
        <v>10.798517384357561</v>
      </c>
      <c r="R315" s="252">
        <v>9.7936956267291482</v>
      </c>
      <c r="S315" s="303">
        <v>113.80622127048935</v>
      </c>
      <c r="T315" s="253">
        <v>0.25</v>
      </c>
      <c r="U315" s="222">
        <v>0</v>
      </c>
      <c r="V315" s="229">
        <v>1</v>
      </c>
    </row>
    <row r="316" spans="1:22" customFormat="1" x14ac:dyDescent="0.25">
      <c r="A316" s="214">
        <v>18</v>
      </c>
      <c r="B316" s="215" t="s">
        <v>351</v>
      </c>
      <c r="C316" s="254" t="s">
        <v>284</v>
      </c>
      <c r="D316" s="251" t="s">
        <v>283</v>
      </c>
      <c r="E316" s="215" t="s">
        <v>350</v>
      </c>
      <c r="F316" s="216" t="s">
        <v>352</v>
      </c>
      <c r="G316" s="252">
        <v>0</v>
      </c>
      <c r="H316" s="252">
        <v>0</v>
      </c>
      <c r="I316" s="252">
        <v>0</v>
      </c>
      <c r="J316" s="252">
        <v>0</v>
      </c>
      <c r="K316" s="252">
        <v>0</v>
      </c>
      <c r="L316" s="252">
        <v>0</v>
      </c>
      <c r="M316" s="252">
        <v>0</v>
      </c>
      <c r="N316" s="252">
        <v>0</v>
      </c>
      <c r="O316" s="252">
        <v>0</v>
      </c>
      <c r="P316" s="252">
        <v>0</v>
      </c>
      <c r="Q316" s="252">
        <v>0</v>
      </c>
      <c r="R316" s="252">
        <v>0</v>
      </c>
      <c r="S316" s="303">
        <v>0</v>
      </c>
      <c r="T316" s="253">
        <v>0.25</v>
      </c>
      <c r="U316" s="222">
        <v>0</v>
      </c>
      <c r="V316" s="222">
        <v>0</v>
      </c>
    </row>
    <row r="317" spans="1:22" customFormat="1" x14ac:dyDescent="0.25">
      <c r="A317" s="214">
        <v>18</v>
      </c>
      <c r="B317" s="215" t="s">
        <v>351</v>
      </c>
      <c r="C317" s="254" t="s">
        <v>284</v>
      </c>
      <c r="D317" s="251" t="s">
        <v>283</v>
      </c>
      <c r="E317" s="215" t="s">
        <v>379</v>
      </c>
      <c r="F317" s="216" t="s">
        <v>16</v>
      </c>
      <c r="G317" s="252">
        <v>0</v>
      </c>
      <c r="H317" s="252">
        <v>0</v>
      </c>
      <c r="I317" s="252">
        <v>0</v>
      </c>
      <c r="J317" s="252">
        <v>0</v>
      </c>
      <c r="K317" s="252">
        <v>0</v>
      </c>
      <c r="L317" s="252">
        <v>0</v>
      </c>
      <c r="M317" s="252">
        <v>0</v>
      </c>
      <c r="N317" s="252">
        <v>0</v>
      </c>
      <c r="O317" s="252">
        <v>0</v>
      </c>
      <c r="P317" s="252">
        <v>0</v>
      </c>
      <c r="Q317" s="252">
        <v>0</v>
      </c>
      <c r="R317" s="252">
        <v>0</v>
      </c>
      <c r="S317" s="303">
        <v>0</v>
      </c>
      <c r="T317" s="253">
        <v>0.25</v>
      </c>
      <c r="U317" s="222">
        <v>0</v>
      </c>
      <c r="V317" s="222">
        <v>0</v>
      </c>
    </row>
    <row r="318" spans="1:22" customFormat="1" x14ac:dyDescent="0.25">
      <c r="A318" s="214">
        <v>18</v>
      </c>
      <c r="B318" s="215" t="s">
        <v>335</v>
      </c>
      <c r="C318" s="254" t="s">
        <v>284</v>
      </c>
      <c r="D318" s="251" t="s">
        <v>283</v>
      </c>
      <c r="E318" s="215" t="s">
        <v>348</v>
      </c>
      <c r="F318" s="216" t="s">
        <v>349</v>
      </c>
      <c r="G318" s="252">
        <v>8.9913196281468238E-2</v>
      </c>
      <c r="H318" s="252">
        <v>8.0921876653321415E-2</v>
      </c>
      <c r="I318" s="252">
        <v>7.1930557025174591E-2</v>
      </c>
      <c r="J318" s="252">
        <v>7.3030913551831028E-2</v>
      </c>
      <c r="K318" s="252">
        <v>7.7595345648820438E-2</v>
      </c>
      <c r="L318" s="252">
        <v>8.2159777745809875E-2</v>
      </c>
      <c r="M318" s="252">
        <v>8.6724209842799327E-2</v>
      </c>
      <c r="N318" s="252">
        <v>9.5853074036778202E-2</v>
      </c>
      <c r="O318" s="252">
        <v>0.11411080242473595</v>
      </c>
      <c r="P318" s="252">
        <v>0.10498193823075706</v>
      </c>
      <c r="Q318" s="252">
        <v>0.10954637032774651</v>
      </c>
      <c r="R318" s="252">
        <v>0.10498193823075706</v>
      </c>
      <c r="S318" s="303">
        <v>1.0917499999999998</v>
      </c>
      <c r="T318" s="253">
        <v>0.25</v>
      </c>
      <c r="U318" s="222">
        <v>0</v>
      </c>
      <c r="V318" s="229">
        <v>1</v>
      </c>
    </row>
    <row r="319" spans="1:22" customFormat="1" x14ac:dyDescent="0.25">
      <c r="A319" s="214">
        <v>18</v>
      </c>
      <c r="B319" s="215" t="s">
        <v>351</v>
      </c>
      <c r="C319" s="254" t="s">
        <v>284</v>
      </c>
      <c r="D319" s="251" t="s">
        <v>283</v>
      </c>
      <c r="E319" s="215" t="s">
        <v>380</v>
      </c>
      <c r="F319" s="216" t="s">
        <v>381</v>
      </c>
      <c r="G319" s="343">
        <v>5.8523782562385643E-3</v>
      </c>
      <c r="H319" s="343">
        <v>5.267140430614708E-3</v>
      </c>
      <c r="I319" s="343">
        <v>4.6819026049908516E-3</v>
      </c>
      <c r="J319" s="343">
        <v>4.7338772047268857E-3</v>
      </c>
      <c r="K319" s="343">
        <v>5.029744530022316E-3</v>
      </c>
      <c r="L319" s="343">
        <v>5.3256118553177464E-3</v>
      </c>
      <c r="M319" s="343">
        <v>5.6214791806131759E-3</v>
      </c>
      <c r="N319" s="343">
        <v>6.2132138312040383E-3</v>
      </c>
      <c r="O319" s="343">
        <v>6.8049484817948973E-3</v>
      </c>
      <c r="P319" s="343">
        <v>7.1008158070903285E-3</v>
      </c>
      <c r="Q319" s="343">
        <v>7.3966831323857589E-3</v>
      </c>
      <c r="R319" s="343">
        <v>6.8049484817948973E-3</v>
      </c>
      <c r="S319" s="420">
        <v>7.0832743796794162E-2</v>
      </c>
      <c r="T319" s="344">
        <v>0.25</v>
      </c>
      <c r="U319" s="222">
        <v>0</v>
      </c>
      <c r="V319" s="222">
        <v>0</v>
      </c>
    </row>
    <row r="320" spans="1:22" customFormat="1" x14ac:dyDescent="0.25">
      <c r="A320" s="214">
        <v>18</v>
      </c>
      <c r="B320" s="215" t="s">
        <v>351</v>
      </c>
      <c r="C320" s="254" t="s">
        <v>284</v>
      </c>
      <c r="D320" s="251" t="s">
        <v>283</v>
      </c>
      <c r="E320" s="215" t="s">
        <v>382</v>
      </c>
      <c r="F320" s="216" t="s">
        <v>383</v>
      </c>
      <c r="G320" s="252">
        <v>1.9297982614864467E-2</v>
      </c>
      <c r="H320" s="252">
        <v>1.736818435337802E-2</v>
      </c>
      <c r="I320" s="252">
        <v>1.5438386091891574E-2</v>
      </c>
      <c r="J320" s="252">
        <v>1.564598245125624E-2</v>
      </c>
      <c r="K320" s="252">
        <v>1.6623856354459756E-2</v>
      </c>
      <c r="L320" s="252">
        <v>1.7601730257663272E-2</v>
      </c>
      <c r="M320" s="252">
        <v>1.8579604160866785E-2</v>
      </c>
      <c r="N320" s="252">
        <v>2.0535351967273817E-2</v>
      </c>
      <c r="O320" s="252">
        <v>2.2491099773680846E-2</v>
      </c>
      <c r="P320" s="252">
        <v>2.3468973676884362E-2</v>
      </c>
      <c r="Q320" s="252">
        <v>2.4446847580087874E-2</v>
      </c>
      <c r="R320" s="252">
        <v>2.2491099773680846E-2</v>
      </c>
      <c r="S320" s="303">
        <v>0.23398909905598791</v>
      </c>
      <c r="T320" s="253">
        <v>0.25</v>
      </c>
      <c r="U320" s="222">
        <v>0</v>
      </c>
      <c r="V320" s="222">
        <v>0</v>
      </c>
    </row>
    <row r="321" spans="1:22" customFormat="1" x14ac:dyDescent="0.25">
      <c r="A321" s="214">
        <v>18</v>
      </c>
      <c r="B321" s="215" t="s">
        <v>351</v>
      </c>
      <c r="C321" s="254" t="s">
        <v>284</v>
      </c>
      <c r="D321" s="251" t="s">
        <v>283</v>
      </c>
      <c r="E321" s="215" t="s">
        <v>384</v>
      </c>
      <c r="F321" s="216" t="s">
        <v>385</v>
      </c>
      <c r="G321" s="252">
        <v>1.9297982614864467E-2</v>
      </c>
      <c r="H321" s="252">
        <v>1.736818435337802E-2</v>
      </c>
      <c r="I321" s="252">
        <v>1.5438386091891574E-2</v>
      </c>
      <c r="J321" s="252">
        <v>1.564598245125624E-2</v>
      </c>
      <c r="K321" s="252">
        <v>1.6623856354459756E-2</v>
      </c>
      <c r="L321" s="252">
        <v>1.7601730257663272E-2</v>
      </c>
      <c r="M321" s="252">
        <v>1.8579604160866785E-2</v>
      </c>
      <c r="N321" s="252">
        <v>2.0535351967273817E-2</v>
      </c>
      <c r="O321" s="252">
        <v>2.2491099773680846E-2</v>
      </c>
      <c r="P321" s="252">
        <v>2.3468973676884362E-2</v>
      </c>
      <c r="Q321" s="252">
        <v>2.4446847580087874E-2</v>
      </c>
      <c r="R321" s="252">
        <v>2.2491099773680846E-2</v>
      </c>
      <c r="S321" s="303">
        <v>0</v>
      </c>
      <c r="T321" s="253">
        <v>0.25</v>
      </c>
      <c r="U321" s="229">
        <v>1</v>
      </c>
      <c r="V321" s="222">
        <v>0</v>
      </c>
    </row>
    <row r="322" spans="1:22" customFormat="1" x14ac:dyDescent="0.25">
      <c r="A322" s="214">
        <v>18</v>
      </c>
      <c r="B322" s="215" t="s">
        <v>351</v>
      </c>
      <c r="C322" s="358" t="s">
        <v>284</v>
      </c>
      <c r="D322" s="251" t="s">
        <v>283</v>
      </c>
      <c r="E322" s="215" t="s">
        <v>386</v>
      </c>
      <c r="F322" s="216" t="s">
        <v>387</v>
      </c>
      <c r="G322" s="332">
        <v>0.39542574176353951</v>
      </c>
      <c r="H322" s="332">
        <v>0.29888903623357599</v>
      </c>
      <c r="I322" s="332">
        <v>0.26574293319227205</v>
      </c>
      <c r="J322" s="332">
        <v>0.26907484333520737</v>
      </c>
      <c r="K322" s="332">
        <v>0.28565914904927375</v>
      </c>
      <c r="L322" s="332">
        <v>0.30247971316000766</v>
      </c>
      <c r="M322" s="332">
        <v>0.31930027727074162</v>
      </c>
      <c r="N322" s="332">
        <v>0.35265096465900575</v>
      </c>
      <c r="O322" s="332">
        <v>0.38629209288047361</v>
      </c>
      <c r="P322" s="332">
        <v>0.40340309782441136</v>
      </c>
      <c r="Q322" s="332">
        <v>0.42022366193514538</v>
      </c>
      <c r="R322" s="332">
        <v>0.38745385621328871</v>
      </c>
      <c r="S322" s="331">
        <v>4.0865953675169431</v>
      </c>
      <c r="T322" s="357">
        <v>0.25</v>
      </c>
      <c r="U322" s="222">
        <v>0</v>
      </c>
      <c r="V322" s="222">
        <v>0</v>
      </c>
    </row>
    <row r="323" spans="1:22" customFormat="1" x14ac:dyDescent="0.25">
      <c r="A323" s="214">
        <v>18</v>
      </c>
      <c r="B323" s="215" t="s">
        <v>389</v>
      </c>
      <c r="C323" s="358" t="s">
        <v>284</v>
      </c>
      <c r="D323" s="251" t="s">
        <v>283</v>
      </c>
      <c r="E323" s="215" t="s">
        <v>388</v>
      </c>
      <c r="F323" s="216" t="s">
        <v>112</v>
      </c>
      <c r="G323" s="332">
        <v>0.39060435232317836</v>
      </c>
      <c r="H323" s="332">
        <v>0.35154391709086052</v>
      </c>
      <c r="I323" s="332">
        <v>0.31248348185854269</v>
      </c>
      <c r="J323" s="332">
        <v>0.31210552564375349</v>
      </c>
      <c r="K323" s="332">
        <v>0.33161212099648807</v>
      </c>
      <c r="L323" s="332">
        <v>0.35111871634922265</v>
      </c>
      <c r="M323" s="332">
        <v>0.37062531170195723</v>
      </c>
      <c r="N323" s="332">
        <v>0.40963850240742639</v>
      </c>
      <c r="O323" s="332">
        <v>0.4455160630943546</v>
      </c>
      <c r="P323" s="252">
        <v>0.46972610347490062</v>
      </c>
      <c r="Q323" s="252">
        <v>0.48923269882763526</v>
      </c>
      <c r="R323" s="252">
        <v>0.44865169311289554</v>
      </c>
      <c r="S323" s="331">
        <v>4.6828584868812158</v>
      </c>
      <c r="T323" s="253">
        <v>0.25</v>
      </c>
      <c r="U323" s="222">
        <v>0</v>
      </c>
      <c r="V323" s="222">
        <v>0</v>
      </c>
    </row>
    <row r="324" spans="1:22" customFormat="1" x14ac:dyDescent="0.25">
      <c r="A324" s="214">
        <v>18</v>
      </c>
      <c r="B324" s="215" t="s">
        <v>351</v>
      </c>
      <c r="C324" s="254" t="s">
        <v>284</v>
      </c>
      <c r="D324" s="251" t="s">
        <v>283</v>
      </c>
      <c r="E324" s="215" t="s">
        <v>390</v>
      </c>
      <c r="F324" s="216" t="s">
        <v>391</v>
      </c>
      <c r="G324" s="252">
        <v>7.4855009683300805E-2</v>
      </c>
      <c r="H324" s="252">
        <v>6.736950871497073E-2</v>
      </c>
      <c r="I324" s="252">
        <v>5.9884007746640655E-2</v>
      </c>
      <c r="J324" s="252">
        <v>6.1491408026091668E-2</v>
      </c>
      <c r="K324" s="252">
        <v>6.5334621027722389E-2</v>
      </c>
      <c r="L324" s="252">
        <v>6.9177834029353125E-2</v>
      </c>
      <c r="M324" s="252">
        <v>7.3021047030983846E-2</v>
      </c>
      <c r="N324" s="252">
        <v>8.0707473034245317E-2</v>
      </c>
      <c r="O324" s="252">
        <v>8.839389903750676E-2</v>
      </c>
      <c r="P324" s="252">
        <v>9.2237112039137495E-2</v>
      </c>
      <c r="Q324" s="252">
        <v>9.608032504076823E-2</v>
      </c>
      <c r="R324" s="252">
        <v>8.839389903750676E-2</v>
      </c>
      <c r="S324" s="303">
        <v>0.42102294533637147</v>
      </c>
      <c r="T324" s="253">
        <v>0.25</v>
      </c>
      <c r="U324" s="222">
        <v>0</v>
      </c>
      <c r="V324" s="222">
        <v>0</v>
      </c>
    </row>
    <row r="325" spans="1:22" customFormat="1" x14ac:dyDescent="0.25">
      <c r="A325" s="214">
        <v>18</v>
      </c>
      <c r="B325" s="215" t="s">
        <v>393</v>
      </c>
      <c r="C325" s="254" t="s">
        <v>284</v>
      </c>
      <c r="D325" s="251" t="s">
        <v>283</v>
      </c>
      <c r="E325" s="215" t="s">
        <v>392</v>
      </c>
      <c r="F325" s="216" t="s">
        <v>394</v>
      </c>
      <c r="G325" s="252">
        <v>0.12583768135778811</v>
      </c>
      <c r="H325" s="252">
        <v>0.10961820785770381</v>
      </c>
      <c r="I325" s="252">
        <v>0.10068635388411314</v>
      </c>
      <c r="J325" s="252">
        <v>0.10068635388411314</v>
      </c>
      <c r="K325" s="252">
        <v>9.6626420259753737E-2</v>
      </c>
      <c r="L325" s="252">
        <v>0.11327214811962728</v>
      </c>
      <c r="M325" s="252">
        <v>0.1157081082942429</v>
      </c>
      <c r="N325" s="252">
        <v>0.13215083947289849</v>
      </c>
      <c r="O325" s="252">
        <v>0.14006771004039928</v>
      </c>
      <c r="P325" s="252">
        <v>0.15102953082616971</v>
      </c>
      <c r="Q325" s="252">
        <v>0.15732242794392678</v>
      </c>
      <c r="R325" s="252">
        <v>0.14006771004039928</v>
      </c>
      <c r="S325" s="303">
        <v>1.4828550000000003</v>
      </c>
      <c r="T325" s="253">
        <v>0.25</v>
      </c>
      <c r="U325" s="229">
        <v>1</v>
      </c>
      <c r="V325" s="222">
        <v>-1</v>
      </c>
    </row>
    <row r="326" spans="1:22" customFormat="1" x14ac:dyDescent="0.25">
      <c r="A326" s="214">
        <v>17</v>
      </c>
      <c r="B326" s="215" t="s">
        <v>247</v>
      </c>
      <c r="C326" s="254" t="s">
        <v>282</v>
      </c>
      <c r="D326" s="251" t="s">
        <v>281</v>
      </c>
      <c r="E326" s="215" t="s">
        <v>246</v>
      </c>
      <c r="F326" s="216" t="s">
        <v>248</v>
      </c>
      <c r="G326" s="252">
        <v>0.88945502160738021</v>
      </c>
      <c r="H326" s="252">
        <v>0.80050951944664228</v>
      </c>
      <c r="I326" s="252">
        <v>0.71156401728590413</v>
      </c>
      <c r="J326" s="252">
        <v>0.72244915627183448</v>
      </c>
      <c r="K326" s="252">
        <v>0.76760222853882398</v>
      </c>
      <c r="L326" s="252">
        <v>0.81275530080581349</v>
      </c>
      <c r="M326" s="252">
        <v>0.85790837307280343</v>
      </c>
      <c r="N326" s="252">
        <v>0.94821451760678266</v>
      </c>
      <c r="O326" s="252">
        <v>1.1288268066747413</v>
      </c>
      <c r="P326" s="252">
        <v>1.0385206621407619</v>
      </c>
      <c r="Q326" s="252">
        <v>1.0836737344077516</v>
      </c>
      <c r="R326" s="252">
        <v>1.0385206621407619</v>
      </c>
      <c r="S326" s="303">
        <v>10.8</v>
      </c>
      <c r="T326" s="253">
        <v>0.75</v>
      </c>
      <c r="U326" s="222">
        <v>0</v>
      </c>
      <c r="V326" s="222">
        <v>0</v>
      </c>
    </row>
    <row r="327" spans="1:22" customFormat="1" x14ac:dyDescent="0.25">
      <c r="A327" s="214">
        <v>17</v>
      </c>
      <c r="B327" s="215" t="s">
        <v>332</v>
      </c>
      <c r="C327" s="254" t="s">
        <v>282</v>
      </c>
      <c r="D327" s="251" t="s">
        <v>281</v>
      </c>
      <c r="E327" s="215" t="s">
        <v>331</v>
      </c>
      <c r="F327" s="216" t="s">
        <v>333</v>
      </c>
      <c r="G327" s="252">
        <v>4.8264670787068802</v>
      </c>
      <c r="H327" s="252">
        <v>4.343820370836192</v>
      </c>
      <c r="I327" s="252">
        <v>3.8611736629655038</v>
      </c>
      <c r="J327" s="252">
        <v>3.9202399043003382</v>
      </c>
      <c r="K327" s="252">
        <v>4.165254898319108</v>
      </c>
      <c r="L327" s="252">
        <v>4.4102698923378787</v>
      </c>
      <c r="M327" s="252">
        <v>4.6552848863566503</v>
      </c>
      <c r="N327" s="252">
        <v>5.1453148743941926</v>
      </c>
      <c r="O327" s="252">
        <v>6.1253748504692762</v>
      </c>
      <c r="P327" s="252">
        <v>5.6353448624317348</v>
      </c>
      <c r="Q327" s="252">
        <v>5.8803598564505055</v>
      </c>
      <c r="R327" s="252">
        <v>5.6353448624317348</v>
      </c>
      <c r="S327" s="303">
        <v>58.604249999999993</v>
      </c>
      <c r="T327" s="253">
        <v>0.75</v>
      </c>
      <c r="U327" s="222">
        <v>0</v>
      </c>
      <c r="V327" s="222">
        <v>0</v>
      </c>
    </row>
    <row r="328" spans="1:22" customFormat="1" x14ac:dyDescent="0.25">
      <c r="A328" s="214">
        <v>17</v>
      </c>
      <c r="B328" s="215" t="s">
        <v>335</v>
      </c>
      <c r="C328" s="254" t="s">
        <v>282</v>
      </c>
      <c r="D328" s="251" t="s">
        <v>281</v>
      </c>
      <c r="E328" s="215" t="s">
        <v>334</v>
      </c>
      <c r="F328" s="216" t="s">
        <v>336</v>
      </c>
      <c r="G328" s="252">
        <v>25.649600771519996</v>
      </c>
      <c r="H328" s="252">
        <v>22.625516494368</v>
      </c>
      <c r="I328" s="252">
        <v>20.519680617215997</v>
      </c>
      <c r="J328" s="252">
        <v>20.519680617216004</v>
      </c>
      <c r="K328" s="252">
        <v>20.501308755791989</v>
      </c>
      <c r="L328" s="252">
        <v>23.084640694368005</v>
      </c>
      <c r="M328" s="252">
        <v>23.882489632943994</v>
      </c>
      <c r="N328" s="252">
        <v>26.932080810096011</v>
      </c>
      <c r="O328" s="252">
        <v>28.910382187247993</v>
      </c>
      <c r="P328" s="252">
        <v>30.779520925824006</v>
      </c>
      <c r="Q328" s="252">
        <v>32.062000964400006</v>
      </c>
      <c r="R328" s="252">
        <v>28.910382187248004</v>
      </c>
      <c r="S328" s="303">
        <v>304.37728465824</v>
      </c>
      <c r="T328" s="253"/>
      <c r="U328" s="222">
        <v>0</v>
      </c>
      <c r="V328" s="222">
        <v>0</v>
      </c>
    </row>
    <row r="329" spans="1:22" customFormat="1" x14ac:dyDescent="0.25">
      <c r="A329" s="214">
        <v>17</v>
      </c>
      <c r="B329" s="215" t="s">
        <v>351</v>
      </c>
      <c r="C329" s="254" t="s">
        <v>282</v>
      </c>
      <c r="D329" s="251" t="s">
        <v>281</v>
      </c>
      <c r="E329" s="215" t="s">
        <v>350</v>
      </c>
      <c r="F329" s="216" t="s">
        <v>352</v>
      </c>
      <c r="G329" s="252">
        <v>0</v>
      </c>
      <c r="H329" s="252">
        <v>0</v>
      </c>
      <c r="I329" s="252">
        <v>0</v>
      </c>
      <c r="J329" s="252">
        <v>0</v>
      </c>
      <c r="K329" s="252">
        <v>0</v>
      </c>
      <c r="L329" s="252">
        <v>0</v>
      </c>
      <c r="M329" s="252">
        <v>0</v>
      </c>
      <c r="N329" s="252">
        <v>0</v>
      </c>
      <c r="O329" s="252">
        <v>0</v>
      </c>
      <c r="P329" s="252">
        <v>0</v>
      </c>
      <c r="Q329" s="252">
        <v>0</v>
      </c>
      <c r="R329" s="252">
        <v>0</v>
      </c>
      <c r="S329" s="303">
        <v>0</v>
      </c>
      <c r="T329" s="253">
        <v>0.75</v>
      </c>
      <c r="U329" s="222">
        <v>0</v>
      </c>
      <c r="V329" s="222">
        <v>1</v>
      </c>
    </row>
    <row r="330" spans="1:22" customFormat="1" x14ac:dyDescent="0.25">
      <c r="A330" s="214">
        <v>17</v>
      </c>
      <c r="B330" s="215" t="s">
        <v>351</v>
      </c>
      <c r="C330" s="254" t="s">
        <v>282</v>
      </c>
      <c r="D330" s="251" t="s">
        <v>281</v>
      </c>
      <c r="E330" s="215" t="s">
        <v>379</v>
      </c>
      <c r="F330" s="216" t="s">
        <v>16</v>
      </c>
      <c r="G330" s="252">
        <v>0</v>
      </c>
      <c r="H330" s="252">
        <v>0</v>
      </c>
      <c r="I330" s="252">
        <v>0</v>
      </c>
      <c r="J330" s="252">
        <v>0</v>
      </c>
      <c r="K330" s="252">
        <v>0</v>
      </c>
      <c r="L330" s="252">
        <v>0</v>
      </c>
      <c r="M330" s="252">
        <v>0</v>
      </c>
      <c r="N330" s="252">
        <v>0</v>
      </c>
      <c r="O330" s="252">
        <v>0</v>
      </c>
      <c r="P330" s="252">
        <v>0</v>
      </c>
      <c r="Q330" s="252">
        <v>0</v>
      </c>
      <c r="R330" s="252">
        <v>0</v>
      </c>
      <c r="S330" s="303">
        <v>0</v>
      </c>
      <c r="T330" s="253">
        <v>0.75</v>
      </c>
      <c r="U330" s="222">
        <v>0</v>
      </c>
      <c r="V330" s="222">
        <v>1</v>
      </c>
    </row>
    <row r="331" spans="1:22" customFormat="1" x14ac:dyDescent="0.25">
      <c r="A331" s="214">
        <v>17</v>
      </c>
      <c r="B331" s="215" t="s">
        <v>335</v>
      </c>
      <c r="C331" s="254" t="s">
        <v>282</v>
      </c>
      <c r="D331" s="251" t="s">
        <v>281</v>
      </c>
      <c r="E331" s="215" t="s">
        <v>348</v>
      </c>
      <c r="F331" s="216" t="s">
        <v>349</v>
      </c>
      <c r="G331" s="252">
        <v>0.26973958884440474</v>
      </c>
      <c r="H331" s="252">
        <v>0.24276562995996426</v>
      </c>
      <c r="I331" s="252">
        <v>0.21579167107552377</v>
      </c>
      <c r="J331" s="252">
        <v>0.21909274065549308</v>
      </c>
      <c r="K331" s="252">
        <v>0.23278603694646133</v>
      </c>
      <c r="L331" s="252">
        <v>0.24647933323742963</v>
      </c>
      <c r="M331" s="252">
        <v>0.26017262952839798</v>
      </c>
      <c r="N331" s="252">
        <v>0.28755922211033458</v>
      </c>
      <c r="O331" s="252">
        <v>0.34233240727420788</v>
      </c>
      <c r="P331" s="252">
        <v>0.31494581469227118</v>
      </c>
      <c r="Q331" s="252">
        <v>0.32863911098323956</v>
      </c>
      <c r="R331" s="252">
        <v>0.31494581469227118</v>
      </c>
      <c r="S331" s="303">
        <v>3.2752499999999993</v>
      </c>
      <c r="T331" s="253">
        <v>0.75</v>
      </c>
      <c r="U331" s="222">
        <v>0</v>
      </c>
      <c r="V331" s="222">
        <v>1</v>
      </c>
    </row>
    <row r="332" spans="1:22" customFormat="1" x14ac:dyDescent="0.25">
      <c r="A332" s="214">
        <v>17</v>
      </c>
      <c r="B332" s="215" t="s">
        <v>351</v>
      </c>
      <c r="C332" s="254" t="s">
        <v>282</v>
      </c>
      <c r="D332" s="251" t="s">
        <v>281</v>
      </c>
      <c r="E332" s="215" t="s">
        <v>380</v>
      </c>
      <c r="F332" s="216" t="s">
        <v>381</v>
      </c>
      <c r="G332" s="343">
        <v>1.7557134768715694E-2</v>
      </c>
      <c r="H332" s="343">
        <v>1.5801421291844125E-2</v>
      </c>
      <c r="I332" s="343">
        <v>1.4045707814972556E-2</v>
      </c>
      <c r="J332" s="343">
        <v>1.4201631614180657E-2</v>
      </c>
      <c r="K332" s="343">
        <v>1.5089233590066947E-2</v>
      </c>
      <c r="L332" s="343">
        <v>1.5976835565953237E-2</v>
      </c>
      <c r="M332" s="343">
        <v>1.6864437541839528E-2</v>
      </c>
      <c r="N332" s="343">
        <v>1.8639641493612115E-2</v>
      </c>
      <c r="O332" s="343">
        <v>2.0414845445384692E-2</v>
      </c>
      <c r="P332" s="343">
        <v>2.1302447421270986E-2</v>
      </c>
      <c r="Q332" s="343">
        <v>2.2190049397157276E-2</v>
      </c>
      <c r="R332" s="343">
        <v>2.0414845445384692E-2</v>
      </c>
      <c r="S332" s="420">
        <v>0.21249823139038249</v>
      </c>
      <c r="T332" s="344">
        <v>0.75</v>
      </c>
      <c r="U332" s="222">
        <v>0</v>
      </c>
      <c r="V332" s="222">
        <v>-1</v>
      </c>
    </row>
    <row r="333" spans="1:22" customFormat="1" x14ac:dyDescent="0.25">
      <c r="A333" s="214">
        <v>17</v>
      </c>
      <c r="B333" s="215" t="s">
        <v>351</v>
      </c>
      <c r="C333" s="254" t="s">
        <v>282</v>
      </c>
      <c r="D333" s="251" t="s">
        <v>281</v>
      </c>
      <c r="E333" s="215" t="s">
        <v>382</v>
      </c>
      <c r="F333" s="216" t="s">
        <v>383</v>
      </c>
      <c r="G333" s="252">
        <v>5.7893947844593396E-2</v>
      </c>
      <c r="H333" s="252">
        <v>5.2104553060134062E-2</v>
      </c>
      <c r="I333" s="252">
        <v>4.6315158275674721E-2</v>
      </c>
      <c r="J333" s="252">
        <v>4.6937947353768716E-2</v>
      </c>
      <c r="K333" s="252">
        <v>4.9871569063379265E-2</v>
      </c>
      <c r="L333" s="252">
        <v>5.2805190772989813E-2</v>
      </c>
      <c r="M333" s="252">
        <v>5.5738812482600354E-2</v>
      </c>
      <c r="N333" s="252">
        <v>6.1606055901821451E-2</v>
      </c>
      <c r="O333" s="252">
        <v>6.747329932104254E-2</v>
      </c>
      <c r="P333" s="252">
        <v>7.0406921030653088E-2</v>
      </c>
      <c r="Q333" s="252">
        <v>7.3340542740263623E-2</v>
      </c>
      <c r="R333" s="252">
        <v>6.747329932104254E-2</v>
      </c>
      <c r="S333" s="303">
        <v>0.7019672971679638</v>
      </c>
      <c r="T333" s="253">
        <v>0.75</v>
      </c>
      <c r="U333" s="222"/>
      <c r="V333" s="222"/>
    </row>
    <row r="334" spans="1:22" customFormat="1" x14ac:dyDescent="0.25">
      <c r="A334" s="214">
        <v>17</v>
      </c>
      <c r="B334" s="215" t="s">
        <v>351</v>
      </c>
      <c r="C334" s="254" t="s">
        <v>282</v>
      </c>
      <c r="D334" s="251" t="s">
        <v>281</v>
      </c>
      <c r="E334" s="215" t="s">
        <v>384</v>
      </c>
      <c r="F334" s="216" t="s">
        <v>385</v>
      </c>
      <c r="G334" s="252">
        <v>5.7893947844593396E-2</v>
      </c>
      <c r="H334" s="252">
        <v>5.2104553060134062E-2</v>
      </c>
      <c r="I334" s="252">
        <v>4.6315158275674721E-2</v>
      </c>
      <c r="J334" s="252">
        <v>4.6937947353768716E-2</v>
      </c>
      <c r="K334" s="252">
        <v>4.9871569063379265E-2</v>
      </c>
      <c r="L334" s="252">
        <v>5.2805190772989813E-2</v>
      </c>
      <c r="M334" s="252">
        <v>5.5738812482600354E-2</v>
      </c>
      <c r="N334" s="252">
        <v>6.1606055901821451E-2</v>
      </c>
      <c r="O334" s="252">
        <v>6.747329932104254E-2</v>
      </c>
      <c r="P334" s="252">
        <v>7.0406921030653088E-2</v>
      </c>
      <c r="Q334" s="252">
        <v>7.3340542740263623E-2</v>
      </c>
      <c r="R334" s="252">
        <v>6.747329932104254E-2</v>
      </c>
      <c r="S334" s="303">
        <v>0</v>
      </c>
      <c r="T334" s="253">
        <v>0.75</v>
      </c>
      <c r="U334" s="222"/>
      <c r="V334" s="222"/>
    </row>
    <row r="335" spans="1:22" customFormat="1" x14ac:dyDescent="0.25">
      <c r="A335" s="214">
        <v>17</v>
      </c>
      <c r="B335" s="215" t="s">
        <v>351</v>
      </c>
      <c r="C335" s="358" t="s">
        <v>282</v>
      </c>
      <c r="D335" s="251" t="s">
        <v>281</v>
      </c>
      <c r="E335" s="215" t="s">
        <v>386</v>
      </c>
      <c r="F335" s="216" t="s">
        <v>387</v>
      </c>
      <c r="G335" s="332">
        <v>1.1862772252906186</v>
      </c>
      <c r="H335" s="332">
        <v>0.89666710870072797</v>
      </c>
      <c r="I335" s="332">
        <v>0.79722879957681614</v>
      </c>
      <c r="J335" s="332">
        <v>0.80722453000562211</v>
      </c>
      <c r="K335" s="332">
        <v>0.85697744714782131</v>
      </c>
      <c r="L335" s="332">
        <v>0.90743913948002297</v>
      </c>
      <c r="M335" s="332">
        <v>0.95790083181222485</v>
      </c>
      <c r="N335" s="332">
        <v>1.0579528939770173</v>
      </c>
      <c r="O335" s="332">
        <v>1.1588762786414208</v>
      </c>
      <c r="P335" s="332">
        <v>1.210209293473234</v>
      </c>
      <c r="Q335" s="332">
        <v>1.2606709858054361</v>
      </c>
      <c r="R335" s="332">
        <v>1.1623615686398661</v>
      </c>
      <c r="S335" s="331">
        <v>12.25978610255083</v>
      </c>
      <c r="T335" s="357">
        <v>0.75</v>
      </c>
      <c r="U335" s="222"/>
      <c r="V335" s="222"/>
    </row>
    <row r="336" spans="1:22" customFormat="1" x14ac:dyDescent="0.25">
      <c r="A336" s="214">
        <v>17</v>
      </c>
      <c r="B336" s="215" t="s">
        <v>389</v>
      </c>
      <c r="C336" s="358" t="s">
        <v>282</v>
      </c>
      <c r="D336" s="251" t="s">
        <v>281</v>
      </c>
      <c r="E336" s="215" t="s">
        <v>388</v>
      </c>
      <c r="F336" s="216" t="s">
        <v>112</v>
      </c>
      <c r="G336" s="332">
        <v>1.1718130569695351</v>
      </c>
      <c r="H336" s="332">
        <v>1.0546317512725816</v>
      </c>
      <c r="I336" s="332">
        <v>0.93745044557562807</v>
      </c>
      <c r="J336" s="332">
        <v>0.93631657693126047</v>
      </c>
      <c r="K336" s="332">
        <v>0.99483636298946421</v>
      </c>
      <c r="L336" s="332">
        <v>1.0533561490476679</v>
      </c>
      <c r="M336" s="332">
        <v>1.1118759351058718</v>
      </c>
      <c r="N336" s="332">
        <v>1.228915507222279</v>
      </c>
      <c r="O336" s="332">
        <v>1.3365481892830637</v>
      </c>
      <c r="P336" s="252">
        <v>1.4091783104247018</v>
      </c>
      <c r="Q336" s="252">
        <v>1.4676980964829058</v>
      </c>
      <c r="R336" s="252">
        <v>1.3459550793386867</v>
      </c>
      <c r="S336" s="331">
        <v>14.048575460643647</v>
      </c>
      <c r="T336" s="253">
        <v>0.75</v>
      </c>
      <c r="U336" s="437"/>
      <c r="V336" s="437"/>
    </row>
    <row r="337" spans="1:22" customFormat="1" x14ac:dyDescent="0.25">
      <c r="A337" s="214">
        <v>17</v>
      </c>
      <c r="B337" s="215" t="s">
        <v>351</v>
      </c>
      <c r="C337" s="254" t="s">
        <v>282</v>
      </c>
      <c r="D337" s="251" t="s">
        <v>281</v>
      </c>
      <c r="E337" s="215" t="s">
        <v>390</v>
      </c>
      <c r="F337" s="216" t="s">
        <v>391</v>
      </c>
      <c r="G337" s="252">
        <v>0.22456502904990241</v>
      </c>
      <c r="H337" s="252">
        <v>0.2021085261449122</v>
      </c>
      <c r="I337" s="252">
        <v>0.17965202323992197</v>
      </c>
      <c r="J337" s="252">
        <v>0.18447422407827502</v>
      </c>
      <c r="K337" s="252">
        <v>0.19600386308316717</v>
      </c>
      <c r="L337" s="252">
        <v>0.20753350208805937</v>
      </c>
      <c r="M337" s="252">
        <v>0.21906314109295155</v>
      </c>
      <c r="N337" s="252">
        <v>0.24212241910273596</v>
      </c>
      <c r="O337" s="252">
        <v>0.26518169711252026</v>
      </c>
      <c r="P337" s="252">
        <v>0.2767113361174125</v>
      </c>
      <c r="Q337" s="252">
        <v>0.28824097512230468</v>
      </c>
      <c r="R337" s="252">
        <v>0.26518169711252026</v>
      </c>
      <c r="S337" s="303">
        <v>1.2630688360091145</v>
      </c>
      <c r="T337" s="253">
        <v>0.75</v>
      </c>
      <c r="U337" s="222"/>
      <c r="V337" s="222"/>
    </row>
    <row r="338" spans="1:22" customFormat="1" x14ac:dyDescent="0.25">
      <c r="A338" s="214">
        <v>17</v>
      </c>
      <c r="B338" s="215" t="s">
        <v>393</v>
      </c>
      <c r="C338" s="254" t="s">
        <v>282</v>
      </c>
      <c r="D338" s="251" t="s">
        <v>281</v>
      </c>
      <c r="E338" s="215" t="s">
        <v>392</v>
      </c>
      <c r="F338" s="216" t="s">
        <v>394</v>
      </c>
      <c r="G338" s="252">
        <v>0.37751304407336433</v>
      </c>
      <c r="H338" s="252">
        <v>0.3288546235731114</v>
      </c>
      <c r="I338" s="252">
        <v>0.30205906165233942</v>
      </c>
      <c r="J338" s="252">
        <v>0.30205906165233942</v>
      </c>
      <c r="K338" s="252">
        <v>0.28987926077926118</v>
      </c>
      <c r="L338" s="252">
        <v>0.33981644435888186</v>
      </c>
      <c r="M338" s="252">
        <v>0.34712432488272871</v>
      </c>
      <c r="N338" s="252">
        <v>0.39645251841869544</v>
      </c>
      <c r="O338" s="252">
        <v>0.42020313012119781</v>
      </c>
      <c r="P338" s="252">
        <v>0.45308859247850913</v>
      </c>
      <c r="Q338" s="252">
        <v>0.47196728383178033</v>
      </c>
      <c r="R338" s="252">
        <v>0.42020313012119781</v>
      </c>
      <c r="S338" s="303">
        <v>4.4485650000000003</v>
      </c>
      <c r="T338" s="253">
        <v>0.75</v>
      </c>
      <c r="U338" s="222"/>
      <c r="V338" s="222"/>
    </row>
    <row r="339" spans="1:22" customFormat="1" x14ac:dyDescent="0.25">
      <c r="A339" s="214">
        <v>4</v>
      </c>
      <c r="B339" s="215" t="s">
        <v>247</v>
      </c>
      <c r="C339" s="233" t="s">
        <v>256</v>
      </c>
      <c r="D339" s="232" t="s">
        <v>255</v>
      </c>
      <c r="E339" s="215" t="s">
        <v>246</v>
      </c>
      <c r="F339" s="216" t="s">
        <v>248</v>
      </c>
      <c r="G339" s="426">
        <v>1.2248972958766697</v>
      </c>
      <c r="H339" s="426">
        <v>0.11424616720439514</v>
      </c>
      <c r="I339" s="426">
        <v>0</v>
      </c>
      <c r="J339" s="426">
        <v>0</v>
      </c>
      <c r="K339" s="426">
        <v>0</v>
      </c>
      <c r="L339" s="426">
        <v>1.7684378049107601E-2</v>
      </c>
      <c r="M339" s="426">
        <v>0.4171667821993249</v>
      </c>
      <c r="N339" s="426">
        <v>1.8453205488619684</v>
      </c>
      <c r="O339" s="426">
        <v>5.4422825496963902</v>
      </c>
      <c r="P339" s="426">
        <v>3.7815138568614279</v>
      </c>
      <c r="Q339" s="426">
        <v>5.0207909218029352</v>
      </c>
      <c r="R339" s="426">
        <v>3.2861316488239205</v>
      </c>
      <c r="S339" s="418">
        <v>21.15003414937614</v>
      </c>
      <c r="T339" s="430">
        <v>1</v>
      </c>
      <c r="U339" s="222"/>
      <c r="V339" s="222"/>
    </row>
    <row r="340" spans="1:22" customFormat="1" x14ac:dyDescent="0.25">
      <c r="A340" s="214">
        <v>4</v>
      </c>
      <c r="B340" s="215" t="s">
        <v>332</v>
      </c>
      <c r="C340" s="233" t="s">
        <v>256</v>
      </c>
      <c r="D340" s="232" t="s">
        <v>255</v>
      </c>
      <c r="E340" s="215" t="s">
        <v>331</v>
      </c>
      <c r="F340" s="216" t="s">
        <v>333</v>
      </c>
      <c r="G340" s="426">
        <v>0.92734128700158958</v>
      </c>
      <c r="H340" s="426">
        <v>1.0008159857453121</v>
      </c>
      <c r="I340" s="426">
        <v>1.5382217359843253</v>
      </c>
      <c r="J340" s="426">
        <v>1.8960577505636391</v>
      </c>
      <c r="K340" s="426">
        <v>2.4315800907248062</v>
      </c>
      <c r="L340" s="426">
        <v>3.3031309776230713</v>
      </c>
      <c r="M340" s="426">
        <v>3.1514841725302496</v>
      </c>
      <c r="N340" s="426">
        <v>2.2826209066734235</v>
      </c>
      <c r="O340" s="426">
        <v>0.75968880413383177</v>
      </c>
      <c r="P340" s="426">
        <v>1.3540003439718855</v>
      </c>
      <c r="Q340" s="426">
        <v>0.63528385419760314</v>
      </c>
      <c r="R340" s="426">
        <v>0.66746147546734569</v>
      </c>
      <c r="S340" s="418">
        <v>19.94768738461708</v>
      </c>
      <c r="T340" s="430">
        <v>1</v>
      </c>
      <c r="U340" s="222"/>
      <c r="V340" s="222"/>
    </row>
    <row r="341" spans="1:22" customFormat="1" x14ac:dyDescent="0.25">
      <c r="A341" s="214">
        <v>4</v>
      </c>
      <c r="B341" s="215" t="s">
        <v>335</v>
      </c>
      <c r="C341" s="233" t="s">
        <v>256</v>
      </c>
      <c r="D341" s="232" t="s">
        <v>255</v>
      </c>
      <c r="E341" s="215" t="s">
        <v>334</v>
      </c>
      <c r="F341" s="216" t="s">
        <v>336</v>
      </c>
      <c r="G341" s="426">
        <v>0.88876282051282063</v>
      </c>
      <c r="H341" s="426">
        <v>0.28692232767232767</v>
      </c>
      <c r="I341" s="426">
        <v>0</v>
      </c>
      <c r="J341" s="426">
        <v>0</v>
      </c>
      <c r="K341" s="426">
        <v>0</v>
      </c>
      <c r="L341" s="426">
        <v>0</v>
      </c>
      <c r="M341" s="426">
        <v>0.41063076923076924</v>
      </c>
      <c r="N341" s="426">
        <v>0.96732307692307673</v>
      </c>
      <c r="O341" s="426">
        <v>2.1791999999999994</v>
      </c>
      <c r="P341" s="426">
        <v>1.5957384615384618</v>
      </c>
      <c r="Q341" s="426">
        <v>2.3278102564102561</v>
      </c>
      <c r="R341" s="426">
        <v>1.5737641025641029</v>
      </c>
      <c r="S341" s="418">
        <v>10.230151814851816</v>
      </c>
      <c r="T341" s="430">
        <v>1</v>
      </c>
      <c r="U341" s="437"/>
      <c r="V341" s="437"/>
    </row>
    <row r="342" spans="1:22" customFormat="1" x14ac:dyDescent="0.25">
      <c r="A342" s="214">
        <v>4</v>
      </c>
      <c r="B342" s="215" t="s">
        <v>351</v>
      </c>
      <c r="C342" s="233" t="s">
        <v>256</v>
      </c>
      <c r="D342" s="232" t="s">
        <v>255</v>
      </c>
      <c r="E342" s="215" t="s">
        <v>350</v>
      </c>
      <c r="F342" s="216" t="s">
        <v>352</v>
      </c>
      <c r="G342" s="424">
        <v>0</v>
      </c>
      <c r="H342" s="424">
        <v>0</v>
      </c>
      <c r="I342" s="424">
        <v>0</v>
      </c>
      <c r="J342" s="424">
        <v>0</v>
      </c>
      <c r="K342" s="424">
        <v>0</v>
      </c>
      <c r="L342" s="424">
        <v>0</v>
      </c>
      <c r="M342" s="424">
        <v>0</v>
      </c>
      <c r="N342" s="424">
        <v>0</v>
      </c>
      <c r="O342" s="424">
        <v>0</v>
      </c>
      <c r="P342" s="424">
        <v>0</v>
      </c>
      <c r="Q342" s="424">
        <v>0</v>
      </c>
      <c r="R342" s="424">
        <v>0</v>
      </c>
      <c r="S342" s="415">
        <v>0</v>
      </c>
      <c r="T342" s="431">
        <v>1</v>
      </c>
      <c r="U342" s="437"/>
      <c r="V342" s="437"/>
    </row>
    <row r="343" spans="1:22" customFormat="1" x14ac:dyDescent="0.25">
      <c r="A343" s="214">
        <v>4</v>
      </c>
      <c r="B343" s="215" t="s">
        <v>351</v>
      </c>
      <c r="C343" s="233" t="s">
        <v>256</v>
      </c>
      <c r="D343" s="232" t="s">
        <v>255</v>
      </c>
      <c r="E343" s="215" t="s">
        <v>379</v>
      </c>
      <c r="F343" s="216" t="s">
        <v>16</v>
      </c>
      <c r="G343" s="424">
        <v>0</v>
      </c>
      <c r="H343" s="424">
        <v>0</v>
      </c>
      <c r="I343" s="424">
        <v>0</v>
      </c>
      <c r="J343" s="424">
        <v>0</v>
      </c>
      <c r="K343" s="424">
        <v>0</v>
      </c>
      <c r="L343" s="424">
        <v>0</v>
      </c>
      <c r="M343" s="424">
        <v>0</v>
      </c>
      <c r="N343" s="424">
        <v>0</v>
      </c>
      <c r="O343" s="424">
        <v>0</v>
      </c>
      <c r="P343" s="424">
        <v>0</v>
      </c>
      <c r="Q343" s="424">
        <v>0</v>
      </c>
      <c r="R343" s="424">
        <v>0</v>
      </c>
      <c r="S343" s="415">
        <v>0</v>
      </c>
      <c r="T343" s="431">
        <v>1</v>
      </c>
      <c r="U343" s="437"/>
      <c r="V343" s="437"/>
    </row>
    <row r="344" spans="1:22" customFormat="1" x14ac:dyDescent="0.25">
      <c r="A344" s="214">
        <v>4</v>
      </c>
      <c r="B344" s="215" t="s">
        <v>335</v>
      </c>
      <c r="C344" s="233" t="s">
        <v>256</v>
      </c>
      <c r="D344" s="232" t="s">
        <v>255</v>
      </c>
      <c r="E344" s="215" t="s">
        <v>348</v>
      </c>
      <c r="F344" s="216" t="s">
        <v>349</v>
      </c>
      <c r="G344" s="425">
        <v>0.37730112552699374</v>
      </c>
      <c r="H344" s="425">
        <v>0.37702857004682133</v>
      </c>
      <c r="I344" s="425">
        <v>1.3069044721432286</v>
      </c>
      <c r="J344" s="425">
        <v>1.218363268199347</v>
      </c>
      <c r="K344" s="425">
        <v>1.6181281610294507</v>
      </c>
      <c r="L344" s="425">
        <v>3.8176019061835427</v>
      </c>
      <c r="M344" s="425">
        <v>3.985532977224667</v>
      </c>
      <c r="N344" s="425">
        <v>1.6682601018029297</v>
      </c>
      <c r="O344" s="425">
        <v>0.74277930408245074</v>
      </c>
      <c r="P344" s="425">
        <v>0.565601710302162</v>
      </c>
      <c r="Q344" s="425">
        <v>0.56979345318797048</v>
      </c>
      <c r="R344" s="425">
        <v>0.41587425059308641</v>
      </c>
      <c r="S344" s="413">
        <v>16.66316930032265</v>
      </c>
      <c r="T344" s="430">
        <v>1</v>
      </c>
      <c r="U344" s="437"/>
      <c r="V344" s="437"/>
    </row>
    <row r="345" spans="1:22" customFormat="1" x14ac:dyDescent="0.25">
      <c r="A345" s="214">
        <v>4</v>
      </c>
      <c r="B345" s="215" t="s">
        <v>351</v>
      </c>
      <c r="C345" s="233" t="s">
        <v>256</v>
      </c>
      <c r="D345" s="232" t="s">
        <v>255</v>
      </c>
      <c r="E345" s="215" t="s">
        <v>380</v>
      </c>
      <c r="F345" s="216" t="s">
        <v>381</v>
      </c>
      <c r="G345" s="424">
        <v>0</v>
      </c>
      <c r="H345" s="424">
        <v>0</v>
      </c>
      <c r="I345" s="424">
        <v>0</v>
      </c>
      <c r="J345" s="424">
        <v>0</v>
      </c>
      <c r="K345" s="424">
        <v>0</v>
      </c>
      <c r="L345" s="424">
        <v>0</v>
      </c>
      <c r="M345" s="424">
        <v>0</v>
      </c>
      <c r="N345" s="424">
        <v>0</v>
      </c>
      <c r="O345" s="424">
        <v>0</v>
      </c>
      <c r="P345" s="424">
        <v>0</v>
      </c>
      <c r="Q345" s="424">
        <v>0</v>
      </c>
      <c r="R345" s="424">
        <v>0</v>
      </c>
      <c r="S345" s="415">
        <v>0</v>
      </c>
      <c r="T345" s="431">
        <v>1</v>
      </c>
      <c r="U345" s="437"/>
      <c r="V345" s="437"/>
    </row>
    <row r="346" spans="1:22" customFormat="1" x14ac:dyDescent="0.25">
      <c r="A346" s="214">
        <v>4</v>
      </c>
      <c r="B346" s="215" t="s">
        <v>351</v>
      </c>
      <c r="C346" s="233" t="s">
        <v>256</v>
      </c>
      <c r="D346" s="232" t="s">
        <v>255</v>
      </c>
      <c r="E346" s="215" t="s">
        <v>382</v>
      </c>
      <c r="F346" s="216" t="s">
        <v>383</v>
      </c>
      <c r="G346" s="424">
        <v>0</v>
      </c>
      <c r="H346" s="424">
        <v>0</v>
      </c>
      <c r="I346" s="424">
        <v>0</v>
      </c>
      <c r="J346" s="424">
        <v>0</v>
      </c>
      <c r="K346" s="424">
        <v>0</v>
      </c>
      <c r="L346" s="424">
        <v>0</v>
      </c>
      <c r="M346" s="424">
        <v>0</v>
      </c>
      <c r="N346" s="424">
        <v>0</v>
      </c>
      <c r="O346" s="424">
        <v>0</v>
      </c>
      <c r="P346" s="424">
        <v>0</v>
      </c>
      <c r="Q346" s="424">
        <v>0</v>
      </c>
      <c r="R346" s="424">
        <v>0</v>
      </c>
      <c r="S346" s="415">
        <v>0</v>
      </c>
      <c r="T346" s="431">
        <v>1</v>
      </c>
      <c r="U346" s="437"/>
      <c r="V346" s="437"/>
    </row>
    <row r="347" spans="1:22" customFormat="1" x14ac:dyDescent="0.25">
      <c r="A347" s="214">
        <v>4</v>
      </c>
      <c r="B347" s="215" t="s">
        <v>351</v>
      </c>
      <c r="C347" s="233" t="s">
        <v>256</v>
      </c>
      <c r="D347" s="232" t="s">
        <v>255</v>
      </c>
      <c r="E347" s="215" t="s">
        <v>384</v>
      </c>
      <c r="F347" s="216" t="s">
        <v>385</v>
      </c>
      <c r="G347" s="424">
        <v>0</v>
      </c>
      <c r="H347" s="424">
        <v>0</v>
      </c>
      <c r="I347" s="424">
        <v>0</v>
      </c>
      <c r="J347" s="424">
        <v>0</v>
      </c>
      <c r="K347" s="424">
        <v>0</v>
      </c>
      <c r="L347" s="424">
        <v>0</v>
      </c>
      <c r="M347" s="424">
        <v>0</v>
      </c>
      <c r="N347" s="424">
        <v>0</v>
      </c>
      <c r="O347" s="424">
        <v>0</v>
      </c>
      <c r="P347" s="424">
        <v>0</v>
      </c>
      <c r="Q347" s="424">
        <v>0</v>
      </c>
      <c r="R347" s="424">
        <v>0</v>
      </c>
      <c r="S347" s="415">
        <v>0</v>
      </c>
      <c r="T347" s="431">
        <v>1</v>
      </c>
      <c r="U347" s="437"/>
      <c r="V347" s="437"/>
    </row>
    <row r="348" spans="1:22" customFormat="1" x14ac:dyDescent="0.25">
      <c r="A348" s="214">
        <v>4</v>
      </c>
      <c r="B348" s="215" t="s">
        <v>351</v>
      </c>
      <c r="C348" s="345" t="s">
        <v>256</v>
      </c>
      <c r="D348" s="232" t="s">
        <v>255</v>
      </c>
      <c r="E348" s="215" t="s">
        <v>386</v>
      </c>
      <c r="F348" s="216" t="s">
        <v>387</v>
      </c>
      <c r="G348" s="424">
        <v>0.22129883561991889</v>
      </c>
      <c r="H348" s="424">
        <v>6.7999232094175188E-2</v>
      </c>
      <c r="I348" s="424">
        <v>0.13480147104663204</v>
      </c>
      <c r="J348" s="424">
        <v>0.22701640038027032</v>
      </c>
      <c r="K348" s="424">
        <v>0.30749288505673117</v>
      </c>
      <c r="L348" s="424">
        <v>0.49004528138096382</v>
      </c>
      <c r="M348" s="424">
        <v>0.46278926001770493</v>
      </c>
      <c r="N348" s="424">
        <v>0.50533071193833146</v>
      </c>
      <c r="O348" s="424">
        <v>0.53314320594528541</v>
      </c>
      <c r="P348" s="424">
        <v>0.57188553420039534</v>
      </c>
      <c r="Q348" s="424">
        <v>0.51160507912466302</v>
      </c>
      <c r="R348" s="424">
        <v>0.35022085131916714</v>
      </c>
      <c r="S348" s="415">
        <v>4.3836287481242397</v>
      </c>
      <c r="T348" s="431"/>
      <c r="U348" s="437"/>
      <c r="V348" s="437"/>
    </row>
    <row r="349" spans="1:22" customFormat="1" x14ac:dyDescent="0.25">
      <c r="A349" s="214">
        <v>4</v>
      </c>
      <c r="B349" s="215" t="s">
        <v>389</v>
      </c>
      <c r="C349" s="345" t="s">
        <v>256</v>
      </c>
      <c r="D349" s="232" t="s">
        <v>255</v>
      </c>
      <c r="E349" s="215" t="s">
        <v>388</v>
      </c>
      <c r="F349" s="216" t="s">
        <v>112</v>
      </c>
      <c r="G349" s="424">
        <v>9.0388145715247017E-2</v>
      </c>
      <c r="H349" s="424">
        <v>0.13393244182319403</v>
      </c>
      <c r="I349" s="424">
        <v>0.25335065061657658</v>
      </c>
      <c r="J349" s="424">
        <v>0.28705222481261905</v>
      </c>
      <c r="K349" s="424">
        <v>0.30632670412502128</v>
      </c>
      <c r="L349" s="424">
        <v>0.43882553555090048</v>
      </c>
      <c r="M349" s="424">
        <v>0.51995590566416339</v>
      </c>
      <c r="N349" s="424">
        <v>0.36494296804077409</v>
      </c>
      <c r="O349" s="424">
        <v>0.18865472611630893</v>
      </c>
      <c r="P349" s="424">
        <v>8.29442582006613E-2</v>
      </c>
      <c r="Q349" s="424">
        <v>5.69320902618453E-2</v>
      </c>
      <c r="R349" s="424">
        <v>4.9067860434890691E-2</v>
      </c>
      <c r="S349" s="415">
        <v>2.7723735113622023</v>
      </c>
      <c r="T349" s="431">
        <v>1</v>
      </c>
      <c r="U349" s="437"/>
      <c r="V349" s="437"/>
    </row>
    <row r="350" spans="1:22" customFormat="1" x14ac:dyDescent="0.25">
      <c r="A350" s="214">
        <v>4</v>
      </c>
      <c r="B350" s="215" t="s">
        <v>351</v>
      </c>
      <c r="C350" s="345" t="s">
        <v>256</v>
      </c>
      <c r="D350" s="232" t="s">
        <v>255</v>
      </c>
      <c r="E350" s="215" t="s">
        <v>390</v>
      </c>
      <c r="F350" s="216" t="s">
        <v>391</v>
      </c>
      <c r="G350" s="424">
        <v>1.5864253689418586</v>
      </c>
      <c r="H350" s="424">
        <v>1.6977391215607014</v>
      </c>
      <c r="I350" s="424">
        <v>1.8847910725946351</v>
      </c>
      <c r="J350" s="424">
        <v>1.900022024402239</v>
      </c>
      <c r="K350" s="424">
        <v>1.9301503784668492</v>
      </c>
      <c r="L350" s="424">
        <v>1.9284924064885738</v>
      </c>
      <c r="M350" s="424">
        <v>2.491478529554616</v>
      </c>
      <c r="N350" s="424">
        <v>1.6666904581858206</v>
      </c>
      <c r="O350" s="424">
        <v>1.0960805982868698</v>
      </c>
      <c r="P350" s="424">
        <v>0.67656792330286497</v>
      </c>
      <c r="Q350" s="424">
        <v>0.74459543770763892</v>
      </c>
      <c r="R350" s="424">
        <v>1.1702158005878542</v>
      </c>
      <c r="S350" s="415">
        <v>18.773249120080521</v>
      </c>
      <c r="T350" s="431">
        <v>1</v>
      </c>
      <c r="U350" s="437"/>
      <c r="V350" s="437"/>
    </row>
    <row r="351" spans="1:22" customFormat="1" x14ac:dyDescent="0.25">
      <c r="A351" s="214">
        <v>4</v>
      </c>
      <c r="B351" s="215" t="s">
        <v>393</v>
      </c>
      <c r="C351" s="345" t="s">
        <v>256</v>
      </c>
      <c r="D351" s="400" t="s">
        <v>255</v>
      </c>
      <c r="E351" s="215" t="s">
        <v>392</v>
      </c>
      <c r="F351" s="216" t="s">
        <v>394</v>
      </c>
      <c r="G351" s="424">
        <v>5.52111823666599E-3</v>
      </c>
      <c r="H351" s="424">
        <v>6.9726079734883E-3</v>
      </c>
      <c r="I351" s="424">
        <v>1.1917834512517335E-2</v>
      </c>
      <c r="J351" s="424">
        <v>1.8438972260173287E-2</v>
      </c>
      <c r="K351" s="424">
        <v>2.5788300100321494E-2</v>
      </c>
      <c r="L351" s="424">
        <v>4.1943734969133756E-2</v>
      </c>
      <c r="M351" s="424">
        <v>4.2218187315199968E-2</v>
      </c>
      <c r="N351" s="424">
        <v>3.4343572691372594E-2</v>
      </c>
      <c r="O351" s="424">
        <v>0.14845117173104128</v>
      </c>
      <c r="P351" s="424">
        <v>0.33807726542958816</v>
      </c>
      <c r="Q351" s="424">
        <v>0.28140784353067588</v>
      </c>
      <c r="R351" s="424">
        <v>0.15044251793501423</v>
      </c>
      <c r="S351" s="415">
        <v>1.1055231266851921</v>
      </c>
      <c r="T351" s="431">
        <v>1</v>
      </c>
      <c r="U351" s="437"/>
      <c r="V351" s="437"/>
    </row>
    <row r="352" spans="1:22" customFormat="1" x14ac:dyDescent="0.25">
      <c r="A352" s="214">
        <v>5</v>
      </c>
      <c r="B352" s="215" t="s">
        <v>247</v>
      </c>
      <c r="C352" s="233" t="s">
        <v>258</v>
      </c>
      <c r="D352" s="232" t="s">
        <v>257</v>
      </c>
      <c r="E352" s="215" t="s">
        <v>246</v>
      </c>
      <c r="F352" s="216" t="s">
        <v>248</v>
      </c>
      <c r="G352" s="425">
        <v>0.3030000000000001</v>
      </c>
      <c r="H352" s="425">
        <v>0.51900000000000002</v>
      </c>
      <c r="I352" s="425">
        <v>0.66900000000000004</v>
      </c>
      <c r="J352" s="425">
        <v>0.66500000000000004</v>
      </c>
      <c r="K352" s="425">
        <v>0.82199999999999995</v>
      </c>
      <c r="L352" s="425">
        <v>1.0389999999999999</v>
      </c>
      <c r="M352" s="425">
        <v>0.65899999999999992</v>
      </c>
      <c r="N352" s="425">
        <v>0.79500000000000015</v>
      </c>
      <c r="O352" s="425">
        <v>1.0009999999999999</v>
      </c>
      <c r="P352" s="425">
        <v>0.33000000000000007</v>
      </c>
      <c r="Q352" s="425">
        <v>0.23900000000000002</v>
      </c>
      <c r="R352" s="425">
        <v>0.27799999999999997</v>
      </c>
      <c r="S352" s="413">
        <v>7.319</v>
      </c>
      <c r="T352" s="430">
        <v>0.1</v>
      </c>
      <c r="U352" s="437"/>
      <c r="V352" s="437"/>
    </row>
    <row r="353" spans="1:22" customFormat="1" x14ac:dyDescent="0.25">
      <c r="A353" s="214">
        <v>5</v>
      </c>
      <c r="B353" s="215" t="s">
        <v>332</v>
      </c>
      <c r="C353" s="233" t="s">
        <v>258</v>
      </c>
      <c r="D353" s="232" t="s">
        <v>257</v>
      </c>
      <c r="E353" s="215" t="s">
        <v>331</v>
      </c>
      <c r="F353" s="216" t="s">
        <v>333</v>
      </c>
      <c r="G353" s="425">
        <v>0.14553222804791929</v>
      </c>
      <c r="H353" s="425">
        <v>0.18929520739663258</v>
      </c>
      <c r="I353" s="425">
        <v>0.38771724971598009</v>
      </c>
      <c r="J353" s="425">
        <v>0.6106964980417644</v>
      </c>
      <c r="K353" s="425">
        <v>0.89484954412364726</v>
      </c>
      <c r="L353" s="425">
        <v>1.1856129546388332</v>
      </c>
      <c r="M353" s="425">
        <v>0.95783299965048185</v>
      </c>
      <c r="N353" s="425">
        <v>0.6589471032913804</v>
      </c>
      <c r="O353" s="425">
        <v>0.38331621509336133</v>
      </c>
      <c r="P353" s="425">
        <v>-0.25150193566041512</v>
      </c>
      <c r="Q353" s="425">
        <v>-0.15500875669055003</v>
      </c>
      <c r="R353" s="425">
        <v>-0.14704930764903482</v>
      </c>
      <c r="S353" s="413">
        <v>4.860240000000001</v>
      </c>
      <c r="T353" s="430">
        <v>0.1</v>
      </c>
      <c r="U353" s="437"/>
      <c r="V353" s="437"/>
    </row>
    <row r="354" spans="1:22" customFormat="1" x14ac:dyDescent="0.25">
      <c r="A354" s="214">
        <v>5</v>
      </c>
      <c r="B354" s="215" t="s">
        <v>335</v>
      </c>
      <c r="C354" s="233" t="s">
        <v>258</v>
      </c>
      <c r="D354" s="232" t="s">
        <v>257</v>
      </c>
      <c r="E354" s="215" t="s">
        <v>334</v>
      </c>
      <c r="F354" s="216" t="s">
        <v>336</v>
      </c>
      <c r="G354" s="425">
        <v>4.9952019865799106E-2</v>
      </c>
      <c r="H354" s="425">
        <v>5.3605708098489226E-2</v>
      </c>
      <c r="I354" s="425">
        <v>0.14004927112709925</v>
      </c>
      <c r="J354" s="425">
        <v>0.14151326113530457</v>
      </c>
      <c r="K354" s="425">
        <v>0.21054158793457264</v>
      </c>
      <c r="L354" s="425">
        <v>0.34375849980347595</v>
      </c>
      <c r="M354" s="425">
        <v>0.29377278897700909</v>
      </c>
      <c r="N354" s="425">
        <v>0.18302114132084185</v>
      </c>
      <c r="O354" s="425">
        <v>0.10224610077543145</v>
      </c>
      <c r="P354" s="425">
        <v>3.981946235465484E-2</v>
      </c>
      <c r="Q354" s="425">
        <v>2.6526170156026908E-2</v>
      </c>
      <c r="R354" s="425">
        <v>3.8293988451295162E-2</v>
      </c>
      <c r="S354" s="413">
        <v>1.6231</v>
      </c>
      <c r="T354" s="430">
        <v>0.1</v>
      </c>
      <c r="U354" s="437"/>
      <c r="V354" s="437"/>
    </row>
    <row r="355" spans="1:22" customFormat="1" x14ac:dyDescent="0.25">
      <c r="A355" s="214">
        <v>5</v>
      </c>
      <c r="B355" s="215" t="s">
        <v>351</v>
      </c>
      <c r="C355" s="233" t="s">
        <v>258</v>
      </c>
      <c r="D355" s="232" t="s">
        <v>257</v>
      </c>
      <c r="E355" s="215" t="s">
        <v>350</v>
      </c>
      <c r="F355" s="216" t="s">
        <v>352</v>
      </c>
      <c r="G355" s="425">
        <v>0</v>
      </c>
      <c r="H355" s="425">
        <v>0</v>
      </c>
      <c r="I355" s="425">
        <v>0</v>
      </c>
      <c r="J355" s="425">
        <v>0</v>
      </c>
      <c r="K355" s="425">
        <v>0</v>
      </c>
      <c r="L355" s="425">
        <v>0</v>
      </c>
      <c r="M355" s="425">
        <v>0</v>
      </c>
      <c r="N355" s="425">
        <v>0</v>
      </c>
      <c r="O355" s="425">
        <v>0</v>
      </c>
      <c r="P355" s="425">
        <v>0</v>
      </c>
      <c r="Q355" s="425">
        <v>0</v>
      </c>
      <c r="R355" s="425">
        <v>0</v>
      </c>
      <c r="S355" s="413">
        <v>0</v>
      </c>
      <c r="T355" s="430">
        <v>0.1</v>
      </c>
      <c r="U355" s="437"/>
      <c r="V355" s="437"/>
    </row>
    <row r="356" spans="1:22" customFormat="1" x14ac:dyDescent="0.25">
      <c r="A356" s="214">
        <v>5</v>
      </c>
      <c r="B356" s="215" t="s">
        <v>351</v>
      </c>
      <c r="C356" s="233" t="s">
        <v>258</v>
      </c>
      <c r="D356" s="232" t="s">
        <v>257</v>
      </c>
      <c r="E356" s="215" t="s">
        <v>379</v>
      </c>
      <c r="F356" s="216" t="s">
        <v>16</v>
      </c>
      <c r="G356" s="425">
        <v>0</v>
      </c>
      <c r="H356" s="425">
        <v>0</v>
      </c>
      <c r="I356" s="425">
        <v>0</v>
      </c>
      <c r="J356" s="425">
        <v>0</v>
      </c>
      <c r="K356" s="425">
        <v>0</v>
      </c>
      <c r="L356" s="425">
        <v>0</v>
      </c>
      <c r="M356" s="425">
        <v>0</v>
      </c>
      <c r="N356" s="425">
        <v>0</v>
      </c>
      <c r="O356" s="425">
        <v>0</v>
      </c>
      <c r="P356" s="425">
        <v>0</v>
      </c>
      <c r="Q356" s="425">
        <v>0</v>
      </c>
      <c r="R356" s="425">
        <v>0</v>
      </c>
      <c r="S356" s="413">
        <v>0</v>
      </c>
      <c r="T356" s="430">
        <v>0.1</v>
      </c>
      <c r="U356" s="222">
        <v>0</v>
      </c>
      <c r="V356" s="222">
        <v>1</v>
      </c>
    </row>
    <row r="357" spans="1:22" customFormat="1" x14ac:dyDescent="0.25">
      <c r="A357" s="214">
        <v>5</v>
      </c>
      <c r="B357" s="215" t="s">
        <v>335</v>
      </c>
      <c r="C357" s="233" t="s">
        <v>258</v>
      </c>
      <c r="D357" s="232" t="s">
        <v>257</v>
      </c>
      <c r="E357" s="215" t="s">
        <v>348</v>
      </c>
      <c r="F357" s="216" t="s">
        <v>349</v>
      </c>
      <c r="G357" s="425">
        <v>2.235972135712001E-2</v>
      </c>
      <c r="H357" s="425">
        <v>3.0988252911034304E-2</v>
      </c>
      <c r="I357" s="425">
        <v>7.3362879017821653E-2</v>
      </c>
      <c r="J357" s="425">
        <v>7.452895036010912E-2</v>
      </c>
      <c r="K357" s="425">
        <v>0.10643089364358503</v>
      </c>
      <c r="L357" s="425">
        <v>0.24285958055070647</v>
      </c>
      <c r="M357" s="425">
        <v>0.27721745292834304</v>
      </c>
      <c r="N357" s="425">
        <v>0.13300518827690222</v>
      </c>
      <c r="O357" s="425">
        <v>5.3247080954378148E-2</v>
      </c>
      <c r="P357" s="425">
        <v>-3.2495873755886286E-2</v>
      </c>
      <c r="Q357" s="425">
        <v>-2.8577896547743183E-2</v>
      </c>
      <c r="R357" s="425">
        <v>-2.3540633526286572E-2</v>
      </c>
      <c r="S357" s="413">
        <v>0.92938559617008387</v>
      </c>
      <c r="T357" s="430">
        <v>0.1</v>
      </c>
      <c r="U357" s="222">
        <v>0</v>
      </c>
      <c r="V357" s="229">
        <v>1</v>
      </c>
    </row>
    <row r="358" spans="1:22" customFormat="1" x14ac:dyDescent="0.25">
      <c r="A358" s="214">
        <v>5</v>
      </c>
      <c r="B358" s="215" t="s">
        <v>351</v>
      </c>
      <c r="C358" s="233" t="s">
        <v>258</v>
      </c>
      <c r="D358" s="232" t="s">
        <v>257</v>
      </c>
      <c r="E358" s="215" t="s">
        <v>380</v>
      </c>
      <c r="F358" s="216" t="s">
        <v>381</v>
      </c>
      <c r="G358" s="425">
        <v>1.89E-2</v>
      </c>
      <c r="H358" s="425">
        <v>3.56E-2</v>
      </c>
      <c r="I358" s="425">
        <v>9.2600000000000016E-2</v>
      </c>
      <c r="J358" s="425">
        <v>8.1699999999999995E-2</v>
      </c>
      <c r="K358" s="425">
        <v>0.10940000000000001</v>
      </c>
      <c r="L358" s="425">
        <v>0.25870000000000004</v>
      </c>
      <c r="M358" s="425">
        <v>0.3876</v>
      </c>
      <c r="N358" s="425">
        <v>0.16300000000000001</v>
      </c>
      <c r="O358" s="425">
        <v>4.5100000000000001E-2</v>
      </c>
      <c r="P358" s="425">
        <v>-2.1499999999999998E-2</v>
      </c>
      <c r="Q358" s="425">
        <v>-1.47E-2</v>
      </c>
      <c r="R358" s="425">
        <v>-6.9000000000000008E-3</v>
      </c>
      <c r="S358" s="413">
        <v>1.1495</v>
      </c>
      <c r="T358" s="430">
        <v>0.1</v>
      </c>
      <c r="U358" s="222">
        <v>0</v>
      </c>
      <c r="V358" s="229">
        <v>1</v>
      </c>
    </row>
    <row r="359" spans="1:22" customFormat="1" x14ac:dyDescent="0.25">
      <c r="A359" s="214">
        <v>5</v>
      </c>
      <c r="B359" s="215" t="s">
        <v>351</v>
      </c>
      <c r="C359" s="233" t="s">
        <v>258</v>
      </c>
      <c r="D359" s="232" t="s">
        <v>257</v>
      </c>
      <c r="E359" s="215" t="s">
        <v>382</v>
      </c>
      <c r="F359" s="216" t="s">
        <v>383</v>
      </c>
      <c r="G359" s="425">
        <v>3.1200000000000002E-2</v>
      </c>
      <c r="H359" s="425">
        <v>2.1400000000000002E-2</v>
      </c>
      <c r="I359" s="425">
        <v>3.4099999999999998E-2</v>
      </c>
      <c r="J359" s="425">
        <v>4.1100000000000005E-2</v>
      </c>
      <c r="K359" s="425">
        <v>7.3300000000000004E-2</v>
      </c>
      <c r="L359" s="425">
        <v>0.13190000000000002</v>
      </c>
      <c r="M359" s="425">
        <v>0.14470000000000002</v>
      </c>
      <c r="N359" s="425">
        <v>0.10050000000000002</v>
      </c>
      <c r="O359" s="425">
        <v>7.9200000000000007E-2</v>
      </c>
      <c r="P359" s="425">
        <v>-2.8500000000000004E-2</v>
      </c>
      <c r="Q359" s="425">
        <v>-2.2000000000000006E-2</v>
      </c>
      <c r="R359" s="425">
        <v>-1.4100000000000001E-2</v>
      </c>
      <c r="S359" s="413">
        <v>0.59219999999999995</v>
      </c>
      <c r="T359" s="430">
        <v>0.1</v>
      </c>
      <c r="U359" s="229">
        <v>1</v>
      </c>
      <c r="V359" s="229">
        <v>-1</v>
      </c>
    </row>
    <row r="360" spans="1:22" customFormat="1" x14ac:dyDescent="0.25">
      <c r="A360" s="214">
        <v>5</v>
      </c>
      <c r="B360" s="215" t="s">
        <v>351</v>
      </c>
      <c r="C360" s="233" t="s">
        <v>258</v>
      </c>
      <c r="D360" s="232" t="s">
        <v>257</v>
      </c>
      <c r="E360" s="215" t="s">
        <v>384</v>
      </c>
      <c r="F360" s="216" t="s">
        <v>385</v>
      </c>
      <c r="G360" s="425">
        <v>0</v>
      </c>
      <c r="H360" s="425">
        <v>0</v>
      </c>
      <c r="I360" s="425">
        <v>0</v>
      </c>
      <c r="J360" s="425">
        <v>0</v>
      </c>
      <c r="K360" s="425">
        <v>0</v>
      </c>
      <c r="L360" s="425">
        <v>0</v>
      </c>
      <c r="M360" s="425">
        <v>0</v>
      </c>
      <c r="N360" s="425">
        <v>0</v>
      </c>
      <c r="O360" s="425">
        <v>0</v>
      </c>
      <c r="P360" s="425">
        <v>0</v>
      </c>
      <c r="Q360" s="425">
        <v>0</v>
      </c>
      <c r="R360" s="425">
        <v>0</v>
      </c>
      <c r="S360" s="413">
        <v>0</v>
      </c>
      <c r="T360" s="430">
        <v>0.1</v>
      </c>
      <c r="U360" s="229">
        <v>1</v>
      </c>
      <c r="V360" s="229">
        <v>-1</v>
      </c>
    </row>
    <row r="361" spans="1:22" customFormat="1" x14ac:dyDescent="0.25">
      <c r="A361" s="214">
        <v>5</v>
      </c>
      <c r="B361" s="215" t="s">
        <v>351</v>
      </c>
      <c r="C361" s="345" t="s">
        <v>258</v>
      </c>
      <c r="D361" s="232" t="s">
        <v>257</v>
      </c>
      <c r="E361" s="215" t="s">
        <v>386</v>
      </c>
      <c r="F361" s="216" t="s">
        <v>387</v>
      </c>
      <c r="G361" s="424">
        <v>0.18504879060053475</v>
      </c>
      <c r="H361" s="424">
        <v>0.18614435432001625</v>
      </c>
      <c r="I361" s="424">
        <v>0.34489507716232026</v>
      </c>
      <c r="J361" s="424">
        <v>0.48825943312501341</v>
      </c>
      <c r="K361" s="424">
        <v>0.75354372186464191</v>
      </c>
      <c r="L361" s="424">
        <v>1.3537116295266085</v>
      </c>
      <c r="M361" s="424">
        <v>1.2519845697173309</v>
      </c>
      <c r="N361" s="424">
        <v>0.80259969889661531</v>
      </c>
      <c r="O361" s="424">
        <v>0.52312428982040537</v>
      </c>
      <c r="P361" s="424">
        <v>-0.17827826881328757</v>
      </c>
      <c r="Q361" s="424">
        <v>-0.11426453116435331</v>
      </c>
      <c r="R361" s="424">
        <v>-7.5668765055845175E-2</v>
      </c>
      <c r="S361" s="415">
        <v>5.521399999999999</v>
      </c>
      <c r="T361" s="431">
        <v>0.1</v>
      </c>
      <c r="U361" s="222">
        <v>0</v>
      </c>
      <c r="V361" s="229">
        <v>-1</v>
      </c>
    </row>
    <row r="362" spans="1:22" customFormat="1" x14ac:dyDescent="0.25">
      <c r="A362" s="214">
        <v>5</v>
      </c>
      <c r="B362" s="215" t="s">
        <v>389</v>
      </c>
      <c r="C362" s="345" t="s">
        <v>258</v>
      </c>
      <c r="D362" s="232" t="s">
        <v>257</v>
      </c>
      <c r="E362" s="215" t="s">
        <v>388</v>
      </c>
      <c r="F362" s="216" t="s">
        <v>112</v>
      </c>
      <c r="G362" s="424">
        <v>9.2356485771843869E-2</v>
      </c>
      <c r="H362" s="424">
        <v>0.13844774227673101</v>
      </c>
      <c r="I362" s="424">
        <v>0.24583364777888073</v>
      </c>
      <c r="J362" s="424">
        <v>0.31808279065961775</v>
      </c>
      <c r="K362" s="424">
        <v>0.37830603303757471</v>
      </c>
      <c r="L362" s="424">
        <v>0.50443490114853728</v>
      </c>
      <c r="M362" s="424">
        <v>0.55695021665595046</v>
      </c>
      <c r="N362" s="424">
        <v>0.37296470598671894</v>
      </c>
      <c r="O362" s="424">
        <v>0.1572376596892392</v>
      </c>
      <c r="P362" s="424">
        <v>-6.4527789781313447E-2</v>
      </c>
      <c r="Q362" s="424">
        <v>-4.4727987766632095E-2</v>
      </c>
      <c r="R362" s="424">
        <v>-2.8461692070774303E-2</v>
      </c>
      <c r="S362" s="415">
        <v>2.6268967133863743</v>
      </c>
      <c r="T362" s="431">
        <v>0.1</v>
      </c>
      <c r="U362" s="222">
        <v>0</v>
      </c>
      <c r="V362" s="229">
        <v>1</v>
      </c>
    </row>
    <row r="363" spans="1:22" customFormat="1" x14ac:dyDescent="0.25">
      <c r="A363" s="214">
        <v>5</v>
      </c>
      <c r="B363" s="215" t="s">
        <v>351</v>
      </c>
      <c r="C363" s="345" t="s">
        <v>258</v>
      </c>
      <c r="D363" s="232" t="s">
        <v>257</v>
      </c>
      <c r="E363" s="215" t="s">
        <v>390</v>
      </c>
      <c r="F363" s="216" t="s">
        <v>391</v>
      </c>
      <c r="G363" s="424">
        <v>8.9999999999999993E-3</v>
      </c>
      <c r="H363" s="424">
        <v>2.0400000000000001E-2</v>
      </c>
      <c r="I363" s="424">
        <v>4.6600000000000003E-2</v>
      </c>
      <c r="J363" s="424">
        <v>6.8300000000000013E-2</v>
      </c>
      <c r="K363" s="424">
        <v>6.0700000000000011E-2</v>
      </c>
      <c r="L363" s="424">
        <v>9.6000000000000002E-2</v>
      </c>
      <c r="M363" s="424">
        <v>9.4E-2</v>
      </c>
      <c r="N363" s="424">
        <v>3.1900000000000005E-2</v>
      </c>
      <c r="O363" s="424">
        <v>1.6899999999999998E-2</v>
      </c>
      <c r="P363" s="424">
        <v>-1.4499999999999999E-2</v>
      </c>
      <c r="Q363" s="424">
        <v>-1.44E-2</v>
      </c>
      <c r="R363" s="424">
        <v>-6.5000000000000006E-3</v>
      </c>
      <c r="S363" s="415">
        <v>0.40870000000000001</v>
      </c>
      <c r="T363" s="431">
        <v>0.1</v>
      </c>
      <c r="U363" s="229">
        <v>1</v>
      </c>
      <c r="V363" s="222">
        <v>0</v>
      </c>
    </row>
    <row r="364" spans="1:22" customFormat="1" x14ac:dyDescent="0.25">
      <c r="A364" s="214">
        <v>5</v>
      </c>
      <c r="B364" s="215" t="s">
        <v>393</v>
      </c>
      <c r="C364" s="345" t="s">
        <v>258</v>
      </c>
      <c r="D364" s="400" t="s">
        <v>257</v>
      </c>
      <c r="E364" s="215" t="s">
        <v>392</v>
      </c>
      <c r="F364" s="216" t="s">
        <v>394</v>
      </c>
      <c r="G364" s="424">
        <v>3.9433878131156057E-2</v>
      </c>
      <c r="H364" s="424">
        <v>0</v>
      </c>
      <c r="I364" s="424">
        <v>0</v>
      </c>
      <c r="J364" s="424">
        <v>0</v>
      </c>
      <c r="K364" s="424">
        <v>0</v>
      </c>
      <c r="L364" s="424">
        <v>0</v>
      </c>
      <c r="M364" s="424">
        <v>0</v>
      </c>
      <c r="N364" s="424">
        <v>0.21350917049430082</v>
      </c>
      <c r="O364" s="424">
        <v>0.47271531123016503</v>
      </c>
      <c r="P364" s="424">
        <v>0.69568357575436546</v>
      </c>
      <c r="Q364" s="424">
        <v>0.53892549365760389</v>
      </c>
      <c r="R364" s="424">
        <v>0.11505257073240863</v>
      </c>
      <c r="S364" s="415">
        <v>2.0753200000000001</v>
      </c>
      <c r="T364" s="431">
        <v>0.1</v>
      </c>
      <c r="U364" s="222">
        <v>0</v>
      </c>
      <c r="V364" s="229">
        <v>-1</v>
      </c>
    </row>
    <row r="365" spans="1:22" customFormat="1" x14ac:dyDescent="0.25">
      <c r="A365" s="214">
        <v>6</v>
      </c>
      <c r="B365" s="215" t="s">
        <v>247</v>
      </c>
      <c r="C365" s="235" t="s">
        <v>260</v>
      </c>
      <c r="D365" s="234" t="s">
        <v>259</v>
      </c>
      <c r="E365" s="215" t="s">
        <v>246</v>
      </c>
      <c r="F365" s="216" t="s">
        <v>248</v>
      </c>
      <c r="G365" s="237">
        <v>9.5518156407040031</v>
      </c>
      <c r="H365" s="237">
        <v>8.4446723296347237</v>
      </c>
      <c r="I365" s="237">
        <v>12.82667602849525</v>
      </c>
      <c r="J365" s="237">
        <v>14.999005843883316</v>
      </c>
      <c r="K365" s="237">
        <v>17.988116705457056</v>
      </c>
      <c r="L365" s="237">
        <v>22.392956375749012</v>
      </c>
      <c r="M365" s="237">
        <v>33.719845755195507</v>
      </c>
      <c r="N365" s="237">
        <v>24.505466031400452</v>
      </c>
      <c r="O365" s="237">
        <v>18.585460280150734</v>
      </c>
      <c r="P365" s="237">
        <v>32.938783412071565</v>
      </c>
      <c r="Q365" s="237">
        <v>28.810313598102894</v>
      </c>
      <c r="R365" s="237">
        <v>15.464942592747702</v>
      </c>
      <c r="S365" s="236">
        <v>240.22805459359219</v>
      </c>
      <c r="T365" s="238">
        <v>1</v>
      </c>
      <c r="U365" s="222">
        <v>0</v>
      </c>
      <c r="V365" s="229">
        <v>1</v>
      </c>
    </row>
    <row r="366" spans="1:22" customFormat="1" x14ac:dyDescent="0.25">
      <c r="A366" s="214">
        <v>6</v>
      </c>
      <c r="B366" s="215" t="s">
        <v>332</v>
      </c>
      <c r="C366" s="235" t="s">
        <v>260</v>
      </c>
      <c r="D366" s="234" t="s">
        <v>259</v>
      </c>
      <c r="E366" s="215" t="s">
        <v>331</v>
      </c>
      <c r="F366" s="216" t="s">
        <v>333</v>
      </c>
      <c r="G366" s="302">
        <v>9.696622259865217</v>
      </c>
      <c r="H366" s="302">
        <v>9.022235155655677</v>
      </c>
      <c r="I366" s="302">
        <v>11.034253253533725</v>
      </c>
      <c r="J366" s="302">
        <v>12.806435841322982</v>
      </c>
      <c r="K366" s="302">
        <v>15.970782269200297</v>
      </c>
      <c r="L366" s="302">
        <v>20.420856013423496</v>
      </c>
      <c r="M366" s="302">
        <v>20.634748775577719</v>
      </c>
      <c r="N366" s="302">
        <v>16.754523869307697</v>
      </c>
      <c r="O366" s="302">
        <v>14.120551417771734</v>
      </c>
      <c r="P366" s="302">
        <v>13.447321106607632</v>
      </c>
      <c r="Q366" s="302">
        <v>13.000675453949544</v>
      </c>
      <c r="R366" s="302">
        <v>10.826649275972759</v>
      </c>
      <c r="S366" s="301">
        <v>167.73565469218846</v>
      </c>
      <c r="T366" s="238">
        <v>1</v>
      </c>
      <c r="U366" s="229">
        <v>1</v>
      </c>
      <c r="V366" s="222">
        <v>0</v>
      </c>
    </row>
    <row r="367" spans="1:22" customFormat="1" x14ac:dyDescent="0.25">
      <c r="A367" s="214">
        <v>6</v>
      </c>
      <c r="B367" s="215" t="s">
        <v>335</v>
      </c>
      <c r="C367" s="235" t="s">
        <v>260</v>
      </c>
      <c r="D367" s="234" t="s">
        <v>259</v>
      </c>
      <c r="E367" s="215" t="s">
        <v>334</v>
      </c>
      <c r="F367" s="216" t="s">
        <v>336</v>
      </c>
      <c r="G367" s="237">
        <v>1.6876225395348836</v>
      </c>
      <c r="H367" s="237">
        <v>9.8193906976744197E-2</v>
      </c>
      <c r="I367" s="237">
        <v>0</v>
      </c>
      <c r="J367" s="237">
        <v>0</v>
      </c>
      <c r="K367" s="237">
        <v>0</v>
      </c>
      <c r="L367" s="237">
        <v>0</v>
      </c>
      <c r="M367" s="237">
        <v>8.3000000000000004E-2</v>
      </c>
      <c r="N367" s="237">
        <v>11.429203416279069</v>
      </c>
      <c r="O367" s="237">
        <v>17.313748790697673</v>
      </c>
      <c r="P367" s="237">
        <v>17.845316125581395</v>
      </c>
      <c r="Q367" s="237">
        <v>15.127122383720931</v>
      </c>
      <c r="R367" s="237">
        <v>5.7026667348837208</v>
      </c>
      <c r="S367" s="236">
        <v>69.286873897674425</v>
      </c>
      <c r="T367" s="238">
        <v>1</v>
      </c>
      <c r="U367" s="222">
        <v>0</v>
      </c>
      <c r="V367" s="222">
        <v>0</v>
      </c>
    </row>
    <row r="368" spans="1:22" customFormat="1" x14ac:dyDescent="0.25">
      <c r="A368" s="214">
        <v>6</v>
      </c>
      <c r="B368" s="215" t="s">
        <v>351</v>
      </c>
      <c r="C368" s="235" t="s">
        <v>260</v>
      </c>
      <c r="D368" s="234" t="s">
        <v>259</v>
      </c>
      <c r="E368" s="215" t="s">
        <v>350</v>
      </c>
      <c r="F368" s="216" t="s">
        <v>352</v>
      </c>
      <c r="G368" s="237">
        <v>1</v>
      </c>
      <c r="H368" s="237">
        <v>1</v>
      </c>
      <c r="I368" s="237">
        <v>1</v>
      </c>
      <c r="J368" s="237">
        <v>1</v>
      </c>
      <c r="K368" s="237">
        <v>1</v>
      </c>
      <c r="L368" s="237">
        <v>1</v>
      </c>
      <c r="M368" s="237">
        <v>1</v>
      </c>
      <c r="N368" s="237">
        <v>1</v>
      </c>
      <c r="O368" s="237">
        <v>1</v>
      </c>
      <c r="P368" s="237">
        <v>1</v>
      </c>
      <c r="Q368" s="237">
        <v>1</v>
      </c>
      <c r="R368" s="237">
        <v>1</v>
      </c>
      <c r="S368" s="236">
        <v>1</v>
      </c>
      <c r="T368" s="238">
        <v>1</v>
      </c>
      <c r="U368" s="222">
        <v>0</v>
      </c>
      <c r="V368" s="229">
        <v>-1</v>
      </c>
    </row>
    <row r="369" spans="1:22" customFormat="1" x14ac:dyDescent="0.25">
      <c r="A369" s="214">
        <v>6</v>
      </c>
      <c r="B369" s="215" t="s">
        <v>351</v>
      </c>
      <c r="C369" s="235" t="s">
        <v>260</v>
      </c>
      <c r="D369" s="234" t="s">
        <v>259</v>
      </c>
      <c r="E369" s="215" t="s">
        <v>379</v>
      </c>
      <c r="F369" s="216" t="s">
        <v>16</v>
      </c>
      <c r="G369" s="237">
        <v>1</v>
      </c>
      <c r="H369" s="237">
        <v>1</v>
      </c>
      <c r="I369" s="237">
        <v>1</v>
      </c>
      <c r="J369" s="237">
        <v>1</v>
      </c>
      <c r="K369" s="237">
        <v>1</v>
      </c>
      <c r="L369" s="237">
        <v>1</v>
      </c>
      <c r="M369" s="237">
        <v>1</v>
      </c>
      <c r="N369" s="237">
        <v>1</v>
      </c>
      <c r="O369" s="237">
        <v>1</v>
      </c>
      <c r="P369" s="237">
        <v>1</v>
      </c>
      <c r="Q369" s="237">
        <v>1</v>
      </c>
      <c r="R369" s="237">
        <v>1</v>
      </c>
      <c r="S369" s="236">
        <v>1</v>
      </c>
      <c r="T369" s="238">
        <v>1</v>
      </c>
      <c r="U369" s="222">
        <v>0</v>
      </c>
      <c r="V369" s="229">
        <v>1</v>
      </c>
    </row>
    <row r="370" spans="1:22" customFormat="1" x14ac:dyDescent="0.25">
      <c r="A370" s="214">
        <v>6</v>
      </c>
      <c r="B370" s="215" t="s">
        <v>335</v>
      </c>
      <c r="C370" s="235" t="s">
        <v>260</v>
      </c>
      <c r="D370" s="234" t="s">
        <v>259</v>
      </c>
      <c r="E370" s="215" t="s">
        <v>348</v>
      </c>
      <c r="F370" s="216" t="s">
        <v>349</v>
      </c>
      <c r="G370" s="237">
        <v>1.5853094617688757</v>
      </c>
      <c r="H370" s="237">
        <v>1.6934124995770918</v>
      </c>
      <c r="I370" s="237">
        <v>3.4105256369134271</v>
      </c>
      <c r="J370" s="237">
        <v>3.4440002058356622</v>
      </c>
      <c r="K370" s="237">
        <v>4.6491669328474599</v>
      </c>
      <c r="L370" s="237">
        <v>10.776071340627839</v>
      </c>
      <c r="M370" s="237">
        <v>15.303762912361199</v>
      </c>
      <c r="N370" s="237">
        <v>6.4208068284101092</v>
      </c>
      <c r="O370" s="237">
        <v>2.4315550863623212</v>
      </c>
      <c r="P370" s="237">
        <v>1.9006057574529889</v>
      </c>
      <c r="Q370" s="237">
        <v>1.9313235794652963</v>
      </c>
      <c r="R370" s="237">
        <v>1.6139234578090302</v>
      </c>
      <c r="S370" s="236">
        <v>55.160463699431304</v>
      </c>
      <c r="T370" s="238">
        <v>1</v>
      </c>
      <c r="U370" s="229">
        <v>1</v>
      </c>
      <c r="V370" s="222">
        <v>0</v>
      </c>
    </row>
    <row r="371" spans="1:22" customFormat="1" x14ac:dyDescent="0.25">
      <c r="A371" s="214">
        <v>6</v>
      </c>
      <c r="B371" s="215" t="s">
        <v>351</v>
      </c>
      <c r="C371" s="235" t="s">
        <v>260</v>
      </c>
      <c r="D371" s="234" t="s">
        <v>259</v>
      </c>
      <c r="E371" s="215" t="s">
        <v>380</v>
      </c>
      <c r="F371" s="216" t="s">
        <v>381</v>
      </c>
      <c r="G371" s="237">
        <v>9.058823529411765E-2</v>
      </c>
      <c r="H371" s="237">
        <v>0</v>
      </c>
      <c r="I371" s="237">
        <v>0</v>
      </c>
      <c r="J371" s="237">
        <v>0</v>
      </c>
      <c r="K371" s="237">
        <v>0</v>
      </c>
      <c r="L371" s="237">
        <v>0</v>
      </c>
      <c r="M371" s="237">
        <v>0</v>
      </c>
      <c r="N371" s="237">
        <v>0.22235294117647059</v>
      </c>
      <c r="O371" s="237">
        <v>0.61529411764705888</v>
      </c>
      <c r="P371" s="237">
        <v>0.66117647058823537</v>
      </c>
      <c r="Q371" s="237">
        <v>0.53411764705882359</v>
      </c>
      <c r="R371" s="237">
        <v>0.2635294117647059</v>
      </c>
      <c r="S371" s="236">
        <v>2.3870588235294119</v>
      </c>
      <c r="T371" s="238">
        <v>1</v>
      </c>
      <c r="U371" s="222">
        <v>0</v>
      </c>
      <c r="V371" s="229">
        <v>-1</v>
      </c>
    </row>
    <row r="372" spans="1:22" customFormat="1" x14ac:dyDescent="0.25">
      <c r="A372" s="214">
        <v>6</v>
      </c>
      <c r="B372" s="215" t="s">
        <v>351</v>
      </c>
      <c r="C372" s="235" t="s">
        <v>260</v>
      </c>
      <c r="D372" s="234" t="s">
        <v>259</v>
      </c>
      <c r="E372" s="215" t="s">
        <v>382</v>
      </c>
      <c r="F372" s="216" t="s">
        <v>383</v>
      </c>
      <c r="G372" s="237">
        <v>5.6818983050847455E-2</v>
      </c>
      <c r="H372" s="237">
        <v>0</v>
      </c>
      <c r="I372" s="237">
        <v>0</v>
      </c>
      <c r="J372" s="237">
        <v>0</v>
      </c>
      <c r="K372" s="237">
        <v>0</v>
      </c>
      <c r="L372" s="237">
        <v>0</v>
      </c>
      <c r="M372" s="237">
        <v>0</v>
      </c>
      <c r="N372" s="237">
        <v>0.15888271186440675</v>
      </c>
      <c r="O372" s="237">
        <v>0.39352406779661014</v>
      </c>
      <c r="P372" s="237">
        <v>0.42298576271186439</v>
      </c>
      <c r="Q372" s="237">
        <v>0.3472271186440678</v>
      </c>
      <c r="R372" s="237">
        <v>0.17150915254237287</v>
      </c>
      <c r="S372" s="236">
        <v>1.552</v>
      </c>
      <c r="T372" s="238">
        <v>1</v>
      </c>
      <c r="U372" s="222">
        <v>0</v>
      </c>
      <c r="V372" s="229">
        <v>1</v>
      </c>
    </row>
    <row r="373" spans="1:22" customFormat="1" x14ac:dyDescent="0.25">
      <c r="A373" s="214">
        <v>6</v>
      </c>
      <c r="B373" s="215" t="s">
        <v>351</v>
      </c>
      <c r="C373" s="235" t="s">
        <v>260</v>
      </c>
      <c r="D373" s="234" t="s">
        <v>259</v>
      </c>
      <c r="E373" s="215" t="s">
        <v>384</v>
      </c>
      <c r="F373" s="216" t="s">
        <v>385</v>
      </c>
      <c r="G373" s="237">
        <v>1.0522033898305084E-9</v>
      </c>
      <c r="H373" s="237">
        <v>1.0522033898305084E-9</v>
      </c>
      <c r="I373" s="237">
        <v>1.0522033898305084E-9</v>
      </c>
      <c r="J373" s="237">
        <v>1.0522033898305084E-9</v>
      </c>
      <c r="K373" s="237">
        <v>1.0522033898305084E-9</v>
      </c>
      <c r="L373" s="237">
        <v>1.0522033898305084E-9</v>
      </c>
      <c r="M373" s="237">
        <v>1.0522033898305084E-9</v>
      </c>
      <c r="N373" s="237">
        <v>1.0522033898305084E-9</v>
      </c>
      <c r="O373" s="237">
        <v>1.0522033898305084E-9</v>
      </c>
      <c r="P373" s="237">
        <v>1.0522033898305084E-9</v>
      </c>
      <c r="Q373" s="237">
        <v>1.0522033898305084E-9</v>
      </c>
      <c r="R373" s="237">
        <v>1.0522033898305084E-9</v>
      </c>
      <c r="S373" s="236">
        <v>1.0522033898305084E-9</v>
      </c>
      <c r="T373" s="238">
        <v>1</v>
      </c>
      <c r="U373" s="222">
        <v>0</v>
      </c>
      <c r="V373" s="222">
        <v>0</v>
      </c>
    </row>
    <row r="374" spans="1:22" customFormat="1" x14ac:dyDescent="0.25">
      <c r="A374" s="214">
        <v>6</v>
      </c>
      <c r="B374" s="215" t="s">
        <v>351</v>
      </c>
      <c r="C374" s="346" t="s">
        <v>260</v>
      </c>
      <c r="D374" s="234" t="s">
        <v>259</v>
      </c>
      <c r="E374" s="215" t="s">
        <v>386</v>
      </c>
      <c r="F374" s="216" t="s">
        <v>387</v>
      </c>
      <c r="G374" s="330">
        <v>0.6100000000000001</v>
      </c>
      <c r="H374" s="330">
        <v>0</v>
      </c>
      <c r="I374" s="330">
        <v>0</v>
      </c>
      <c r="J374" s="330">
        <v>0</v>
      </c>
      <c r="K374" s="330">
        <v>0</v>
      </c>
      <c r="L374" s="330">
        <v>0</v>
      </c>
      <c r="M374" s="330">
        <v>0.193</v>
      </c>
      <c r="N374" s="330">
        <v>2.1969999999999996</v>
      </c>
      <c r="O374" s="330">
        <v>9.8829999999999991</v>
      </c>
      <c r="P374" s="330">
        <v>14.409000000000001</v>
      </c>
      <c r="Q374" s="330">
        <v>12.34</v>
      </c>
      <c r="R374" s="330">
        <v>4.6929999999999996</v>
      </c>
      <c r="S374" s="347">
        <v>44.326000000000001</v>
      </c>
      <c r="T374" s="348">
        <v>1</v>
      </c>
      <c r="U374" s="222">
        <v>0</v>
      </c>
      <c r="V374" s="222">
        <v>0</v>
      </c>
    </row>
    <row r="375" spans="1:22" customFormat="1" x14ac:dyDescent="0.25">
      <c r="A375" s="214">
        <v>6</v>
      </c>
      <c r="B375" s="215" t="s">
        <v>389</v>
      </c>
      <c r="C375" s="346" t="s">
        <v>260</v>
      </c>
      <c r="D375" s="234" t="s">
        <v>259</v>
      </c>
      <c r="E375" s="215" t="s">
        <v>388</v>
      </c>
      <c r="F375" s="216" t="s">
        <v>112</v>
      </c>
      <c r="G375" s="330">
        <v>2.085519659380096</v>
      </c>
      <c r="H375" s="330">
        <v>3.1023393550219871</v>
      </c>
      <c r="I375" s="330">
        <v>5.645800819061856</v>
      </c>
      <c r="J375" s="330">
        <v>6.4181910211231301</v>
      </c>
      <c r="K375" s="330">
        <v>6.8476742289321342</v>
      </c>
      <c r="L375" s="330">
        <v>9.7423042636600155</v>
      </c>
      <c r="M375" s="330">
        <v>11.242510149764394</v>
      </c>
      <c r="N375" s="330">
        <v>8.0948209556124766</v>
      </c>
      <c r="O375" s="330">
        <v>1.8726105497906913</v>
      </c>
      <c r="P375" s="330">
        <v>4.2527215843634583</v>
      </c>
      <c r="Q375" s="330">
        <v>1.3115585485077415</v>
      </c>
      <c r="R375" s="330">
        <v>1.1468619450938096</v>
      </c>
      <c r="S375" s="347">
        <v>61.762913080311819</v>
      </c>
      <c r="T375" s="348">
        <v>1</v>
      </c>
      <c r="U375" s="222">
        <v>0</v>
      </c>
      <c r="V375" s="229">
        <v>1</v>
      </c>
    </row>
    <row r="376" spans="1:22" customFormat="1" x14ac:dyDescent="0.25">
      <c r="A376" s="214">
        <v>6</v>
      </c>
      <c r="B376" s="215" t="s">
        <v>351</v>
      </c>
      <c r="C376" s="346" t="s">
        <v>260</v>
      </c>
      <c r="D376" s="234" t="s">
        <v>259</v>
      </c>
      <c r="E376" s="215" t="s">
        <v>390</v>
      </c>
      <c r="F376" s="216" t="s">
        <v>391</v>
      </c>
      <c r="G376" s="330">
        <v>7.2112879047619066E-2</v>
      </c>
      <c r="H376" s="330">
        <v>0</v>
      </c>
      <c r="I376" s="330">
        <v>0</v>
      </c>
      <c r="J376" s="330">
        <v>0</v>
      </c>
      <c r="K376" s="330">
        <v>0</v>
      </c>
      <c r="L376" s="330">
        <v>0</v>
      </c>
      <c r="M376" s="330">
        <v>0</v>
      </c>
      <c r="N376" s="330">
        <v>0.23665582194705512</v>
      </c>
      <c r="O376" s="330">
        <v>8.053046664631891</v>
      </c>
      <c r="P376" s="330">
        <v>15.394324622575185</v>
      </c>
      <c r="Q376" s="330">
        <v>12.752036115253759</v>
      </c>
      <c r="R376" s="330">
        <v>3.9443196266776317</v>
      </c>
      <c r="S376" s="347">
        <v>40.452495730133144</v>
      </c>
      <c r="T376" s="348">
        <v>1</v>
      </c>
      <c r="U376" s="222">
        <v>0</v>
      </c>
      <c r="V376" s="222">
        <v>0</v>
      </c>
    </row>
    <row r="377" spans="1:22" customFormat="1" x14ac:dyDescent="0.25">
      <c r="A377" s="214">
        <v>6</v>
      </c>
      <c r="B377" s="215" t="s">
        <v>393</v>
      </c>
      <c r="C377" s="346" t="s">
        <v>260</v>
      </c>
      <c r="D377" s="234" t="s">
        <v>259</v>
      </c>
      <c r="E377" s="215" t="s">
        <v>392</v>
      </c>
      <c r="F377" s="216" t="s">
        <v>394</v>
      </c>
      <c r="G377" s="330">
        <v>6.8034758700113537E-2</v>
      </c>
      <c r="H377" s="330">
        <v>8.6604895071536681E-2</v>
      </c>
      <c r="I377" s="330">
        <v>0.14600708905496501</v>
      </c>
      <c r="J377" s="330">
        <v>0.22524064250364223</v>
      </c>
      <c r="K377" s="330">
        <v>0.31591031976995693</v>
      </c>
      <c r="L377" s="330">
        <v>0.51559999268194723</v>
      </c>
      <c r="M377" s="330">
        <v>0.51736607750083141</v>
      </c>
      <c r="N377" s="330">
        <v>0.96178612442992606</v>
      </c>
      <c r="O377" s="330">
        <v>1.3406623807320603</v>
      </c>
      <c r="P377" s="330">
        <v>1.8100850725596627</v>
      </c>
      <c r="Q377" s="330">
        <v>1.5792308160612369</v>
      </c>
      <c r="R377" s="330">
        <v>0.61810500788889366</v>
      </c>
      <c r="S377" s="347">
        <v>8.1846331769547724</v>
      </c>
      <c r="T377" s="348">
        <v>1</v>
      </c>
      <c r="U377" s="222">
        <v>0</v>
      </c>
      <c r="V377" s="222">
        <v>0</v>
      </c>
    </row>
    <row r="378" spans="1:22" customFormat="1" x14ac:dyDescent="0.25">
      <c r="A378" s="214">
        <v>8</v>
      </c>
      <c r="B378" s="215" t="s">
        <v>247</v>
      </c>
      <c r="C378" s="235" t="s">
        <v>264</v>
      </c>
      <c r="D378" s="234" t="s">
        <v>263</v>
      </c>
      <c r="E378" s="215" t="s">
        <v>246</v>
      </c>
      <c r="F378" s="216" t="s">
        <v>248</v>
      </c>
      <c r="G378" s="427">
        <v>9.450815640704004</v>
      </c>
      <c r="H378" s="427">
        <v>8.4296723296347231</v>
      </c>
      <c r="I378" s="427">
        <v>12.813176028495249</v>
      </c>
      <c r="J378" s="427">
        <v>14.984005843883317</v>
      </c>
      <c r="K378" s="427">
        <v>17.970116705457059</v>
      </c>
      <c r="L378" s="427">
        <v>22.371956375749011</v>
      </c>
      <c r="M378" s="427">
        <v>32.504845755195504</v>
      </c>
      <c r="N378" s="427">
        <v>23.700466031400452</v>
      </c>
      <c r="O378" s="427">
        <v>18.566960280150735</v>
      </c>
      <c r="P378" s="427">
        <v>31.747283412071567</v>
      </c>
      <c r="Q378" s="427">
        <v>27.804813598102893</v>
      </c>
      <c r="R378" s="427">
        <v>15.070442592747703</v>
      </c>
      <c r="S378" s="421">
        <v>235.41455459359221</v>
      </c>
      <c r="T378" s="238">
        <v>0.97996278990751828</v>
      </c>
      <c r="U378" s="229">
        <v>1</v>
      </c>
      <c r="V378" s="222">
        <v>0</v>
      </c>
    </row>
    <row r="379" spans="1:22" customFormat="1" x14ac:dyDescent="0.25">
      <c r="A379" s="214">
        <v>8</v>
      </c>
      <c r="B379" s="215" t="s">
        <v>332</v>
      </c>
      <c r="C379" s="235" t="s">
        <v>264</v>
      </c>
      <c r="D379" s="234" t="s">
        <v>263</v>
      </c>
      <c r="E379" s="215" t="s">
        <v>331</v>
      </c>
      <c r="F379" s="216" t="s">
        <v>333</v>
      </c>
      <c r="G379" s="237">
        <v>9.3497543294040089</v>
      </c>
      <c r="H379" s="237">
        <v>8.7096528659775778</v>
      </c>
      <c r="I379" s="237">
        <v>10.63622596838054</v>
      </c>
      <c r="J379" s="237">
        <v>12.338407558064469</v>
      </c>
      <c r="K379" s="237">
        <v>15.380904851034188</v>
      </c>
      <c r="L379" s="237">
        <v>19.657145631617595</v>
      </c>
      <c r="M379" s="237">
        <v>19.88547168433044</v>
      </c>
      <c r="N379" s="237">
        <v>16.143351496188899</v>
      </c>
      <c r="O379" s="237">
        <v>12.787784184275345</v>
      </c>
      <c r="P379" s="237">
        <v>13.137176806164728</v>
      </c>
      <c r="Q379" s="237">
        <v>12.111762994949762</v>
      </c>
      <c r="R379" s="237">
        <v>10.271551530454927</v>
      </c>
      <c r="S379" s="236">
        <v>160.40918990084248</v>
      </c>
      <c r="T379" s="238">
        <v>0.95632136289216041</v>
      </c>
      <c r="U379" s="222">
        <v>0</v>
      </c>
      <c r="V379" s="222">
        <v>0</v>
      </c>
    </row>
    <row r="380" spans="1:22" customFormat="1" x14ac:dyDescent="0.25">
      <c r="A380" s="214">
        <v>8</v>
      </c>
      <c r="B380" s="215" t="s">
        <v>335</v>
      </c>
      <c r="C380" s="235" t="s">
        <v>264</v>
      </c>
      <c r="D380" s="234" t="s">
        <v>263</v>
      </c>
      <c r="E380" s="215" t="s">
        <v>334</v>
      </c>
      <c r="F380" s="216" t="s">
        <v>336</v>
      </c>
      <c r="G380" s="237">
        <v>1.6032414125581393</v>
      </c>
      <c r="H380" s="237">
        <v>9.3284211627906982E-2</v>
      </c>
      <c r="I380" s="237">
        <v>0</v>
      </c>
      <c r="J380" s="237">
        <v>0</v>
      </c>
      <c r="K380" s="237">
        <v>0</v>
      </c>
      <c r="L380" s="237">
        <v>0</v>
      </c>
      <c r="M380" s="237">
        <v>7.8850000000000003E-2</v>
      </c>
      <c r="N380" s="237">
        <v>10.857743245465116</v>
      </c>
      <c r="O380" s="237">
        <v>16.448061351162789</v>
      </c>
      <c r="P380" s="237">
        <v>16.953050319302324</v>
      </c>
      <c r="Q380" s="237">
        <v>14.370766264534883</v>
      </c>
      <c r="R380" s="237">
        <v>5.4175333981395344</v>
      </c>
      <c r="S380" s="236">
        <v>65.822530202790702</v>
      </c>
      <c r="T380" s="238">
        <v>0.95</v>
      </c>
      <c r="U380" s="222">
        <v>0</v>
      </c>
      <c r="V380" s="222">
        <v>0</v>
      </c>
    </row>
    <row r="381" spans="1:22" customFormat="1" x14ac:dyDescent="0.25">
      <c r="A381" s="214">
        <v>8</v>
      </c>
      <c r="B381" s="215" t="s">
        <v>351</v>
      </c>
      <c r="C381" s="235" t="s">
        <v>264</v>
      </c>
      <c r="D381" s="234" t="s">
        <v>263</v>
      </c>
      <c r="E381" s="215" t="s">
        <v>350</v>
      </c>
      <c r="F381" s="216" t="s">
        <v>352</v>
      </c>
      <c r="G381" s="237">
        <v>1E-8</v>
      </c>
      <c r="H381" s="237">
        <v>1E-8</v>
      </c>
      <c r="I381" s="237">
        <v>1E-8</v>
      </c>
      <c r="J381" s="237">
        <v>1E-8</v>
      </c>
      <c r="K381" s="237">
        <v>1E-8</v>
      </c>
      <c r="L381" s="237">
        <v>1E-8</v>
      </c>
      <c r="M381" s="237">
        <v>1E-8</v>
      </c>
      <c r="N381" s="237">
        <v>1E-8</v>
      </c>
      <c r="O381" s="237">
        <v>1E-8</v>
      </c>
      <c r="P381" s="237">
        <v>1E-8</v>
      </c>
      <c r="Q381" s="237">
        <v>1E-8</v>
      </c>
      <c r="R381" s="237">
        <v>1E-8</v>
      </c>
      <c r="S381" s="236">
        <v>1E-8</v>
      </c>
      <c r="T381" s="238">
        <v>1E-8</v>
      </c>
      <c r="U381" s="222">
        <v>0</v>
      </c>
      <c r="V381" s="222">
        <v>0</v>
      </c>
    </row>
    <row r="382" spans="1:22" customFormat="1" x14ac:dyDescent="0.25">
      <c r="A382" s="214">
        <v>8</v>
      </c>
      <c r="B382" s="215" t="s">
        <v>351</v>
      </c>
      <c r="C382" s="235" t="s">
        <v>264</v>
      </c>
      <c r="D382" s="234" t="s">
        <v>263</v>
      </c>
      <c r="E382" s="215" t="s">
        <v>379</v>
      </c>
      <c r="F382" s="216" t="s">
        <v>16</v>
      </c>
      <c r="G382" s="237">
        <v>1E-8</v>
      </c>
      <c r="H382" s="237">
        <v>1E-8</v>
      </c>
      <c r="I382" s="237">
        <v>1E-8</v>
      </c>
      <c r="J382" s="237">
        <v>1E-8</v>
      </c>
      <c r="K382" s="237">
        <v>1E-8</v>
      </c>
      <c r="L382" s="237">
        <v>1E-8</v>
      </c>
      <c r="M382" s="237">
        <v>1E-8</v>
      </c>
      <c r="N382" s="237">
        <v>1E-8</v>
      </c>
      <c r="O382" s="237">
        <v>1E-8</v>
      </c>
      <c r="P382" s="237">
        <v>1E-8</v>
      </c>
      <c r="Q382" s="237">
        <v>1E-8</v>
      </c>
      <c r="R382" s="237">
        <v>1E-8</v>
      </c>
      <c r="S382" s="236">
        <v>1E-8</v>
      </c>
      <c r="T382" s="238">
        <v>1E-8</v>
      </c>
      <c r="U382" s="229">
        <v>1</v>
      </c>
      <c r="V382" s="222">
        <v>-1</v>
      </c>
    </row>
    <row r="383" spans="1:22" customFormat="1" x14ac:dyDescent="0.25">
      <c r="A383" s="214">
        <v>8</v>
      </c>
      <c r="B383" s="215" t="s">
        <v>335</v>
      </c>
      <c r="C383" s="235" t="s">
        <v>264</v>
      </c>
      <c r="D383" s="234" t="s">
        <v>263</v>
      </c>
      <c r="E383" s="215" t="s">
        <v>348</v>
      </c>
      <c r="F383" s="216" t="s">
        <v>349</v>
      </c>
      <c r="G383" s="237">
        <v>1.4794537828233152</v>
      </c>
      <c r="H383" s="237">
        <v>1.5803384694267779</v>
      </c>
      <c r="I383" s="237">
        <v>3.1827950167644223</v>
      </c>
      <c r="J383" s="237">
        <v>3.2140343923025725</v>
      </c>
      <c r="K383" s="237">
        <v>4.3387286656975936</v>
      </c>
      <c r="L383" s="237">
        <v>10.056522018784291</v>
      </c>
      <c r="M383" s="237">
        <v>14.281886583116112</v>
      </c>
      <c r="N383" s="237">
        <v>5.9920710625607949</v>
      </c>
      <c r="O383" s="237">
        <v>2.2691931496126241</v>
      </c>
      <c r="P383" s="237">
        <v>1.773696836693416</v>
      </c>
      <c r="Q383" s="237">
        <v>1.8023635412531009</v>
      </c>
      <c r="R383" s="237">
        <v>1.5061571399306797</v>
      </c>
      <c r="S383" s="236">
        <v>51.477240658965705</v>
      </c>
      <c r="T383" s="238">
        <v>0.93322711968964878</v>
      </c>
      <c r="U383" s="222">
        <v>0</v>
      </c>
      <c r="V383" s="222">
        <v>0</v>
      </c>
    </row>
    <row r="384" spans="1:22" customFormat="1" x14ac:dyDescent="0.25">
      <c r="A384" s="214">
        <v>8</v>
      </c>
      <c r="B384" s="215" t="s">
        <v>351</v>
      </c>
      <c r="C384" s="235" t="s">
        <v>264</v>
      </c>
      <c r="D384" s="234" t="s">
        <v>263</v>
      </c>
      <c r="E384" s="215" t="s">
        <v>380</v>
      </c>
      <c r="F384" s="216" t="s">
        <v>381</v>
      </c>
      <c r="G384" s="237">
        <v>7.6999999999999999E-2</v>
      </c>
      <c r="H384" s="237">
        <v>0</v>
      </c>
      <c r="I384" s="237">
        <v>0</v>
      </c>
      <c r="J384" s="237">
        <v>0</v>
      </c>
      <c r="K384" s="237">
        <v>0</v>
      </c>
      <c r="L384" s="237">
        <v>0</v>
      </c>
      <c r="M384" s="237">
        <v>0</v>
      </c>
      <c r="N384" s="237">
        <v>0.189</v>
      </c>
      <c r="O384" s="237">
        <v>0.52300000000000002</v>
      </c>
      <c r="P384" s="237">
        <v>0.56200000000000006</v>
      </c>
      <c r="Q384" s="237">
        <v>0.45400000000000001</v>
      </c>
      <c r="R384" s="237">
        <v>0.224</v>
      </c>
      <c r="S384" s="236">
        <v>2.0289999999999999</v>
      </c>
      <c r="T384" s="238">
        <v>0.85</v>
      </c>
      <c r="U384" s="222">
        <v>0</v>
      </c>
      <c r="V384" s="222">
        <v>0</v>
      </c>
    </row>
    <row r="385" spans="1:22" customFormat="1" x14ac:dyDescent="0.25">
      <c r="A385" s="214">
        <v>8</v>
      </c>
      <c r="B385" s="215" t="s">
        <v>351</v>
      </c>
      <c r="C385" s="235" t="s">
        <v>264</v>
      </c>
      <c r="D385" s="234" t="s">
        <v>263</v>
      </c>
      <c r="E385" s="215" t="s">
        <v>382</v>
      </c>
      <c r="F385" s="216" t="s">
        <v>383</v>
      </c>
      <c r="G385" s="237">
        <v>5.3999999999999999E-2</v>
      </c>
      <c r="H385" s="237">
        <v>0</v>
      </c>
      <c r="I385" s="237">
        <v>0</v>
      </c>
      <c r="J385" s="237">
        <v>0</v>
      </c>
      <c r="K385" s="237">
        <v>0</v>
      </c>
      <c r="L385" s="237">
        <v>0</v>
      </c>
      <c r="M385" s="237">
        <v>0</v>
      </c>
      <c r="N385" s="237">
        <v>0.151</v>
      </c>
      <c r="O385" s="237">
        <v>0.374</v>
      </c>
      <c r="P385" s="237">
        <v>0.40200000000000002</v>
      </c>
      <c r="Q385" s="237">
        <v>0.33</v>
      </c>
      <c r="R385" s="237">
        <v>0.16300000000000001</v>
      </c>
      <c r="S385" s="236">
        <v>1.4750000000000001</v>
      </c>
      <c r="T385" s="238">
        <v>0.9503865979381444</v>
      </c>
      <c r="U385" s="222">
        <v>0</v>
      </c>
      <c r="V385" s="222">
        <v>0</v>
      </c>
    </row>
    <row r="386" spans="1:22" customFormat="1" x14ac:dyDescent="0.25">
      <c r="A386" s="214">
        <v>8</v>
      </c>
      <c r="B386" s="215" t="s">
        <v>351</v>
      </c>
      <c r="C386" s="235" t="s">
        <v>264</v>
      </c>
      <c r="D386" s="234" t="s">
        <v>263</v>
      </c>
      <c r="E386" s="215" t="s">
        <v>384</v>
      </c>
      <c r="F386" s="216" t="s">
        <v>385</v>
      </c>
      <c r="G386" s="237">
        <v>1.0000000000000001E-9</v>
      </c>
      <c r="H386" s="237">
        <v>1.0000000000000001E-9</v>
      </c>
      <c r="I386" s="237">
        <v>1.0000000000000001E-9</v>
      </c>
      <c r="J386" s="237">
        <v>1.0000000000000001E-9</v>
      </c>
      <c r="K386" s="237">
        <v>1.0000000000000001E-9</v>
      </c>
      <c r="L386" s="237">
        <v>1.0000000000000001E-9</v>
      </c>
      <c r="M386" s="237">
        <v>1.0000000000000001E-9</v>
      </c>
      <c r="N386" s="237">
        <v>1.0000000000000001E-9</v>
      </c>
      <c r="O386" s="237">
        <v>1.0000000000000001E-9</v>
      </c>
      <c r="P386" s="237">
        <v>1.0000000000000001E-9</v>
      </c>
      <c r="Q386" s="237">
        <v>1.0000000000000001E-9</v>
      </c>
      <c r="R386" s="237">
        <v>1.0000000000000001E-9</v>
      </c>
      <c r="S386" s="236">
        <v>1.0000000000000001E-9</v>
      </c>
      <c r="T386" s="238">
        <v>0.9503865979381444</v>
      </c>
      <c r="U386" s="222">
        <v>0</v>
      </c>
      <c r="V386" s="222">
        <v>1</v>
      </c>
    </row>
    <row r="387" spans="1:22" customFormat="1" x14ac:dyDescent="0.25">
      <c r="A387" s="214">
        <v>8</v>
      </c>
      <c r="B387" s="215" t="s">
        <v>351</v>
      </c>
      <c r="C387" s="346" t="s">
        <v>264</v>
      </c>
      <c r="D387" s="234" t="s">
        <v>263</v>
      </c>
      <c r="E387" s="215" t="s">
        <v>386</v>
      </c>
      <c r="F387" s="216" t="s">
        <v>387</v>
      </c>
      <c r="G387" s="330">
        <v>0.56699999999999995</v>
      </c>
      <c r="H387" s="330">
        <v>0</v>
      </c>
      <c r="I387" s="330">
        <v>0</v>
      </c>
      <c r="J387" s="330">
        <v>0</v>
      </c>
      <c r="K387" s="330">
        <v>0</v>
      </c>
      <c r="L387" s="330">
        <v>0</v>
      </c>
      <c r="M387" s="330">
        <v>0.18300000000000002</v>
      </c>
      <c r="N387" s="330">
        <v>2.0859999999999999</v>
      </c>
      <c r="O387" s="330">
        <v>9.3879999999999999</v>
      </c>
      <c r="P387" s="330">
        <v>13.690000000000001</v>
      </c>
      <c r="Q387" s="330">
        <v>11.724</v>
      </c>
      <c r="R387" s="330">
        <v>4.4589999999999996</v>
      </c>
      <c r="S387" s="347">
        <v>42.11</v>
      </c>
      <c r="T387" s="348">
        <v>0.95456052216270082</v>
      </c>
      <c r="U387" s="222">
        <v>0</v>
      </c>
      <c r="V387" s="222">
        <v>1</v>
      </c>
    </row>
    <row r="388" spans="1:22" customFormat="1" x14ac:dyDescent="0.25">
      <c r="A388" s="214">
        <v>8</v>
      </c>
      <c r="B388" s="215" t="s">
        <v>389</v>
      </c>
      <c r="C388" s="235" t="s">
        <v>264</v>
      </c>
      <c r="D388" s="234" t="s">
        <v>263</v>
      </c>
      <c r="E388" s="215" t="s">
        <v>388</v>
      </c>
      <c r="F388" s="216" t="s">
        <v>112</v>
      </c>
      <c r="G388" s="237">
        <v>2.0371935766607296</v>
      </c>
      <c r="H388" s="237">
        <v>3.03045132096773</v>
      </c>
      <c r="I388" s="237">
        <v>5.5149751823089757</v>
      </c>
      <c r="J388" s="237">
        <v>6.2694674026233237</v>
      </c>
      <c r="K388" s="237">
        <v>6.6889985388065316</v>
      </c>
      <c r="L388" s="237">
        <v>9.5165536217970583</v>
      </c>
      <c r="M388" s="237">
        <v>10.981996434140958</v>
      </c>
      <c r="N388" s="237">
        <v>7.9072461296740499</v>
      </c>
      <c r="O388" s="237">
        <v>1.8292180399558799</v>
      </c>
      <c r="P388" s="237">
        <v>4.1541766609703732</v>
      </c>
      <c r="Q388" s="237">
        <v>1.281166848951518</v>
      </c>
      <c r="R388" s="237">
        <v>1.1202866284924924</v>
      </c>
      <c r="S388" s="236">
        <v>60.331730385349651</v>
      </c>
      <c r="T388" s="238">
        <v>0.97682779804927322</v>
      </c>
      <c r="U388" s="222">
        <v>0</v>
      </c>
      <c r="V388" s="222">
        <v>1</v>
      </c>
    </row>
    <row r="389" spans="1:22" customFormat="1" x14ac:dyDescent="0.25">
      <c r="A389" s="214">
        <v>8</v>
      </c>
      <c r="B389" s="215" t="s">
        <v>351</v>
      </c>
      <c r="C389" s="346" t="s">
        <v>264</v>
      </c>
      <c r="D389" s="234" t="s">
        <v>263</v>
      </c>
      <c r="E389" s="215" t="s">
        <v>390</v>
      </c>
      <c r="F389" s="216" t="s">
        <v>391</v>
      </c>
      <c r="G389" s="330">
        <v>6.1295947190476208E-2</v>
      </c>
      <c r="H389" s="330">
        <v>0</v>
      </c>
      <c r="I389" s="330">
        <v>0</v>
      </c>
      <c r="J389" s="330">
        <v>0</v>
      </c>
      <c r="K389" s="330">
        <v>0</v>
      </c>
      <c r="L389" s="330">
        <v>0</v>
      </c>
      <c r="M389" s="330">
        <v>0</v>
      </c>
      <c r="N389" s="330">
        <v>0.20115744865499688</v>
      </c>
      <c r="O389" s="330">
        <v>6.8450896649371087</v>
      </c>
      <c r="P389" s="330">
        <v>13.085175929188908</v>
      </c>
      <c r="Q389" s="330">
        <v>10.839230697965696</v>
      </c>
      <c r="R389" s="330">
        <v>3.3526716826759873</v>
      </c>
      <c r="S389" s="347">
        <v>34.384621370613175</v>
      </c>
      <c r="T389" s="348">
        <v>0.85000000000000009</v>
      </c>
      <c r="U389" s="222">
        <v>0</v>
      </c>
      <c r="V389" s="222">
        <v>-1</v>
      </c>
    </row>
    <row r="390" spans="1:22" customFormat="1" x14ac:dyDescent="0.25">
      <c r="A390" s="214">
        <v>8</v>
      </c>
      <c r="B390" s="215" t="s">
        <v>393</v>
      </c>
      <c r="C390" s="235" t="s">
        <v>264</v>
      </c>
      <c r="D390" s="234" t="s">
        <v>263</v>
      </c>
      <c r="E390" s="215" t="s">
        <v>392</v>
      </c>
      <c r="F390" s="216" t="s">
        <v>394</v>
      </c>
      <c r="G390" s="237">
        <v>6.4633020765107851E-2</v>
      </c>
      <c r="H390" s="237">
        <v>8.2274650317959844E-2</v>
      </c>
      <c r="I390" s="237">
        <v>0.13870673460221675</v>
      </c>
      <c r="J390" s="237">
        <v>0.21397861037846011</v>
      </c>
      <c r="K390" s="237">
        <v>0.30011480378145905</v>
      </c>
      <c r="L390" s="237">
        <v>0.48981999304784984</v>
      </c>
      <c r="M390" s="237">
        <v>0.49149777362578984</v>
      </c>
      <c r="N390" s="237">
        <v>0.91369681820842974</v>
      </c>
      <c r="O390" s="237">
        <v>1.2736292616954572</v>
      </c>
      <c r="P390" s="237">
        <v>1.7195808189316795</v>
      </c>
      <c r="Q390" s="237">
        <v>1.500269275258175</v>
      </c>
      <c r="R390" s="237">
        <v>0.58719975749444897</v>
      </c>
      <c r="S390" s="435">
        <v>7.7754015181070333</v>
      </c>
      <c r="T390" s="238">
        <v>0.95</v>
      </c>
      <c r="U390" s="222"/>
      <c r="V390" s="222"/>
    </row>
    <row r="391" spans="1:22" customFormat="1" x14ac:dyDescent="0.25">
      <c r="A391" s="214">
        <v>7</v>
      </c>
      <c r="B391" s="215" t="s">
        <v>247</v>
      </c>
      <c r="C391" s="235" t="s">
        <v>262</v>
      </c>
      <c r="D391" s="234" t="s">
        <v>261</v>
      </c>
      <c r="E391" s="215" t="s">
        <v>246</v>
      </c>
      <c r="F391" s="216" t="s">
        <v>248</v>
      </c>
      <c r="G391" s="237">
        <v>0.10099999999999909</v>
      </c>
      <c r="H391" s="237">
        <v>1.5000000000000568E-2</v>
      </c>
      <c r="I391" s="237">
        <v>1.3500000000000512E-2</v>
      </c>
      <c r="J391" s="237">
        <v>1.4999999999998792E-2</v>
      </c>
      <c r="K391" s="237">
        <v>1.7999999999997129E-2</v>
      </c>
      <c r="L391" s="237">
        <v>2.1000000000000796E-2</v>
      </c>
      <c r="M391" s="237">
        <v>1.2150000000000034</v>
      </c>
      <c r="N391" s="237">
        <v>0.80499999999999972</v>
      </c>
      <c r="O391" s="237">
        <v>1.8499999999999517E-2</v>
      </c>
      <c r="P391" s="237">
        <v>1.1914999999999978</v>
      </c>
      <c r="Q391" s="237">
        <v>1.0055000000000014</v>
      </c>
      <c r="R391" s="237">
        <v>0.39449999999999896</v>
      </c>
      <c r="S391" s="236">
        <v>4.8134999999999764</v>
      </c>
      <c r="T391" s="238">
        <v>6.628322855530322E-2</v>
      </c>
      <c r="U391" s="222"/>
      <c r="V391" s="222"/>
    </row>
    <row r="392" spans="1:22" customFormat="1" x14ac:dyDescent="0.25">
      <c r="A392" s="214">
        <v>7</v>
      </c>
      <c r="B392" s="215" t="s">
        <v>332</v>
      </c>
      <c r="C392" s="235" t="s">
        <v>262</v>
      </c>
      <c r="D392" s="234" t="s">
        <v>261</v>
      </c>
      <c r="E392" s="215" t="s">
        <v>331</v>
      </c>
      <c r="F392" s="216" t="s">
        <v>333</v>
      </c>
      <c r="G392" s="237">
        <v>0.34686793046120812</v>
      </c>
      <c r="H392" s="237">
        <v>0.3125822896780992</v>
      </c>
      <c r="I392" s="237">
        <v>0.39802728515318542</v>
      </c>
      <c r="J392" s="237">
        <v>0.46802828325851209</v>
      </c>
      <c r="K392" s="237">
        <v>0.58987741816610928</v>
      </c>
      <c r="L392" s="237">
        <v>0.76371038180590034</v>
      </c>
      <c r="M392" s="237">
        <v>0.74927709124727926</v>
      </c>
      <c r="N392" s="237">
        <v>0.61117237311879791</v>
      </c>
      <c r="O392" s="237">
        <v>1.3327672334963889</v>
      </c>
      <c r="P392" s="237">
        <v>0.31014430044290364</v>
      </c>
      <c r="Q392" s="237">
        <v>0.88891245899978166</v>
      </c>
      <c r="R392" s="237">
        <v>0.55509774551783231</v>
      </c>
      <c r="S392" s="236">
        <v>7.3264647913459839</v>
      </c>
      <c r="T392" s="238">
        <v>4.3678637107839591E-2</v>
      </c>
      <c r="U392" s="222"/>
      <c r="V392" s="222"/>
    </row>
    <row r="393" spans="1:22" customFormat="1" x14ac:dyDescent="0.25">
      <c r="A393" s="214">
        <v>7</v>
      </c>
      <c r="B393" s="215" t="s">
        <v>335</v>
      </c>
      <c r="C393" s="235" t="s">
        <v>262</v>
      </c>
      <c r="D393" s="234" t="s">
        <v>261</v>
      </c>
      <c r="E393" s="215" t="s">
        <v>334</v>
      </c>
      <c r="F393" s="216" t="s">
        <v>336</v>
      </c>
      <c r="G393" s="237">
        <v>8.438112697674427E-2</v>
      </c>
      <c r="H393" s="237">
        <v>4.9096953488372147E-3</v>
      </c>
      <c r="I393" s="237">
        <v>0</v>
      </c>
      <c r="J393" s="237">
        <v>0</v>
      </c>
      <c r="K393" s="237">
        <v>0</v>
      </c>
      <c r="L393" s="237">
        <v>0</v>
      </c>
      <c r="M393" s="237">
        <v>4.1500000000000009E-3</v>
      </c>
      <c r="N393" s="237">
        <v>0.57146017081395328</v>
      </c>
      <c r="O393" s="237">
        <v>0.86568743953488436</v>
      </c>
      <c r="P393" s="237">
        <v>0.89226580627907026</v>
      </c>
      <c r="Q393" s="237">
        <v>0.75635611918604795</v>
      </c>
      <c r="R393" s="237">
        <v>0.28513333674418639</v>
      </c>
      <c r="S393" s="236">
        <v>3.4643436948837234</v>
      </c>
      <c r="T393" s="238">
        <v>5.0000000000000044E-2</v>
      </c>
      <c r="U393" s="437"/>
      <c r="V393" s="437"/>
    </row>
    <row r="394" spans="1:22" customFormat="1" x14ac:dyDescent="0.25">
      <c r="A394" s="214">
        <v>7</v>
      </c>
      <c r="B394" s="215" t="s">
        <v>351</v>
      </c>
      <c r="C394" s="235" t="s">
        <v>262</v>
      </c>
      <c r="D394" s="234" t="s">
        <v>261</v>
      </c>
      <c r="E394" s="215" t="s">
        <v>350</v>
      </c>
      <c r="F394" s="216" t="s">
        <v>352</v>
      </c>
      <c r="G394" s="237">
        <v>0.99999998999999995</v>
      </c>
      <c r="H394" s="237">
        <v>0.99999998999999995</v>
      </c>
      <c r="I394" s="237">
        <v>0.99999998999999995</v>
      </c>
      <c r="J394" s="237">
        <v>0.99999998999999995</v>
      </c>
      <c r="K394" s="237">
        <v>0.99999998999999995</v>
      </c>
      <c r="L394" s="237">
        <v>0.99999998999999995</v>
      </c>
      <c r="M394" s="237">
        <v>0.99999998999999995</v>
      </c>
      <c r="N394" s="237">
        <v>0.99999998999999995</v>
      </c>
      <c r="O394" s="237">
        <v>0.99999998999999995</v>
      </c>
      <c r="P394" s="237">
        <v>0.99999998999999995</v>
      </c>
      <c r="Q394" s="237">
        <v>0.99999998999999995</v>
      </c>
      <c r="R394" s="237">
        <v>0.99999998999999995</v>
      </c>
      <c r="S394" s="236">
        <v>0.99999998999999995</v>
      </c>
      <c r="T394" s="238">
        <v>0.99999998999999995</v>
      </c>
      <c r="U394" s="222"/>
      <c r="V394" s="222"/>
    </row>
    <row r="395" spans="1:22" customFormat="1" x14ac:dyDescent="0.25">
      <c r="A395" s="214">
        <v>7</v>
      </c>
      <c r="B395" s="215" t="s">
        <v>351</v>
      </c>
      <c r="C395" s="235" t="s">
        <v>262</v>
      </c>
      <c r="D395" s="234" t="s">
        <v>261</v>
      </c>
      <c r="E395" s="215" t="s">
        <v>379</v>
      </c>
      <c r="F395" s="216" t="s">
        <v>16</v>
      </c>
      <c r="G395" s="237">
        <v>0.99999998999999995</v>
      </c>
      <c r="H395" s="237">
        <v>0.99999998999999995</v>
      </c>
      <c r="I395" s="237">
        <v>0.99999998999999995</v>
      </c>
      <c r="J395" s="237">
        <v>0.99999998999999995</v>
      </c>
      <c r="K395" s="237">
        <v>0.99999998999999995</v>
      </c>
      <c r="L395" s="237">
        <v>0.99999998999999995</v>
      </c>
      <c r="M395" s="237">
        <v>0.99999998999999995</v>
      </c>
      <c r="N395" s="237">
        <v>0.99999998999999995</v>
      </c>
      <c r="O395" s="237">
        <v>0.99999998999999995</v>
      </c>
      <c r="P395" s="237">
        <v>0.99999998999999995</v>
      </c>
      <c r="Q395" s="237">
        <v>0.99999998999999995</v>
      </c>
      <c r="R395" s="237">
        <v>0.99999998999999995</v>
      </c>
      <c r="S395" s="236">
        <v>0.99999998999999995</v>
      </c>
      <c r="T395" s="238">
        <v>0.99999998999999995</v>
      </c>
      <c r="U395" s="222"/>
      <c r="V395" s="222"/>
    </row>
    <row r="396" spans="1:22" customFormat="1" x14ac:dyDescent="0.25">
      <c r="A396" s="214">
        <v>7</v>
      </c>
      <c r="B396" s="215" t="s">
        <v>335</v>
      </c>
      <c r="C396" s="235" t="s">
        <v>262</v>
      </c>
      <c r="D396" s="234" t="s">
        <v>261</v>
      </c>
      <c r="E396" s="215" t="s">
        <v>348</v>
      </c>
      <c r="F396" s="216" t="s">
        <v>349</v>
      </c>
      <c r="G396" s="237">
        <v>0.10585567894556047</v>
      </c>
      <c r="H396" s="237">
        <v>0.11307403015031392</v>
      </c>
      <c r="I396" s="237">
        <v>0.2277306201490048</v>
      </c>
      <c r="J396" s="237">
        <v>0.22996581353308976</v>
      </c>
      <c r="K396" s="237">
        <v>0.31043826714986622</v>
      </c>
      <c r="L396" s="237">
        <v>0.71954932184354803</v>
      </c>
      <c r="M396" s="237">
        <v>1.021876329245087</v>
      </c>
      <c r="N396" s="237">
        <v>0.42873576584931428</v>
      </c>
      <c r="O396" s="237">
        <v>0.16236193674969712</v>
      </c>
      <c r="P396" s="237">
        <v>0.12690892075957283</v>
      </c>
      <c r="Q396" s="237">
        <v>0.12896003821219537</v>
      </c>
      <c r="R396" s="237">
        <v>0.10776631787835056</v>
      </c>
      <c r="S396" s="236">
        <v>3.6832230404655988</v>
      </c>
      <c r="T396" s="238">
        <v>6.6772880310351224E-2</v>
      </c>
      <c r="U396" s="222"/>
      <c r="V396" s="222"/>
    </row>
    <row r="397" spans="1:22" customFormat="1" x14ac:dyDescent="0.25">
      <c r="A397" s="214">
        <v>7</v>
      </c>
      <c r="B397" s="215" t="s">
        <v>351</v>
      </c>
      <c r="C397" s="235" t="s">
        <v>262</v>
      </c>
      <c r="D397" s="234" t="s">
        <v>261</v>
      </c>
      <c r="E397" s="215" t="s">
        <v>380</v>
      </c>
      <c r="F397" s="216" t="s">
        <v>381</v>
      </c>
      <c r="G397" s="237">
        <v>1.3588235294117651E-2</v>
      </c>
      <c r="H397" s="237">
        <v>0</v>
      </c>
      <c r="I397" s="237">
        <v>0</v>
      </c>
      <c r="J397" s="237">
        <v>0</v>
      </c>
      <c r="K397" s="237">
        <v>0</v>
      </c>
      <c r="L397" s="237">
        <v>0</v>
      </c>
      <c r="M397" s="237">
        <v>0</v>
      </c>
      <c r="N397" s="237">
        <v>3.3352941176470585E-2</v>
      </c>
      <c r="O397" s="237">
        <v>9.229411764705886E-2</v>
      </c>
      <c r="P397" s="237">
        <v>9.917647058823531E-2</v>
      </c>
      <c r="Q397" s="237">
        <v>8.0117647058823571E-2</v>
      </c>
      <c r="R397" s="237">
        <v>3.9529411764705896E-2</v>
      </c>
      <c r="S397" s="236">
        <v>0.35805882352941198</v>
      </c>
      <c r="T397" s="238">
        <v>0.15000000000000002</v>
      </c>
      <c r="U397" s="222"/>
      <c r="V397" s="222"/>
    </row>
    <row r="398" spans="1:22" customFormat="1" x14ac:dyDescent="0.25">
      <c r="A398" s="214">
        <v>7</v>
      </c>
      <c r="B398" s="215" t="s">
        <v>351</v>
      </c>
      <c r="C398" s="235" t="s">
        <v>262</v>
      </c>
      <c r="D398" s="234" t="s">
        <v>261</v>
      </c>
      <c r="E398" s="215" t="s">
        <v>382</v>
      </c>
      <c r="F398" s="216" t="s">
        <v>383</v>
      </c>
      <c r="G398" s="237">
        <v>2.8189830508474553E-3</v>
      </c>
      <c r="H398" s="237">
        <v>0</v>
      </c>
      <c r="I398" s="237">
        <v>0</v>
      </c>
      <c r="J398" s="237">
        <v>0</v>
      </c>
      <c r="K398" s="237">
        <v>0</v>
      </c>
      <c r="L398" s="237">
        <v>0</v>
      </c>
      <c r="M398" s="237">
        <v>0</v>
      </c>
      <c r="N398" s="237">
        <v>7.8827118644067551E-3</v>
      </c>
      <c r="O398" s="237">
        <v>1.9524067796610145E-2</v>
      </c>
      <c r="P398" s="237">
        <v>2.0985762711864364E-2</v>
      </c>
      <c r="Q398" s="237">
        <v>1.7227118644067785E-2</v>
      </c>
      <c r="R398" s="237">
        <v>8.5091525423728609E-3</v>
      </c>
      <c r="S398" s="236">
        <v>7.6999999999999957E-2</v>
      </c>
      <c r="T398" s="238">
        <v>4.9613402061855605E-2</v>
      </c>
      <c r="U398" s="437"/>
      <c r="V398" s="437"/>
    </row>
    <row r="399" spans="1:22" customFormat="1" x14ac:dyDescent="0.25">
      <c r="A399" s="214">
        <v>7</v>
      </c>
      <c r="B399" s="215" t="s">
        <v>351</v>
      </c>
      <c r="C399" s="235" t="s">
        <v>262</v>
      </c>
      <c r="D399" s="234" t="s">
        <v>261</v>
      </c>
      <c r="E399" s="215" t="s">
        <v>384</v>
      </c>
      <c r="F399" s="216" t="s">
        <v>385</v>
      </c>
      <c r="G399" s="237">
        <v>5.2203389830508305E-11</v>
      </c>
      <c r="H399" s="237">
        <v>5.2203389830508305E-11</v>
      </c>
      <c r="I399" s="237">
        <v>5.2203389830508305E-11</v>
      </c>
      <c r="J399" s="237">
        <v>5.2203389830508305E-11</v>
      </c>
      <c r="K399" s="237">
        <v>5.2203389830508305E-11</v>
      </c>
      <c r="L399" s="237">
        <v>5.2203389830508305E-11</v>
      </c>
      <c r="M399" s="237">
        <v>5.2203389830508305E-11</v>
      </c>
      <c r="N399" s="237">
        <v>5.2203389830508305E-11</v>
      </c>
      <c r="O399" s="237">
        <v>5.2203389830508305E-11</v>
      </c>
      <c r="P399" s="237">
        <v>5.2203389830508305E-11</v>
      </c>
      <c r="Q399" s="237">
        <v>5.2203389830508305E-11</v>
      </c>
      <c r="R399" s="237">
        <v>5.2203389830508305E-11</v>
      </c>
      <c r="S399" s="236">
        <v>5.2203389830508305E-11</v>
      </c>
      <c r="T399" s="238">
        <v>4.9613402061855605E-2</v>
      </c>
      <c r="U399" s="437"/>
      <c r="V399" s="437"/>
    </row>
    <row r="400" spans="1:22" customFormat="1" x14ac:dyDescent="0.25">
      <c r="A400" s="214">
        <v>7</v>
      </c>
      <c r="B400" s="215" t="s">
        <v>351</v>
      </c>
      <c r="C400" s="346" t="s">
        <v>262</v>
      </c>
      <c r="D400" s="234" t="s">
        <v>261</v>
      </c>
      <c r="E400" s="215" t="s">
        <v>386</v>
      </c>
      <c r="F400" s="216" t="s">
        <v>387</v>
      </c>
      <c r="G400" s="330">
        <v>4.3000000000000149E-2</v>
      </c>
      <c r="H400" s="330">
        <v>0</v>
      </c>
      <c r="I400" s="330">
        <v>0</v>
      </c>
      <c r="J400" s="330">
        <v>0</v>
      </c>
      <c r="K400" s="330">
        <v>0</v>
      </c>
      <c r="L400" s="330">
        <v>0</v>
      </c>
      <c r="M400" s="330">
        <v>9.9999999999999811E-3</v>
      </c>
      <c r="N400" s="330">
        <v>0.11099999999999977</v>
      </c>
      <c r="O400" s="330">
        <v>0.49499999999999922</v>
      </c>
      <c r="P400" s="330">
        <v>0.71899999999999942</v>
      </c>
      <c r="Q400" s="330">
        <v>0.61599999999999966</v>
      </c>
      <c r="R400" s="330">
        <v>0.23399999999999999</v>
      </c>
      <c r="S400" s="347">
        <v>2.2160000000000011</v>
      </c>
      <c r="T400" s="348">
        <v>4.543947783729918E-2</v>
      </c>
      <c r="U400" s="437"/>
      <c r="V400" s="437"/>
    </row>
    <row r="401" spans="1:22" customFormat="1" x14ac:dyDescent="0.25">
      <c r="A401" s="214">
        <v>7</v>
      </c>
      <c r="B401" s="215" t="s">
        <v>389</v>
      </c>
      <c r="C401" s="346" t="s">
        <v>262</v>
      </c>
      <c r="D401" s="234" t="s">
        <v>261</v>
      </c>
      <c r="E401" s="215" t="s">
        <v>388</v>
      </c>
      <c r="F401" s="216" t="s">
        <v>112</v>
      </c>
      <c r="G401" s="330">
        <v>4.8326082719366337E-2</v>
      </c>
      <c r="H401" s="330">
        <v>7.1888034054257144E-2</v>
      </c>
      <c r="I401" s="330">
        <v>0.13082563675288039</v>
      </c>
      <c r="J401" s="330">
        <v>0.14872361849980642</v>
      </c>
      <c r="K401" s="330">
        <v>0.15867569012560256</v>
      </c>
      <c r="L401" s="330">
        <v>0.22575064186295712</v>
      </c>
      <c r="M401" s="330">
        <v>0.26051371562343562</v>
      </c>
      <c r="N401" s="330">
        <v>0.18757482593842667</v>
      </c>
      <c r="O401" s="330">
        <v>4.3392509834811355E-2</v>
      </c>
      <c r="P401" s="330">
        <v>9.8544923393085071E-2</v>
      </c>
      <c r="Q401" s="330">
        <v>3.039169955622345E-2</v>
      </c>
      <c r="R401" s="330">
        <v>2.6575316601317178E-2</v>
      </c>
      <c r="S401" s="347">
        <v>1.4311826949621675</v>
      </c>
      <c r="T401" s="348">
        <v>2.3172201950726778E-2</v>
      </c>
      <c r="U401" s="437"/>
      <c r="V401" s="437"/>
    </row>
    <row r="402" spans="1:22" customFormat="1" x14ac:dyDescent="0.25">
      <c r="A402" s="214">
        <v>7</v>
      </c>
      <c r="B402" s="215" t="s">
        <v>351</v>
      </c>
      <c r="C402" s="346" t="s">
        <v>262</v>
      </c>
      <c r="D402" s="234" t="s">
        <v>261</v>
      </c>
      <c r="E402" s="215" t="s">
        <v>390</v>
      </c>
      <c r="F402" s="216" t="s">
        <v>391</v>
      </c>
      <c r="G402" s="330">
        <v>1.0816931857142859E-2</v>
      </c>
      <c r="H402" s="330">
        <v>0</v>
      </c>
      <c r="I402" s="330">
        <v>0</v>
      </c>
      <c r="J402" s="330">
        <v>0</v>
      </c>
      <c r="K402" s="330">
        <v>0</v>
      </c>
      <c r="L402" s="330">
        <v>0</v>
      </c>
      <c r="M402" s="330">
        <v>0</v>
      </c>
      <c r="N402" s="330">
        <v>3.5498373292058238E-2</v>
      </c>
      <c r="O402" s="330">
        <v>1.2079569996947823</v>
      </c>
      <c r="P402" s="330">
        <v>2.3091486933862768</v>
      </c>
      <c r="Q402" s="330">
        <v>1.9128054172880624</v>
      </c>
      <c r="R402" s="330">
        <v>0.59164794400164444</v>
      </c>
      <c r="S402" s="347">
        <v>6.0678743595199691</v>
      </c>
      <c r="T402" s="348">
        <v>0.14999999999999991</v>
      </c>
      <c r="U402" s="437"/>
      <c r="V402" s="437"/>
    </row>
    <row r="403" spans="1:22" customFormat="1" x14ac:dyDescent="0.25">
      <c r="A403" s="214">
        <v>7</v>
      </c>
      <c r="B403" s="215" t="s">
        <v>393</v>
      </c>
      <c r="C403" s="346" t="s">
        <v>262</v>
      </c>
      <c r="D403" s="234" t="s">
        <v>261</v>
      </c>
      <c r="E403" s="215" t="s">
        <v>392</v>
      </c>
      <c r="F403" s="216" t="s">
        <v>394</v>
      </c>
      <c r="G403" s="330">
        <v>3.4017379350056859E-3</v>
      </c>
      <c r="H403" s="330">
        <v>4.3302447535768368E-3</v>
      </c>
      <c r="I403" s="330">
        <v>7.3003544527482644E-3</v>
      </c>
      <c r="J403" s="330">
        <v>1.126203212518212E-2</v>
      </c>
      <c r="K403" s="330">
        <v>1.5795515988497877E-2</v>
      </c>
      <c r="L403" s="330">
        <v>2.5779999634097384E-2</v>
      </c>
      <c r="M403" s="330">
        <v>2.5868303875041576E-2</v>
      </c>
      <c r="N403" s="330">
        <v>4.808930622149632E-2</v>
      </c>
      <c r="O403" s="330">
        <v>6.7033119036603139E-2</v>
      </c>
      <c r="P403" s="330">
        <v>9.05042536279832E-2</v>
      </c>
      <c r="Q403" s="330">
        <v>7.8961540803061947E-2</v>
      </c>
      <c r="R403" s="330">
        <v>3.0905250394444694E-2</v>
      </c>
      <c r="S403" s="347">
        <v>0.40923165884773915</v>
      </c>
      <c r="T403" s="348">
        <v>5.0000000000000044E-2</v>
      </c>
      <c r="U403" s="437"/>
      <c r="V403" s="437"/>
    </row>
    <row r="404" spans="1:22" customFormat="1" x14ac:dyDescent="0.25">
      <c r="A404" s="214">
        <v>13</v>
      </c>
      <c r="B404" s="215" t="s">
        <v>247</v>
      </c>
      <c r="C404" s="248" t="s">
        <v>274</v>
      </c>
      <c r="D404" s="245" t="s">
        <v>273</v>
      </c>
      <c r="E404" s="215" t="s">
        <v>246</v>
      </c>
      <c r="F404" s="216" t="s">
        <v>248</v>
      </c>
      <c r="G404" s="249">
        <v>3.0300000000000007</v>
      </c>
      <c r="H404" s="249">
        <v>5.1899999999999995</v>
      </c>
      <c r="I404" s="249">
        <v>6.69</v>
      </c>
      <c r="J404" s="249">
        <v>6.6499999999999995</v>
      </c>
      <c r="K404" s="249">
        <v>8.2199999999999989</v>
      </c>
      <c r="L404" s="249">
        <v>10.389999999999999</v>
      </c>
      <c r="M404" s="249">
        <v>6.589999999999999</v>
      </c>
      <c r="N404" s="249">
        <v>7.9500000000000011</v>
      </c>
      <c r="O404" s="249">
        <v>10.009999999999998</v>
      </c>
      <c r="P404" s="249">
        <v>3.3000000000000003</v>
      </c>
      <c r="Q404" s="249">
        <v>2.39</v>
      </c>
      <c r="R404" s="249">
        <v>2.78</v>
      </c>
      <c r="S404" s="250">
        <v>73.19</v>
      </c>
      <c r="T404" s="247">
        <v>0.9</v>
      </c>
      <c r="U404" s="437"/>
      <c r="V404" s="437"/>
    </row>
    <row r="405" spans="1:22" customFormat="1" x14ac:dyDescent="0.25">
      <c r="A405" s="214">
        <v>13</v>
      </c>
      <c r="B405" s="215" t="s">
        <v>332</v>
      </c>
      <c r="C405" s="248" t="s">
        <v>274</v>
      </c>
      <c r="D405" s="245" t="s">
        <v>273</v>
      </c>
      <c r="E405" s="215" t="s">
        <v>331</v>
      </c>
      <c r="F405" s="216" t="s">
        <v>333</v>
      </c>
      <c r="G405" s="249">
        <v>1.455322280479193</v>
      </c>
      <c r="H405" s="249">
        <v>1.8929520739663257</v>
      </c>
      <c r="I405" s="249">
        <v>3.8771724971598003</v>
      </c>
      <c r="J405" s="249">
        <v>6.1069649804176436</v>
      </c>
      <c r="K405" s="249">
        <v>8.9484954412364726</v>
      </c>
      <c r="L405" s="249">
        <v>11.856129546388331</v>
      </c>
      <c r="M405" s="249">
        <v>9.5783299965048183</v>
      </c>
      <c r="N405" s="249">
        <v>6.5894710329138038</v>
      </c>
      <c r="O405" s="249">
        <v>3.8331621509336129</v>
      </c>
      <c r="P405" s="249">
        <v>-2.5150193566041512</v>
      </c>
      <c r="Q405" s="249">
        <v>-1.5500875669055003</v>
      </c>
      <c r="R405" s="249">
        <v>-1.4704930764903483</v>
      </c>
      <c r="S405" s="250">
        <v>48.602400000000003</v>
      </c>
      <c r="T405" s="247">
        <v>0.9</v>
      </c>
      <c r="U405" s="437"/>
      <c r="V405" s="437"/>
    </row>
    <row r="406" spans="1:22" customFormat="1" x14ac:dyDescent="0.25">
      <c r="A406" s="214">
        <v>13</v>
      </c>
      <c r="B406" s="215" t="s">
        <v>335</v>
      </c>
      <c r="C406" s="248" t="s">
        <v>274</v>
      </c>
      <c r="D406" s="245" t="s">
        <v>273</v>
      </c>
      <c r="E406" s="215" t="s">
        <v>334</v>
      </c>
      <c r="F406" s="216" t="s">
        <v>336</v>
      </c>
      <c r="G406" s="249">
        <v>0.49952019865799102</v>
      </c>
      <c r="H406" s="249">
        <v>0.53605708098489224</v>
      </c>
      <c r="I406" s="249">
        <v>1.4004927112709924</v>
      </c>
      <c r="J406" s="249">
        <v>1.4151326113530456</v>
      </c>
      <c r="K406" s="249">
        <v>2.1054158793457263</v>
      </c>
      <c r="L406" s="249">
        <v>3.4375849980347595</v>
      </c>
      <c r="M406" s="249">
        <v>2.9377278897700907</v>
      </c>
      <c r="N406" s="249">
        <v>1.8302114132084184</v>
      </c>
      <c r="O406" s="249">
        <v>1.0224610077543144</v>
      </c>
      <c r="P406" s="249">
        <v>0.39819462354654839</v>
      </c>
      <c r="Q406" s="249">
        <v>0.26526170156026907</v>
      </c>
      <c r="R406" s="249">
        <v>0.38293988451295158</v>
      </c>
      <c r="S406" s="250">
        <v>16.230999999999998</v>
      </c>
      <c r="T406" s="247">
        <v>0.9</v>
      </c>
      <c r="U406" s="437"/>
      <c r="V406" s="437"/>
    </row>
    <row r="407" spans="1:22" customFormat="1" x14ac:dyDescent="0.25">
      <c r="A407" s="214">
        <v>13</v>
      </c>
      <c r="B407" s="215" t="s">
        <v>351</v>
      </c>
      <c r="C407" s="248" t="s">
        <v>274</v>
      </c>
      <c r="D407" s="245" t="s">
        <v>273</v>
      </c>
      <c r="E407" s="215" t="s">
        <v>350</v>
      </c>
      <c r="F407" s="216" t="s">
        <v>352</v>
      </c>
      <c r="G407" s="249">
        <v>0</v>
      </c>
      <c r="H407" s="249">
        <v>0</v>
      </c>
      <c r="I407" s="249">
        <v>0</v>
      </c>
      <c r="J407" s="249">
        <v>0</v>
      </c>
      <c r="K407" s="249">
        <v>0</v>
      </c>
      <c r="L407" s="249">
        <v>0</v>
      </c>
      <c r="M407" s="249">
        <v>0</v>
      </c>
      <c r="N407" s="249">
        <v>0</v>
      </c>
      <c r="O407" s="249">
        <v>0</v>
      </c>
      <c r="P407" s="249">
        <v>0</v>
      </c>
      <c r="Q407" s="249">
        <v>0</v>
      </c>
      <c r="R407" s="249">
        <v>0</v>
      </c>
      <c r="S407" s="250">
        <v>0</v>
      </c>
      <c r="T407" s="247">
        <v>0.9</v>
      </c>
      <c r="U407" s="437"/>
      <c r="V407" s="437"/>
    </row>
    <row r="408" spans="1:22" customFormat="1" x14ac:dyDescent="0.25">
      <c r="A408" s="214">
        <v>13</v>
      </c>
      <c r="B408" s="215" t="s">
        <v>351</v>
      </c>
      <c r="C408" s="248" t="s">
        <v>274</v>
      </c>
      <c r="D408" s="245" t="s">
        <v>273</v>
      </c>
      <c r="E408" s="215" t="s">
        <v>379</v>
      </c>
      <c r="F408" s="216" t="s">
        <v>16</v>
      </c>
      <c r="G408" s="249">
        <v>0</v>
      </c>
      <c r="H408" s="249">
        <v>0</v>
      </c>
      <c r="I408" s="249">
        <v>0</v>
      </c>
      <c r="J408" s="249">
        <v>0</v>
      </c>
      <c r="K408" s="249">
        <v>0</v>
      </c>
      <c r="L408" s="249">
        <v>0</v>
      </c>
      <c r="M408" s="249">
        <v>0</v>
      </c>
      <c r="N408" s="249">
        <v>0</v>
      </c>
      <c r="O408" s="249">
        <v>0</v>
      </c>
      <c r="P408" s="249">
        <v>0</v>
      </c>
      <c r="Q408" s="249">
        <v>0</v>
      </c>
      <c r="R408" s="249">
        <v>0</v>
      </c>
      <c r="S408" s="250">
        <v>0</v>
      </c>
      <c r="T408" s="247">
        <v>0.9</v>
      </c>
      <c r="U408" s="437"/>
      <c r="V408" s="437"/>
    </row>
    <row r="409" spans="1:22" customFormat="1" x14ac:dyDescent="0.25">
      <c r="A409" s="214">
        <v>13</v>
      </c>
      <c r="B409" s="215" t="s">
        <v>335</v>
      </c>
      <c r="C409" s="248" t="s">
        <v>274</v>
      </c>
      <c r="D409" s="245" t="s">
        <v>273</v>
      </c>
      <c r="E409" s="215" t="s">
        <v>348</v>
      </c>
      <c r="F409" s="216" t="s">
        <v>349</v>
      </c>
      <c r="G409" s="249">
        <v>0.22359721357120008</v>
      </c>
      <c r="H409" s="249">
        <v>0.30988252911034303</v>
      </c>
      <c r="I409" s="249">
        <v>0.73362879017821647</v>
      </c>
      <c r="J409" s="249">
        <v>0.74528950360109114</v>
      </c>
      <c r="K409" s="249">
        <v>1.0643089364358502</v>
      </c>
      <c r="L409" s="249">
        <v>2.4285958055070647</v>
      </c>
      <c r="M409" s="249">
        <v>2.7721745292834301</v>
      </c>
      <c r="N409" s="249">
        <v>1.3300518827690222</v>
      </c>
      <c r="O409" s="249">
        <v>0.53247080954378145</v>
      </c>
      <c r="P409" s="249">
        <v>-0.3249587375588629</v>
      </c>
      <c r="Q409" s="249">
        <v>-0.28577896547743181</v>
      </c>
      <c r="R409" s="249">
        <v>-0.2354063352628657</v>
      </c>
      <c r="S409" s="250">
        <v>9.2938559617008387</v>
      </c>
      <c r="T409" s="247">
        <v>0.9</v>
      </c>
      <c r="U409" s="437"/>
      <c r="V409" s="437"/>
    </row>
    <row r="410" spans="1:22" customFormat="1" x14ac:dyDescent="0.25">
      <c r="A410" s="214">
        <v>13</v>
      </c>
      <c r="B410" s="215" t="s">
        <v>351</v>
      </c>
      <c r="C410" s="248" t="s">
        <v>274</v>
      </c>
      <c r="D410" s="245" t="s">
        <v>273</v>
      </c>
      <c r="E410" s="215" t="s">
        <v>380</v>
      </c>
      <c r="F410" s="216" t="s">
        <v>381</v>
      </c>
      <c r="G410" s="249">
        <v>0.189</v>
      </c>
      <c r="H410" s="249">
        <v>0.35600000000000004</v>
      </c>
      <c r="I410" s="249">
        <v>0.92600000000000005</v>
      </c>
      <c r="J410" s="249">
        <v>0.81699999999999995</v>
      </c>
      <c r="K410" s="249">
        <v>1.0940000000000001</v>
      </c>
      <c r="L410" s="249">
        <v>2.5870000000000002</v>
      </c>
      <c r="M410" s="249">
        <v>3.8759999999999999</v>
      </c>
      <c r="N410" s="249">
        <v>1.63</v>
      </c>
      <c r="O410" s="249">
        <v>0.45100000000000001</v>
      </c>
      <c r="P410" s="249">
        <v>-0.21499999999999997</v>
      </c>
      <c r="Q410" s="249">
        <v>-0.14699999999999999</v>
      </c>
      <c r="R410" s="249">
        <v>-6.9000000000000006E-2</v>
      </c>
      <c r="S410" s="250">
        <v>11.494999999999999</v>
      </c>
      <c r="T410" s="247">
        <v>0.9</v>
      </c>
      <c r="U410" s="437"/>
      <c r="V410" s="437"/>
    </row>
    <row r="411" spans="1:22" customFormat="1" x14ac:dyDescent="0.25">
      <c r="A411" s="214">
        <v>13</v>
      </c>
      <c r="B411" s="215" t="s">
        <v>351</v>
      </c>
      <c r="C411" s="248" t="s">
        <v>274</v>
      </c>
      <c r="D411" s="245" t="s">
        <v>273</v>
      </c>
      <c r="E411" s="215" t="s">
        <v>382</v>
      </c>
      <c r="F411" s="216" t="s">
        <v>383</v>
      </c>
      <c r="G411" s="249">
        <v>0.312</v>
      </c>
      <c r="H411" s="249">
        <v>0.21400000000000002</v>
      </c>
      <c r="I411" s="249">
        <v>0.34100000000000003</v>
      </c>
      <c r="J411" s="249">
        <v>0.41100000000000003</v>
      </c>
      <c r="K411" s="249">
        <v>0.73299999999999998</v>
      </c>
      <c r="L411" s="249">
        <v>1.3190000000000002</v>
      </c>
      <c r="M411" s="249">
        <v>1.4470000000000001</v>
      </c>
      <c r="N411" s="249">
        <v>1.0050000000000001</v>
      </c>
      <c r="O411" s="249">
        <v>0.79200000000000004</v>
      </c>
      <c r="P411" s="249">
        <v>-0.28500000000000009</v>
      </c>
      <c r="Q411" s="249">
        <v>-0.22000000000000003</v>
      </c>
      <c r="R411" s="249">
        <v>-0.14100000000000001</v>
      </c>
      <c r="S411" s="250">
        <v>5.9219999999999997</v>
      </c>
      <c r="T411" s="247">
        <v>0.9</v>
      </c>
      <c r="U411" s="437"/>
      <c r="V411" s="437"/>
    </row>
    <row r="412" spans="1:22" customFormat="1" x14ac:dyDescent="0.25">
      <c r="A412" s="214">
        <v>13</v>
      </c>
      <c r="B412" s="215" t="s">
        <v>351</v>
      </c>
      <c r="C412" s="248" t="s">
        <v>274</v>
      </c>
      <c r="D412" s="245" t="s">
        <v>273</v>
      </c>
      <c r="E412" s="215" t="s">
        <v>384</v>
      </c>
      <c r="F412" s="216" t="s">
        <v>385</v>
      </c>
      <c r="G412" s="249">
        <v>0</v>
      </c>
      <c r="H412" s="249">
        <v>0</v>
      </c>
      <c r="I412" s="249">
        <v>0</v>
      </c>
      <c r="J412" s="249">
        <v>0</v>
      </c>
      <c r="K412" s="249">
        <v>0</v>
      </c>
      <c r="L412" s="249">
        <v>0</v>
      </c>
      <c r="M412" s="249">
        <v>0</v>
      </c>
      <c r="N412" s="249">
        <v>0</v>
      </c>
      <c r="O412" s="249">
        <v>0</v>
      </c>
      <c r="P412" s="249">
        <v>0</v>
      </c>
      <c r="Q412" s="249">
        <v>0</v>
      </c>
      <c r="R412" s="249">
        <v>0</v>
      </c>
      <c r="S412" s="250">
        <v>0</v>
      </c>
      <c r="T412" s="247">
        <v>0.9</v>
      </c>
      <c r="U412" s="437"/>
      <c r="V412" s="437"/>
    </row>
    <row r="413" spans="1:22" customFormat="1" x14ac:dyDescent="0.25">
      <c r="A413" s="214">
        <v>13</v>
      </c>
      <c r="B413" s="215" t="s">
        <v>351</v>
      </c>
      <c r="C413" s="355" t="s">
        <v>274</v>
      </c>
      <c r="D413" s="245" t="s">
        <v>273</v>
      </c>
      <c r="E413" s="215" t="s">
        <v>386</v>
      </c>
      <c r="F413" s="216" t="s">
        <v>387</v>
      </c>
      <c r="G413" s="353">
        <v>1.8504879060053474</v>
      </c>
      <c r="H413" s="353">
        <v>1.8614435432001621</v>
      </c>
      <c r="I413" s="353">
        <v>3.4489507716232026</v>
      </c>
      <c r="J413" s="353">
        <v>4.8825943312501341</v>
      </c>
      <c r="K413" s="353">
        <v>7.5354372186464191</v>
      </c>
      <c r="L413" s="353">
        <v>13.537116295266085</v>
      </c>
      <c r="M413" s="353">
        <v>12.519845697173306</v>
      </c>
      <c r="N413" s="353">
        <v>8.0259969889661527</v>
      </c>
      <c r="O413" s="353">
        <v>5.2312428982040533</v>
      </c>
      <c r="P413" s="353">
        <v>-1.7827826881328757</v>
      </c>
      <c r="Q413" s="353">
        <v>-1.1426453116435331</v>
      </c>
      <c r="R413" s="353">
        <v>-0.75668765055845166</v>
      </c>
      <c r="S413" s="356">
        <v>55.213999999999984</v>
      </c>
      <c r="T413" s="354">
        <v>0.9</v>
      </c>
      <c r="U413" s="222">
        <v>0</v>
      </c>
      <c r="V413" s="222">
        <v>1</v>
      </c>
    </row>
    <row r="414" spans="1:22" customFormat="1" x14ac:dyDescent="0.25">
      <c r="A414" s="214">
        <v>13</v>
      </c>
      <c r="B414" s="215" t="s">
        <v>389</v>
      </c>
      <c r="C414" s="248" t="s">
        <v>274</v>
      </c>
      <c r="D414" s="245" t="s">
        <v>273</v>
      </c>
      <c r="E414" s="215" t="s">
        <v>388</v>
      </c>
      <c r="F414" s="216" t="s">
        <v>112</v>
      </c>
      <c r="G414" s="249">
        <v>0.92356485771843866</v>
      </c>
      <c r="H414" s="249">
        <v>1.38447742276731</v>
      </c>
      <c r="I414" s="249">
        <v>2.4583364777888073</v>
      </c>
      <c r="J414" s="249">
        <v>3.1808279065961775</v>
      </c>
      <c r="K414" s="249">
        <v>3.7830603303757466</v>
      </c>
      <c r="L414" s="249">
        <v>5.0443490114853731</v>
      </c>
      <c r="M414" s="249">
        <v>5.5695021665595048</v>
      </c>
      <c r="N414" s="249">
        <v>3.7296470598671894</v>
      </c>
      <c r="O414" s="249">
        <v>1.5723765968923917</v>
      </c>
      <c r="P414" s="249">
        <v>-0.64527789781313449</v>
      </c>
      <c r="Q414" s="249">
        <v>-0.44727987766632094</v>
      </c>
      <c r="R414" s="249">
        <v>-0.28461692070774303</v>
      </c>
      <c r="S414" s="250">
        <v>26.268967133863743</v>
      </c>
      <c r="T414" s="247">
        <v>0.9</v>
      </c>
      <c r="U414" s="222">
        <v>0</v>
      </c>
      <c r="V414" s="229">
        <v>1</v>
      </c>
    </row>
    <row r="415" spans="1:22" customFormat="1" x14ac:dyDescent="0.25">
      <c r="A415" s="214">
        <v>13</v>
      </c>
      <c r="B415" s="215" t="s">
        <v>351</v>
      </c>
      <c r="C415" s="248" t="s">
        <v>274</v>
      </c>
      <c r="D415" s="245" t="s">
        <v>273</v>
      </c>
      <c r="E415" s="215" t="s">
        <v>390</v>
      </c>
      <c r="F415" s="216" t="s">
        <v>391</v>
      </c>
      <c r="G415" s="249">
        <v>0.09</v>
      </c>
      <c r="H415" s="249">
        <v>0.20399999999999999</v>
      </c>
      <c r="I415" s="249">
        <v>0.46599999999999997</v>
      </c>
      <c r="J415" s="249">
        <v>0.68300000000000005</v>
      </c>
      <c r="K415" s="249">
        <v>0.6070000000000001</v>
      </c>
      <c r="L415" s="249">
        <v>0.96</v>
      </c>
      <c r="M415" s="249">
        <v>0.94</v>
      </c>
      <c r="N415" s="249">
        <v>0.31900000000000006</v>
      </c>
      <c r="O415" s="249">
        <v>0.16899999999999998</v>
      </c>
      <c r="P415" s="249">
        <v>-0.14499999999999999</v>
      </c>
      <c r="Q415" s="249">
        <v>-0.14399999999999999</v>
      </c>
      <c r="R415" s="249">
        <v>-6.5000000000000002E-2</v>
      </c>
      <c r="S415" s="250">
        <v>4.0869999999999997</v>
      </c>
      <c r="T415" s="247">
        <v>0.9</v>
      </c>
      <c r="U415" s="222">
        <v>0</v>
      </c>
      <c r="V415" s="229">
        <v>1</v>
      </c>
    </row>
    <row r="416" spans="1:22" customFormat="1" x14ac:dyDescent="0.25">
      <c r="A416" s="214">
        <v>13</v>
      </c>
      <c r="B416" s="215" t="s">
        <v>393</v>
      </c>
      <c r="C416" s="248" t="s">
        <v>274</v>
      </c>
      <c r="D416" s="245" t="s">
        <v>273</v>
      </c>
      <c r="E416" s="215" t="s">
        <v>392</v>
      </c>
      <c r="F416" s="216" t="s">
        <v>394</v>
      </c>
      <c r="G416" s="249">
        <v>0.39433878131156053</v>
      </c>
      <c r="H416" s="249">
        <v>0</v>
      </c>
      <c r="I416" s="249">
        <v>0</v>
      </c>
      <c r="J416" s="249">
        <v>0</v>
      </c>
      <c r="K416" s="249">
        <v>0</v>
      </c>
      <c r="L416" s="249">
        <v>0</v>
      </c>
      <c r="M416" s="249">
        <v>0</v>
      </c>
      <c r="N416" s="249">
        <v>2.135091704943008</v>
      </c>
      <c r="O416" s="249">
        <v>4.7271531123016501</v>
      </c>
      <c r="P416" s="249">
        <v>6.9568357575436544</v>
      </c>
      <c r="Q416" s="249">
        <v>5.3892549365760392</v>
      </c>
      <c r="R416" s="249">
        <v>1.1505257073240862</v>
      </c>
      <c r="S416" s="250">
        <v>20.753200000000003</v>
      </c>
      <c r="T416" s="247">
        <v>0.9</v>
      </c>
      <c r="U416" s="229">
        <v>1</v>
      </c>
      <c r="V416" s="229">
        <v>-1</v>
      </c>
    </row>
    <row r="417" spans="1:22" customFormat="1" x14ac:dyDescent="0.25">
      <c r="A417" s="214">
        <v>15</v>
      </c>
      <c r="B417" s="215" t="s">
        <v>247</v>
      </c>
      <c r="C417" s="248" t="s">
        <v>278</v>
      </c>
      <c r="D417" s="245" t="s">
        <v>277</v>
      </c>
      <c r="E417" s="215" t="s">
        <v>246</v>
      </c>
      <c r="F417" s="216" t="s">
        <v>248</v>
      </c>
      <c r="G417" s="249">
        <v>2.7270000000000008</v>
      </c>
      <c r="H417" s="249">
        <v>4.6709999999999994</v>
      </c>
      <c r="I417" s="249">
        <v>6.0210000000000008</v>
      </c>
      <c r="J417" s="249">
        <v>5.9849999999999994</v>
      </c>
      <c r="K417" s="249">
        <v>7.3979999999999988</v>
      </c>
      <c r="L417" s="249">
        <v>9.3509999999999991</v>
      </c>
      <c r="M417" s="249">
        <v>5.9309999999999992</v>
      </c>
      <c r="N417" s="249">
        <v>7.1550000000000011</v>
      </c>
      <c r="O417" s="249">
        <v>9.0089999999999986</v>
      </c>
      <c r="P417" s="249">
        <v>2.97</v>
      </c>
      <c r="Q417" s="249">
        <v>2.1510000000000002</v>
      </c>
      <c r="R417" s="249">
        <v>2.5019999999999998</v>
      </c>
      <c r="S417" s="250">
        <v>65.870999999999995</v>
      </c>
      <c r="T417" s="247">
        <v>0.9</v>
      </c>
      <c r="U417" s="229">
        <v>1</v>
      </c>
      <c r="V417" s="229">
        <v>-1</v>
      </c>
    </row>
    <row r="418" spans="1:22" customFormat="1" x14ac:dyDescent="0.25">
      <c r="A418" s="214">
        <v>15</v>
      </c>
      <c r="B418" s="215" t="s">
        <v>332</v>
      </c>
      <c r="C418" s="248" t="s">
        <v>278</v>
      </c>
      <c r="D418" s="245" t="s">
        <v>277</v>
      </c>
      <c r="E418" s="215" t="s">
        <v>331</v>
      </c>
      <c r="F418" s="216" t="s">
        <v>333</v>
      </c>
      <c r="G418" s="249">
        <v>1.3097900524312738</v>
      </c>
      <c r="H418" s="249">
        <v>1.7036568665696932</v>
      </c>
      <c r="I418" s="249">
        <v>3.4894552474438205</v>
      </c>
      <c r="J418" s="249">
        <v>5.4962684823758794</v>
      </c>
      <c r="K418" s="249">
        <v>8.0536458971128262</v>
      </c>
      <c r="L418" s="249">
        <v>10.670516591749498</v>
      </c>
      <c r="M418" s="249">
        <v>8.620496996854337</v>
      </c>
      <c r="N418" s="249">
        <v>5.9305239296224235</v>
      </c>
      <c r="O418" s="249">
        <v>3.4498459358402518</v>
      </c>
      <c r="P418" s="249">
        <v>-2.2635174209437361</v>
      </c>
      <c r="Q418" s="249">
        <v>-1.3950788102149503</v>
      </c>
      <c r="R418" s="249">
        <v>-1.3234437688413134</v>
      </c>
      <c r="S418" s="250">
        <v>43.742160000000005</v>
      </c>
      <c r="T418" s="247">
        <v>0.9</v>
      </c>
      <c r="U418" s="222">
        <v>0</v>
      </c>
      <c r="V418" s="229">
        <v>-1</v>
      </c>
    </row>
    <row r="419" spans="1:22" customFormat="1" x14ac:dyDescent="0.25">
      <c r="A419" s="214">
        <v>15</v>
      </c>
      <c r="B419" s="215" t="s">
        <v>335</v>
      </c>
      <c r="C419" s="248" t="s">
        <v>278</v>
      </c>
      <c r="D419" s="245" t="s">
        <v>277</v>
      </c>
      <c r="E419" s="215" t="s">
        <v>334</v>
      </c>
      <c r="F419" s="216" t="s">
        <v>336</v>
      </c>
      <c r="G419" s="249">
        <v>0.44956817879219191</v>
      </c>
      <c r="H419" s="249">
        <v>0.48245137288640305</v>
      </c>
      <c r="I419" s="249">
        <v>1.2604434401438931</v>
      </c>
      <c r="J419" s="249">
        <v>1.2736193502177411</v>
      </c>
      <c r="K419" s="249">
        <v>1.8948742914111536</v>
      </c>
      <c r="L419" s="249">
        <v>3.0938264982312838</v>
      </c>
      <c r="M419" s="249">
        <v>2.6439551007930815</v>
      </c>
      <c r="N419" s="249">
        <v>1.6471902718875766</v>
      </c>
      <c r="O419" s="249">
        <v>0.92021490697888297</v>
      </c>
      <c r="P419" s="249">
        <v>0.35837516119189355</v>
      </c>
      <c r="Q419" s="249">
        <v>0.23873553140424217</v>
      </c>
      <c r="R419" s="249">
        <v>0.34464589606165641</v>
      </c>
      <c r="S419" s="250">
        <v>14.607899999999999</v>
      </c>
      <c r="T419" s="247">
        <v>0.9</v>
      </c>
      <c r="U419" s="222">
        <v>0</v>
      </c>
      <c r="V419" s="229">
        <v>1</v>
      </c>
    </row>
    <row r="420" spans="1:22" customFormat="1" x14ac:dyDescent="0.25">
      <c r="A420" s="214">
        <v>15</v>
      </c>
      <c r="B420" s="215" t="s">
        <v>351</v>
      </c>
      <c r="C420" s="248" t="s">
        <v>278</v>
      </c>
      <c r="D420" s="245" t="s">
        <v>277</v>
      </c>
      <c r="E420" s="215" t="s">
        <v>350</v>
      </c>
      <c r="F420" s="216" t="s">
        <v>352</v>
      </c>
      <c r="G420" s="249">
        <v>0</v>
      </c>
      <c r="H420" s="249">
        <v>0</v>
      </c>
      <c r="I420" s="249">
        <v>0</v>
      </c>
      <c r="J420" s="249">
        <v>0</v>
      </c>
      <c r="K420" s="249">
        <v>0</v>
      </c>
      <c r="L420" s="249">
        <v>0</v>
      </c>
      <c r="M420" s="249">
        <v>0</v>
      </c>
      <c r="N420" s="249">
        <v>0</v>
      </c>
      <c r="O420" s="249">
        <v>0</v>
      </c>
      <c r="P420" s="249">
        <v>0</v>
      </c>
      <c r="Q420" s="249">
        <v>0</v>
      </c>
      <c r="R420" s="249">
        <v>0</v>
      </c>
      <c r="S420" s="250">
        <v>0</v>
      </c>
      <c r="T420" s="247">
        <v>0.9</v>
      </c>
      <c r="U420" s="229">
        <v>1</v>
      </c>
      <c r="V420" s="222">
        <v>0</v>
      </c>
    </row>
    <row r="421" spans="1:22" customFormat="1" x14ac:dyDescent="0.25">
      <c r="A421" s="214">
        <v>15</v>
      </c>
      <c r="B421" s="215" t="s">
        <v>351</v>
      </c>
      <c r="C421" s="248" t="s">
        <v>278</v>
      </c>
      <c r="D421" s="245" t="s">
        <v>277</v>
      </c>
      <c r="E421" s="215" t="s">
        <v>379</v>
      </c>
      <c r="F421" s="216" t="s">
        <v>16</v>
      </c>
      <c r="G421" s="249">
        <v>0</v>
      </c>
      <c r="H421" s="249">
        <v>0</v>
      </c>
      <c r="I421" s="249">
        <v>0</v>
      </c>
      <c r="J421" s="249">
        <v>0</v>
      </c>
      <c r="K421" s="249">
        <v>0</v>
      </c>
      <c r="L421" s="249">
        <v>0</v>
      </c>
      <c r="M421" s="249">
        <v>0</v>
      </c>
      <c r="N421" s="249">
        <v>0</v>
      </c>
      <c r="O421" s="249">
        <v>0</v>
      </c>
      <c r="P421" s="249">
        <v>0</v>
      </c>
      <c r="Q421" s="249">
        <v>0</v>
      </c>
      <c r="R421" s="249">
        <v>0</v>
      </c>
      <c r="S421" s="250">
        <v>0</v>
      </c>
      <c r="T421" s="247">
        <v>0.9</v>
      </c>
      <c r="U421" s="222">
        <v>0</v>
      </c>
      <c r="V421" s="229">
        <v>-1</v>
      </c>
    </row>
    <row r="422" spans="1:22" customFormat="1" x14ac:dyDescent="0.25">
      <c r="A422" s="214">
        <v>15</v>
      </c>
      <c r="B422" s="215" t="s">
        <v>335</v>
      </c>
      <c r="C422" s="248" t="s">
        <v>278</v>
      </c>
      <c r="D422" s="245" t="s">
        <v>277</v>
      </c>
      <c r="E422" s="215" t="s">
        <v>348</v>
      </c>
      <c r="F422" s="216" t="s">
        <v>349</v>
      </c>
      <c r="G422" s="249">
        <v>0.20123749221408008</v>
      </c>
      <c r="H422" s="249">
        <v>0.27889427619930873</v>
      </c>
      <c r="I422" s="249">
        <v>0.66026591116039479</v>
      </c>
      <c r="J422" s="249">
        <v>0.67076055324098205</v>
      </c>
      <c r="K422" s="249">
        <v>0.95787804279226518</v>
      </c>
      <c r="L422" s="249">
        <v>2.1857362249563583</v>
      </c>
      <c r="M422" s="249">
        <v>2.494957076355087</v>
      </c>
      <c r="N422" s="249">
        <v>1.1970466944921201</v>
      </c>
      <c r="O422" s="249">
        <v>0.47922372858940332</v>
      </c>
      <c r="P422" s="249">
        <v>-0.29246286380297659</v>
      </c>
      <c r="Q422" s="249">
        <v>-0.25720106892968864</v>
      </c>
      <c r="R422" s="249">
        <v>-0.21186570173657912</v>
      </c>
      <c r="S422" s="250">
        <v>8.3644703655307548</v>
      </c>
      <c r="T422" s="247">
        <v>0.9</v>
      </c>
      <c r="U422" s="222">
        <v>0</v>
      </c>
      <c r="V422" s="229">
        <v>1</v>
      </c>
    </row>
    <row r="423" spans="1:22" customFormat="1" x14ac:dyDescent="0.25">
      <c r="A423" s="214">
        <v>15</v>
      </c>
      <c r="B423" s="215" t="s">
        <v>351</v>
      </c>
      <c r="C423" s="248" t="s">
        <v>278</v>
      </c>
      <c r="D423" s="245" t="s">
        <v>277</v>
      </c>
      <c r="E423" s="215" t="s">
        <v>380</v>
      </c>
      <c r="F423" s="216" t="s">
        <v>381</v>
      </c>
      <c r="G423" s="249">
        <v>0.1701</v>
      </c>
      <c r="H423" s="249">
        <v>0.32040000000000002</v>
      </c>
      <c r="I423" s="249">
        <v>0.83340000000000003</v>
      </c>
      <c r="J423" s="249">
        <v>0.73529999999999995</v>
      </c>
      <c r="K423" s="249">
        <v>0.98460000000000014</v>
      </c>
      <c r="L423" s="249">
        <v>2.3283</v>
      </c>
      <c r="M423" s="249">
        <v>3.4883999999999999</v>
      </c>
      <c r="N423" s="249">
        <v>1.4669999999999999</v>
      </c>
      <c r="O423" s="249">
        <v>0.40590000000000004</v>
      </c>
      <c r="P423" s="249">
        <v>-0.19349999999999998</v>
      </c>
      <c r="Q423" s="249">
        <v>-0.1323</v>
      </c>
      <c r="R423" s="249">
        <v>-6.2100000000000009E-2</v>
      </c>
      <c r="S423" s="250">
        <v>10.345499999999999</v>
      </c>
      <c r="T423" s="247">
        <v>0.9</v>
      </c>
      <c r="U423" s="229">
        <v>1</v>
      </c>
      <c r="V423" s="222">
        <v>0</v>
      </c>
    </row>
    <row r="424" spans="1:22" customFormat="1" x14ac:dyDescent="0.25">
      <c r="A424" s="214">
        <v>15</v>
      </c>
      <c r="B424" s="215" t="s">
        <v>351</v>
      </c>
      <c r="C424" s="248" t="s">
        <v>278</v>
      </c>
      <c r="D424" s="245" t="s">
        <v>277</v>
      </c>
      <c r="E424" s="215" t="s">
        <v>382</v>
      </c>
      <c r="F424" s="216" t="s">
        <v>383</v>
      </c>
      <c r="G424" s="249">
        <v>0.28079999999999999</v>
      </c>
      <c r="H424" s="249">
        <v>0.19260000000000002</v>
      </c>
      <c r="I424" s="249">
        <v>0.30690000000000001</v>
      </c>
      <c r="J424" s="249">
        <v>0.36990000000000006</v>
      </c>
      <c r="K424" s="249">
        <v>0.65969999999999995</v>
      </c>
      <c r="L424" s="249">
        <v>1.1871000000000003</v>
      </c>
      <c r="M424" s="249">
        <v>1.3023</v>
      </c>
      <c r="N424" s="249">
        <v>0.90450000000000008</v>
      </c>
      <c r="O424" s="249">
        <v>0.7128000000000001</v>
      </c>
      <c r="P424" s="249">
        <v>-0.25650000000000006</v>
      </c>
      <c r="Q424" s="249">
        <v>-0.19800000000000004</v>
      </c>
      <c r="R424" s="249">
        <v>-0.12690000000000001</v>
      </c>
      <c r="S424" s="250">
        <v>5.3297999999999996</v>
      </c>
      <c r="T424" s="247">
        <v>0.9</v>
      </c>
      <c r="U424" s="222">
        <v>0</v>
      </c>
      <c r="V424" s="222">
        <v>0</v>
      </c>
    </row>
    <row r="425" spans="1:22" customFormat="1" x14ac:dyDescent="0.25">
      <c r="A425" s="214">
        <v>15</v>
      </c>
      <c r="B425" s="215" t="s">
        <v>351</v>
      </c>
      <c r="C425" s="248" t="s">
        <v>278</v>
      </c>
      <c r="D425" s="245" t="s">
        <v>277</v>
      </c>
      <c r="E425" s="215" t="s">
        <v>384</v>
      </c>
      <c r="F425" s="216" t="s">
        <v>385</v>
      </c>
      <c r="G425" s="249">
        <v>0</v>
      </c>
      <c r="H425" s="249">
        <v>0</v>
      </c>
      <c r="I425" s="249">
        <v>0</v>
      </c>
      <c r="J425" s="249">
        <v>0</v>
      </c>
      <c r="K425" s="249">
        <v>0</v>
      </c>
      <c r="L425" s="249">
        <v>0</v>
      </c>
      <c r="M425" s="249">
        <v>0</v>
      </c>
      <c r="N425" s="249">
        <v>0</v>
      </c>
      <c r="O425" s="249">
        <v>0</v>
      </c>
      <c r="P425" s="249">
        <v>0</v>
      </c>
      <c r="Q425" s="249">
        <v>0</v>
      </c>
      <c r="R425" s="249">
        <v>0</v>
      </c>
      <c r="S425" s="250">
        <v>0</v>
      </c>
      <c r="T425" s="247">
        <v>0.9</v>
      </c>
      <c r="U425" s="222">
        <v>0</v>
      </c>
      <c r="V425" s="229">
        <v>-1</v>
      </c>
    </row>
    <row r="426" spans="1:22" customFormat="1" x14ac:dyDescent="0.25">
      <c r="A426" s="214">
        <v>15</v>
      </c>
      <c r="B426" s="215" t="s">
        <v>351</v>
      </c>
      <c r="C426" s="355" t="s">
        <v>278</v>
      </c>
      <c r="D426" s="245" t="s">
        <v>277</v>
      </c>
      <c r="E426" s="215" t="s">
        <v>386</v>
      </c>
      <c r="F426" s="216" t="s">
        <v>387</v>
      </c>
      <c r="G426" s="353">
        <v>1.6654391154048127</v>
      </c>
      <c r="H426" s="353">
        <v>1.6752991888801461</v>
      </c>
      <c r="I426" s="353">
        <v>3.1040556944608824</v>
      </c>
      <c r="J426" s="353">
        <v>4.3943348981251207</v>
      </c>
      <c r="K426" s="353">
        <v>6.7818934967817777</v>
      </c>
      <c r="L426" s="353">
        <v>12.183404665739477</v>
      </c>
      <c r="M426" s="353">
        <v>11.267861127455976</v>
      </c>
      <c r="N426" s="353">
        <v>7.2233972900695376</v>
      </c>
      <c r="O426" s="353">
        <v>4.7081186083836482</v>
      </c>
      <c r="P426" s="353">
        <v>-1.6045044193195881</v>
      </c>
      <c r="Q426" s="353">
        <v>-1.0283807804791798</v>
      </c>
      <c r="R426" s="353">
        <v>-0.68101888550260647</v>
      </c>
      <c r="S426" s="356">
        <v>49.692599999999985</v>
      </c>
      <c r="T426" s="354">
        <v>0.9</v>
      </c>
      <c r="U426" s="222">
        <v>0</v>
      </c>
      <c r="V426" s="229">
        <v>1</v>
      </c>
    </row>
    <row r="427" spans="1:22" customFormat="1" x14ac:dyDescent="0.25">
      <c r="A427" s="214">
        <v>15</v>
      </c>
      <c r="B427" s="215" t="s">
        <v>389</v>
      </c>
      <c r="C427" s="355" t="s">
        <v>278</v>
      </c>
      <c r="D427" s="245" t="s">
        <v>277</v>
      </c>
      <c r="E427" s="215" t="s">
        <v>388</v>
      </c>
      <c r="F427" s="216" t="s">
        <v>112</v>
      </c>
      <c r="G427" s="353">
        <v>0.8312083719465948</v>
      </c>
      <c r="H427" s="353">
        <v>1.2460296804905791</v>
      </c>
      <c r="I427" s="353">
        <v>2.2125028300099268</v>
      </c>
      <c r="J427" s="353">
        <v>2.8627451159365598</v>
      </c>
      <c r="K427" s="353">
        <v>3.4047542973381719</v>
      </c>
      <c r="L427" s="353">
        <v>4.5399141103368361</v>
      </c>
      <c r="M427" s="353">
        <v>5.0125519499035542</v>
      </c>
      <c r="N427" s="353">
        <v>3.3566823538804704</v>
      </c>
      <c r="O427" s="353">
        <v>1.4151389372031526</v>
      </c>
      <c r="P427" s="249">
        <v>-0.58075010803182103</v>
      </c>
      <c r="Q427" s="249">
        <v>-0.40255188989968888</v>
      </c>
      <c r="R427" s="249">
        <v>-0.25615522863696871</v>
      </c>
      <c r="S427" s="356">
        <v>23.642070420477371</v>
      </c>
      <c r="T427" s="247">
        <v>0.9</v>
      </c>
      <c r="U427" s="229">
        <v>1</v>
      </c>
      <c r="V427" s="222">
        <v>0</v>
      </c>
    </row>
    <row r="428" spans="1:22" customFormat="1" x14ac:dyDescent="0.25">
      <c r="A428" s="214">
        <v>15</v>
      </c>
      <c r="B428" s="215" t="s">
        <v>351</v>
      </c>
      <c r="C428" s="248" t="s">
        <v>278</v>
      </c>
      <c r="D428" s="245" t="s">
        <v>277</v>
      </c>
      <c r="E428" s="215" t="s">
        <v>390</v>
      </c>
      <c r="F428" s="216" t="s">
        <v>391</v>
      </c>
      <c r="G428" s="249">
        <v>8.1000000000000003E-2</v>
      </c>
      <c r="H428" s="249">
        <v>0.18359999999999999</v>
      </c>
      <c r="I428" s="249">
        <v>0.4194</v>
      </c>
      <c r="J428" s="249">
        <v>0.61470000000000002</v>
      </c>
      <c r="K428" s="249">
        <v>0.54630000000000012</v>
      </c>
      <c r="L428" s="249">
        <v>0.86399999999999999</v>
      </c>
      <c r="M428" s="249">
        <v>0.84599999999999997</v>
      </c>
      <c r="N428" s="249">
        <v>0.28710000000000008</v>
      </c>
      <c r="O428" s="249">
        <v>0.15209999999999999</v>
      </c>
      <c r="P428" s="249">
        <v>-0.1305</v>
      </c>
      <c r="Q428" s="249">
        <v>-0.12959999999999999</v>
      </c>
      <c r="R428" s="249">
        <v>-5.8500000000000003E-2</v>
      </c>
      <c r="S428" s="250">
        <v>3.6782999999999997</v>
      </c>
      <c r="T428" s="247">
        <v>0.9</v>
      </c>
      <c r="U428" s="222">
        <v>0</v>
      </c>
      <c r="V428" s="229">
        <v>-1</v>
      </c>
    </row>
    <row r="429" spans="1:22" customFormat="1" x14ac:dyDescent="0.25">
      <c r="A429" s="214">
        <v>15</v>
      </c>
      <c r="B429" s="215" t="s">
        <v>393</v>
      </c>
      <c r="C429" s="248" t="s">
        <v>278</v>
      </c>
      <c r="D429" s="245" t="s">
        <v>277</v>
      </c>
      <c r="E429" s="215" t="s">
        <v>392</v>
      </c>
      <c r="F429" s="216" t="s">
        <v>394</v>
      </c>
      <c r="G429" s="249">
        <v>0.35490490318040446</v>
      </c>
      <c r="H429" s="249">
        <v>0</v>
      </c>
      <c r="I429" s="249">
        <v>0</v>
      </c>
      <c r="J429" s="249">
        <v>0</v>
      </c>
      <c r="K429" s="249">
        <v>0</v>
      </c>
      <c r="L429" s="249">
        <v>0</v>
      </c>
      <c r="M429" s="249">
        <v>0</v>
      </c>
      <c r="N429" s="249">
        <v>1.9215825344487072</v>
      </c>
      <c r="O429" s="249">
        <v>4.2544378010714849</v>
      </c>
      <c r="P429" s="249">
        <v>6.2611521817892895</v>
      </c>
      <c r="Q429" s="249">
        <v>4.8503294429184356</v>
      </c>
      <c r="R429" s="249">
        <v>1.0354731365916776</v>
      </c>
      <c r="S429" s="250">
        <v>18.677880000000002</v>
      </c>
      <c r="T429" s="247">
        <v>0.9</v>
      </c>
      <c r="U429" s="222">
        <v>0</v>
      </c>
      <c r="V429" s="229">
        <v>1</v>
      </c>
    </row>
    <row r="430" spans="1:22" customFormat="1" x14ac:dyDescent="0.25">
      <c r="A430" s="214">
        <v>14</v>
      </c>
      <c r="B430" s="215" t="s">
        <v>247</v>
      </c>
      <c r="C430" s="248" t="s">
        <v>276</v>
      </c>
      <c r="D430" s="245" t="s">
        <v>275</v>
      </c>
      <c r="E430" s="215" t="s">
        <v>246</v>
      </c>
      <c r="F430" s="216" t="s">
        <v>248</v>
      </c>
      <c r="G430" s="249">
        <v>0.30299999999999994</v>
      </c>
      <c r="H430" s="249">
        <v>0.51900000000000013</v>
      </c>
      <c r="I430" s="249">
        <v>0.66899999999999959</v>
      </c>
      <c r="J430" s="249">
        <v>0.66500000000000004</v>
      </c>
      <c r="K430" s="249">
        <v>0.82200000000000006</v>
      </c>
      <c r="L430" s="249">
        <v>1.0389999999999997</v>
      </c>
      <c r="M430" s="249">
        <v>0.65899999999999981</v>
      </c>
      <c r="N430" s="249">
        <v>0.79499999999999993</v>
      </c>
      <c r="O430" s="249">
        <v>1.0009999999999994</v>
      </c>
      <c r="P430" s="249">
        <v>0.33000000000000007</v>
      </c>
      <c r="Q430" s="249">
        <v>0.23899999999999988</v>
      </c>
      <c r="R430" s="249">
        <v>0.27800000000000002</v>
      </c>
      <c r="S430" s="250">
        <v>7.3190000000000026</v>
      </c>
      <c r="T430" s="247">
        <v>0.1</v>
      </c>
      <c r="U430" s="222">
        <v>0</v>
      </c>
      <c r="V430" s="222">
        <v>0</v>
      </c>
    </row>
    <row r="431" spans="1:22" customFormat="1" x14ac:dyDescent="0.25">
      <c r="A431" s="214">
        <v>14</v>
      </c>
      <c r="B431" s="215" t="s">
        <v>332</v>
      </c>
      <c r="C431" s="248" t="s">
        <v>276</v>
      </c>
      <c r="D431" s="245" t="s">
        <v>275</v>
      </c>
      <c r="E431" s="215" t="s">
        <v>331</v>
      </c>
      <c r="F431" s="216" t="s">
        <v>333</v>
      </c>
      <c r="G431" s="249">
        <v>0.14553222804791921</v>
      </c>
      <c r="H431" s="249">
        <v>0.18929520739663253</v>
      </c>
      <c r="I431" s="249">
        <v>0.38771724971597976</v>
      </c>
      <c r="J431" s="249">
        <v>0.61069649804176418</v>
      </c>
      <c r="K431" s="249">
        <v>0.89484954412364637</v>
      </c>
      <c r="L431" s="249">
        <v>1.1856129546388328</v>
      </c>
      <c r="M431" s="249">
        <v>0.9578329996504813</v>
      </c>
      <c r="N431" s="249">
        <v>0.65894710329138029</v>
      </c>
      <c r="O431" s="249">
        <v>0.38331621509336111</v>
      </c>
      <c r="P431" s="249">
        <v>-0.25150193566041512</v>
      </c>
      <c r="Q431" s="249">
        <v>-0.15500875669055003</v>
      </c>
      <c r="R431" s="249">
        <v>-0.1470493076490349</v>
      </c>
      <c r="S431" s="250">
        <v>4.8602399999999975</v>
      </c>
      <c r="T431" s="247">
        <v>0.1</v>
      </c>
      <c r="U431" s="222">
        <v>0</v>
      </c>
      <c r="V431" s="222">
        <v>0</v>
      </c>
    </row>
    <row r="432" spans="1:22" customFormat="1" x14ac:dyDescent="0.25">
      <c r="A432" s="214">
        <v>14</v>
      </c>
      <c r="B432" s="215" t="s">
        <v>335</v>
      </c>
      <c r="C432" s="248" t="s">
        <v>276</v>
      </c>
      <c r="D432" s="245" t="s">
        <v>275</v>
      </c>
      <c r="E432" s="215" t="s">
        <v>334</v>
      </c>
      <c r="F432" s="216" t="s">
        <v>336</v>
      </c>
      <c r="G432" s="249">
        <v>4.9952019865799113E-2</v>
      </c>
      <c r="H432" s="249">
        <v>5.3605708098489191E-2</v>
      </c>
      <c r="I432" s="249">
        <v>0.14004927112709931</v>
      </c>
      <c r="J432" s="249">
        <v>0.14151326113530449</v>
      </c>
      <c r="K432" s="249">
        <v>0.21054158793457267</v>
      </c>
      <c r="L432" s="249">
        <v>0.34375849980347573</v>
      </c>
      <c r="M432" s="249">
        <v>0.2937727889770092</v>
      </c>
      <c r="N432" s="249">
        <v>0.1830211413208418</v>
      </c>
      <c r="O432" s="249">
        <v>0.10224610077543139</v>
      </c>
      <c r="P432" s="249">
        <v>3.9819462354654833E-2</v>
      </c>
      <c r="Q432" s="249">
        <v>2.6526170156026901E-2</v>
      </c>
      <c r="R432" s="249">
        <v>3.8293988451295169E-2</v>
      </c>
      <c r="S432" s="250">
        <v>1.6230999999999991</v>
      </c>
      <c r="T432" s="247">
        <v>0.1</v>
      </c>
      <c r="U432" s="222">
        <v>0</v>
      </c>
      <c r="V432" s="229">
        <v>1</v>
      </c>
    </row>
    <row r="433" spans="1:22" customFormat="1" x14ac:dyDescent="0.25">
      <c r="A433" s="214">
        <v>14</v>
      </c>
      <c r="B433" s="215" t="s">
        <v>351</v>
      </c>
      <c r="C433" s="248" t="s">
        <v>276</v>
      </c>
      <c r="D433" s="245" t="s">
        <v>275</v>
      </c>
      <c r="E433" s="215" t="s">
        <v>350</v>
      </c>
      <c r="F433" s="216" t="s">
        <v>352</v>
      </c>
      <c r="G433" s="249">
        <v>0</v>
      </c>
      <c r="H433" s="249">
        <v>0</v>
      </c>
      <c r="I433" s="249">
        <v>0</v>
      </c>
      <c r="J433" s="249">
        <v>0</v>
      </c>
      <c r="K433" s="249">
        <v>0</v>
      </c>
      <c r="L433" s="249">
        <v>0</v>
      </c>
      <c r="M433" s="249">
        <v>0</v>
      </c>
      <c r="N433" s="249">
        <v>0</v>
      </c>
      <c r="O433" s="249">
        <v>0</v>
      </c>
      <c r="P433" s="249">
        <v>0</v>
      </c>
      <c r="Q433" s="249">
        <v>0</v>
      </c>
      <c r="R433" s="249">
        <v>0</v>
      </c>
      <c r="S433" s="250">
        <v>0</v>
      </c>
      <c r="T433" s="247">
        <v>0.1</v>
      </c>
      <c r="U433" s="222">
        <v>0</v>
      </c>
      <c r="V433" s="222">
        <v>0</v>
      </c>
    </row>
    <row r="434" spans="1:22" customFormat="1" x14ac:dyDescent="0.25">
      <c r="A434" s="214">
        <v>14</v>
      </c>
      <c r="B434" s="215" t="s">
        <v>351</v>
      </c>
      <c r="C434" s="248" t="s">
        <v>276</v>
      </c>
      <c r="D434" s="245" t="s">
        <v>275</v>
      </c>
      <c r="E434" s="215" t="s">
        <v>379</v>
      </c>
      <c r="F434" s="216" t="s">
        <v>16</v>
      </c>
      <c r="G434" s="249">
        <v>0</v>
      </c>
      <c r="H434" s="249">
        <v>0</v>
      </c>
      <c r="I434" s="249">
        <v>0</v>
      </c>
      <c r="J434" s="249">
        <v>0</v>
      </c>
      <c r="K434" s="249">
        <v>0</v>
      </c>
      <c r="L434" s="249">
        <v>0</v>
      </c>
      <c r="M434" s="249">
        <v>0</v>
      </c>
      <c r="N434" s="249">
        <v>0</v>
      </c>
      <c r="O434" s="249">
        <v>0</v>
      </c>
      <c r="P434" s="249">
        <v>0</v>
      </c>
      <c r="Q434" s="249">
        <v>0</v>
      </c>
      <c r="R434" s="249">
        <v>0</v>
      </c>
      <c r="S434" s="250">
        <v>0</v>
      </c>
      <c r="T434" s="247">
        <v>0.1</v>
      </c>
      <c r="U434" s="222">
        <v>0</v>
      </c>
      <c r="V434" s="222">
        <v>0</v>
      </c>
    </row>
    <row r="435" spans="1:22" customFormat="1" x14ac:dyDescent="0.25">
      <c r="A435" s="214">
        <v>14</v>
      </c>
      <c r="B435" s="215" t="s">
        <v>335</v>
      </c>
      <c r="C435" s="248" t="s">
        <v>276</v>
      </c>
      <c r="D435" s="245" t="s">
        <v>275</v>
      </c>
      <c r="E435" s="215" t="s">
        <v>348</v>
      </c>
      <c r="F435" s="216" t="s">
        <v>349</v>
      </c>
      <c r="G435" s="249">
        <v>2.2359721357119999E-2</v>
      </c>
      <c r="H435" s="249">
        <v>3.0988252911034297E-2</v>
      </c>
      <c r="I435" s="249">
        <v>7.3362879017821681E-2</v>
      </c>
      <c r="J435" s="249">
        <v>7.4528950360109092E-2</v>
      </c>
      <c r="K435" s="249">
        <v>0.10643089364358505</v>
      </c>
      <c r="L435" s="249">
        <v>0.24285958055070633</v>
      </c>
      <c r="M435" s="249">
        <v>0.2772174529283431</v>
      </c>
      <c r="N435" s="249">
        <v>0.13300518827690211</v>
      </c>
      <c r="O435" s="249">
        <v>5.3247080954378134E-2</v>
      </c>
      <c r="P435" s="249">
        <v>-3.2495873755886306E-2</v>
      </c>
      <c r="Q435" s="249">
        <v>-2.8577896547743176E-2</v>
      </c>
      <c r="R435" s="249">
        <v>-2.3540633526286575E-2</v>
      </c>
      <c r="S435" s="250">
        <v>0.92938559617008387</v>
      </c>
      <c r="T435" s="247">
        <v>0.1</v>
      </c>
      <c r="U435" s="229">
        <v>1</v>
      </c>
      <c r="V435" s="222">
        <v>0</v>
      </c>
    </row>
    <row r="436" spans="1:22" customFormat="1" x14ac:dyDescent="0.25">
      <c r="A436" s="214">
        <v>14</v>
      </c>
      <c r="B436" s="215" t="s">
        <v>351</v>
      </c>
      <c r="C436" s="248" t="s">
        <v>276</v>
      </c>
      <c r="D436" s="245" t="s">
        <v>275</v>
      </c>
      <c r="E436" s="215" t="s">
        <v>380</v>
      </c>
      <c r="F436" s="216" t="s">
        <v>381</v>
      </c>
      <c r="G436" s="249">
        <v>1.89E-2</v>
      </c>
      <c r="H436" s="249">
        <v>3.5600000000000021E-2</v>
      </c>
      <c r="I436" s="249">
        <v>9.2600000000000016E-2</v>
      </c>
      <c r="J436" s="249">
        <v>8.1699999999999995E-2</v>
      </c>
      <c r="K436" s="249">
        <v>0.10939999999999994</v>
      </c>
      <c r="L436" s="249">
        <v>0.25870000000000015</v>
      </c>
      <c r="M436" s="249">
        <v>0.38759999999999994</v>
      </c>
      <c r="N436" s="249">
        <v>0.16300000000000003</v>
      </c>
      <c r="O436" s="249">
        <v>4.5099999999999973E-2</v>
      </c>
      <c r="P436" s="249">
        <v>-2.1499999999999991E-2</v>
      </c>
      <c r="Q436" s="249">
        <v>-1.4699999999999991E-2</v>
      </c>
      <c r="R436" s="249">
        <v>-6.8999999999999964E-3</v>
      </c>
      <c r="S436" s="250">
        <v>1.1494999999999997</v>
      </c>
      <c r="T436" s="247">
        <v>0.1</v>
      </c>
      <c r="U436" s="222">
        <v>0</v>
      </c>
      <c r="V436" s="222">
        <v>0</v>
      </c>
    </row>
    <row r="437" spans="1:22" customFormat="1" x14ac:dyDescent="0.25">
      <c r="A437" s="214">
        <v>14</v>
      </c>
      <c r="B437" s="215" t="s">
        <v>351</v>
      </c>
      <c r="C437" s="248" t="s">
        <v>276</v>
      </c>
      <c r="D437" s="245" t="s">
        <v>275</v>
      </c>
      <c r="E437" s="215" t="s">
        <v>382</v>
      </c>
      <c r="F437" s="216" t="s">
        <v>383</v>
      </c>
      <c r="G437" s="249">
        <v>3.1200000000000006E-2</v>
      </c>
      <c r="H437" s="249">
        <v>2.1400000000000002E-2</v>
      </c>
      <c r="I437" s="249">
        <v>3.4100000000000019E-2</v>
      </c>
      <c r="J437" s="249">
        <v>4.109999999999997E-2</v>
      </c>
      <c r="K437" s="249">
        <v>7.3300000000000032E-2</v>
      </c>
      <c r="L437" s="249">
        <v>0.13189999999999991</v>
      </c>
      <c r="M437" s="249">
        <v>0.14470000000000005</v>
      </c>
      <c r="N437" s="249">
        <v>0.10050000000000003</v>
      </c>
      <c r="O437" s="249">
        <v>7.9199999999999937E-2</v>
      </c>
      <c r="P437" s="249">
        <v>-2.8500000000000025E-2</v>
      </c>
      <c r="Q437" s="249">
        <v>-2.1999999999999992E-2</v>
      </c>
      <c r="R437" s="249">
        <v>-1.4100000000000001E-2</v>
      </c>
      <c r="S437" s="250">
        <v>0.59220000000000006</v>
      </c>
      <c r="T437" s="247">
        <v>0.1</v>
      </c>
      <c r="U437" s="222">
        <v>0</v>
      </c>
      <c r="V437" s="222">
        <v>0</v>
      </c>
    </row>
    <row r="438" spans="1:22" customFormat="1" x14ac:dyDescent="0.25">
      <c r="A438" s="214">
        <v>14</v>
      </c>
      <c r="B438" s="215" t="s">
        <v>351</v>
      </c>
      <c r="C438" s="248" t="s">
        <v>276</v>
      </c>
      <c r="D438" s="245" t="s">
        <v>275</v>
      </c>
      <c r="E438" s="215" t="s">
        <v>384</v>
      </c>
      <c r="F438" s="216" t="s">
        <v>385</v>
      </c>
      <c r="G438" s="249">
        <v>0</v>
      </c>
      <c r="H438" s="249">
        <v>0</v>
      </c>
      <c r="I438" s="249">
        <v>0</v>
      </c>
      <c r="J438" s="249">
        <v>0</v>
      </c>
      <c r="K438" s="249">
        <v>0</v>
      </c>
      <c r="L438" s="249">
        <v>0</v>
      </c>
      <c r="M438" s="249">
        <v>0</v>
      </c>
      <c r="N438" s="249">
        <v>0</v>
      </c>
      <c r="O438" s="249">
        <v>0</v>
      </c>
      <c r="P438" s="249">
        <v>0</v>
      </c>
      <c r="Q438" s="249">
        <v>0</v>
      </c>
      <c r="R438" s="249">
        <v>0</v>
      </c>
      <c r="S438" s="250">
        <v>0</v>
      </c>
      <c r="T438" s="247">
        <v>0.1</v>
      </c>
      <c r="U438" s="222">
        <v>0</v>
      </c>
      <c r="V438" s="222">
        <v>0</v>
      </c>
    </row>
    <row r="439" spans="1:22" customFormat="1" x14ac:dyDescent="0.25">
      <c r="A439" s="214">
        <v>14</v>
      </c>
      <c r="B439" s="215" t="s">
        <v>351</v>
      </c>
      <c r="C439" s="355" t="s">
        <v>276</v>
      </c>
      <c r="D439" s="245" t="s">
        <v>275</v>
      </c>
      <c r="E439" s="215" t="s">
        <v>386</v>
      </c>
      <c r="F439" s="216" t="s">
        <v>387</v>
      </c>
      <c r="G439" s="353">
        <v>0.1850487906005347</v>
      </c>
      <c r="H439" s="353">
        <v>0.18614435432001608</v>
      </c>
      <c r="I439" s="353">
        <v>0.34489507716232026</v>
      </c>
      <c r="J439" s="353">
        <v>0.48825943312501341</v>
      </c>
      <c r="K439" s="353">
        <v>0.75354372186464147</v>
      </c>
      <c r="L439" s="353">
        <v>1.3537116295266074</v>
      </c>
      <c r="M439" s="353">
        <v>1.2519845697173295</v>
      </c>
      <c r="N439" s="353">
        <v>0.80259969889661509</v>
      </c>
      <c r="O439" s="353">
        <v>0.52312428982040515</v>
      </c>
      <c r="P439" s="353">
        <v>-0.17827826881328757</v>
      </c>
      <c r="Q439" s="353">
        <v>-0.11426453116435331</v>
      </c>
      <c r="R439" s="353">
        <v>-7.5668765055845189E-2</v>
      </c>
      <c r="S439" s="356">
        <v>5.5213999999999999</v>
      </c>
      <c r="T439" s="354">
        <v>0.1</v>
      </c>
      <c r="U439" s="229">
        <v>1</v>
      </c>
      <c r="V439" s="222">
        <v>-1</v>
      </c>
    </row>
    <row r="440" spans="1:22" customFormat="1" x14ac:dyDescent="0.25">
      <c r="A440" s="214">
        <v>14</v>
      </c>
      <c r="B440" s="215" t="s">
        <v>389</v>
      </c>
      <c r="C440" s="248" t="s">
        <v>276</v>
      </c>
      <c r="D440" s="245" t="s">
        <v>275</v>
      </c>
      <c r="E440" s="215" t="s">
        <v>388</v>
      </c>
      <c r="F440" s="216" t="s">
        <v>112</v>
      </c>
      <c r="G440" s="249">
        <v>9.2356485771843855E-2</v>
      </c>
      <c r="H440" s="249">
        <v>0.13844774227673096</v>
      </c>
      <c r="I440" s="249">
        <v>0.2458336477788805</v>
      </c>
      <c r="J440" s="249">
        <v>0.31808279065961775</v>
      </c>
      <c r="K440" s="249">
        <v>0.37830603303757471</v>
      </c>
      <c r="L440" s="249">
        <v>0.50443490114853695</v>
      </c>
      <c r="M440" s="249">
        <v>0.55695021665595057</v>
      </c>
      <c r="N440" s="249">
        <v>0.37296470598671894</v>
      </c>
      <c r="O440" s="249">
        <v>0.15723765968923908</v>
      </c>
      <c r="P440" s="249">
        <v>-6.452778978131346E-2</v>
      </c>
      <c r="Q440" s="249">
        <v>-4.472798776663206E-2</v>
      </c>
      <c r="R440" s="249">
        <v>-2.8461692070774314E-2</v>
      </c>
      <c r="S440" s="250">
        <v>2.6268967133863725</v>
      </c>
      <c r="T440" s="247">
        <v>0.1</v>
      </c>
      <c r="U440" s="222">
        <v>0</v>
      </c>
      <c r="V440" s="222">
        <v>0</v>
      </c>
    </row>
    <row r="441" spans="1:22" customFormat="1" x14ac:dyDescent="0.25">
      <c r="A441" s="214">
        <v>14</v>
      </c>
      <c r="B441" s="215" t="s">
        <v>351</v>
      </c>
      <c r="C441" s="248" t="s">
        <v>276</v>
      </c>
      <c r="D441" s="245" t="s">
        <v>275</v>
      </c>
      <c r="E441" s="215" t="s">
        <v>390</v>
      </c>
      <c r="F441" s="216" t="s">
        <v>391</v>
      </c>
      <c r="G441" s="249">
        <v>8.9999999999999941E-3</v>
      </c>
      <c r="H441" s="249">
        <v>2.0400000000000001E-2</v>
      </c>
      <c r="I441" s="249">
        <v>4.6599999999999975E-2</v>
      </c>
      <c r="J441" s="249">
        <v>6.8300000000000027E-2</v>
      </c>
      <c r="K441" s="249">
        <v>6.0699999999999976E-2</v>
      </c>
      <c r="L441" s="249">
        <v>9.5999999999999974E-2</v>
      </c>
      <c r="M441" s="249">
        <v>9.3999999999999972E-2</v>
      </c>
      <c r="N441" s="249">
        <v>3.1899999999999984E-2</v>
      </c>
      <c r="O441" s="249">
        <v>1.6899999999999998E-2</v>
      </c>
      <c r="P441" s="249">
        <v>-1.4499999999999985E-2</v>
      </c>
      <c r="Q441" s="249">
        <v>-1.4399999999999996E-2</v>
      </c>
      <c r="R441" s="249">
        <v>-6.4999999999999988E-3</v>
      </c>
      <c r="S441" s="250">
        <v>0.40870000000000006</v>
      </c>
      <c r="T441" s="247">
        <v>0.1</v>
      </c>
      <c r="U441" s="222">
        <v>0</v>
      </c>
      <c r="V441" s="222">
        <v>0</v>
      </c>
    </row>
    <row r="442" spans="1:22" customFormat="1" x14ac:dyDescent="0.25">
      <c r="A442" s="214">
        <v>14</v>
      </c>
      <c r="B442" s="215" t="s">
        <v>393</v>
      </c>
      <c r="C442" s="248" t="s">
        <v>276</v>
      </c>
      <c r="D442" s="245" t="s">
        <v>275</v>
      </c>
      <c r="E442" s="215" t="s">
        <v>392</v>
      </c>
      <c r="F442" s="216" t="s">
        <v>394</v>
      </c>
      <c r="G442" s="249">
        <v>3.9433878131156064E-2</v>
      </c>
      <c r="H442" s="249">
        <v>0</v>
      </c>
      <c r="I442" s="249">
        <v>0</v>
      </c>
      <c r="J442" s="249">
        <v>0</v>
      </c>
      <c r="K442" s="249">
        <v>0</v>
      </c>
      <c r="L442" s="249">
        <v>0</v>
      </c>
      <c r="M442" s="249">
        <v>0</v>
      </c>
      <c r="N442" s="249">
        <v>0.21350917049430085</v>
      </c>
      <c r="O442" s="249">
        <v>0.47271531123016519</v>
      </c>
      <c r="P442" s="249">
        <v>0.6956835757543649</v>
      </c>
      <c r="Q442" s="249">
        <v>0.53892549365760356</v>
      </c>
      <c r="R442" s="249">
        <v>0.1150525707324086</v>
      </c>
      <c r="S442" s="250">
        <v>2.0753200000000014</v>
      </c>
      <c r="T442" s="247">
        <v>0.1</v>
      </c>
      <c r="U442" s="222">
        <v>0</v>
      </c>
      <c r="V442" s="222">
        <v>0</v>
      </c>
    </row>
    <row r="443" spans="1:22" customFormat="1" x14ac:dyDescent="0.25">
      <c r="A443" s="214">
        <v>12</v>
      </c>
      <c r="B443" s="215" t="s">
        <v>247</v>
      </c>
      <c r="C443" s="248" t="s">
        <v>272</v>
      </c>
      <c r="D443" s="245" t="s">
        <v>271</v>
      </c>
      <c r="E443" s="215" t="s">
        <v>246</v>
      </c>
      <c r="F443" s="216" t="s">
        <v>248</v>
      </c>
      <c r="G443" s="246">
        <v>3.0300000000000007</v>
      </c>
      <c r="H443" s="246">
        <v>5.1899999999999995</v>
      </c>
      <c r="I443" s="246">
        <v>6.69</v>
      </c>
      <c r="J443" s="246">
        <v>6.6499999999999995</v>
      </c>
      <c r="K443" s="246">
        <v>8.2199999999999989</v>
      </c>
      <c r="L443" s="246">
        <v>10.389999999999999</v>
      </c>
      <c r="M443" s="246">
        <v>6.589999999999999</v>
      </c>
      <c r="N443" s="246">
        <v>7.9500000000000011</v>
      </c>
      <c r="O443" s="246">
        <v>10.009999999999998</v>
      </c>
      <c r="P443" s="246">
        <v>3.3000000000000003</v>
      </c>
      <c r="Q443" s="246">
        <v>2.39</v>
      </c>
      <c r="R443" s="246">
        <v>2.78</v>
      </c>
      <c r="S443" s="438">
        <v>73.19</v>
      </c>
      <c r="T443" s="247">
        <v>1</v>
      </c>
      <c r="U443" s="222">
        <v>0</v>
      </c>
      <c r="V443" s="222">
        <v>1</v>
      </c>
    </row>
    <row r="444" spans="1:22" customFormat="1" x14ac:dyDescent="0.25">
      <c r="A444" s="214">
        <v>12</v>
      </c>
      <c r="B444" s="215" t="s">
        <v>332</v>
      </c>
      <c r="C444" s="248" t="s">
        <v>272</v>
      </c>
      <c r="D444" s="245" t="s">
        <v>271</v>
      </c>
      <c r="E444" s="215" t="s">
        <v>331</v>
      </c>
      <c r="F444" s="216" t="s">
        <v>333</v>
      </c>
      <c r="G444" s="249">
        <v>1.455322280479193</v>
      </c>
      <c r="H444" s="249">
        <v>1.8929520739663257</v>
      </c>
      <c r="I444" s="249">
        <v>3.8771724971598007</v>
      </c>
      <c r="J444" s="249">
        <v>6.1069649804176436</v>
      </c>
      <c r="K444" s="249">
        <v>8.9484954412364726</v>
      </c>
      <c r="L444" s="249">
        <v>11.856129546388331</v>
      </c>
      <c r="M444" s="249">
        <v>9.5783299965048183</v>
      </c>
      <c r="N444" s="249">
        <v>6.5894710329138038</v>
      </c>
      <c r="O444" s="249">
        <v>3.8331621509336129</v>
      </c>
      <c r="P444" s="249">
        <v>-2.5150193566041512</v>
      </c>
      <c r="Q444" s="249">
        <v>-1.5500875669055003</v>
      </c>
      <c r="R444" s="249">
        <v>-1.4704930764903481</v>
      </c>
      <c r="S444" s="250">
        <v>48.602400000000003</v>
      </c>
      <c r="T444" s="247">
        <v>1</v>
      </c>
      <c r="U444" s="222">
        <v>0</v>
      </c>
      <c r="V444" s="222">
        <v>1</v>
      </c>
    </row>
    <row r="445" spans="1:22" customFormat="1" x14ac:dyDescent="0.25">
      <c r="A445" s="214">
        <v>12</v>
      </c>
      <c r="B445" s="215" t="s">
        <v>335</v>
      </c>
      <c r="C445" s="248" t="s">
        <v>272</v>
      </c>
      <c r="D445" s="245" t="s">
        <v>271</v>
      </c>
      <c r="E445" s="215" t="s">
        <v>334</v>
      </c>
      <c r="F445" s="216" t="s">
        <v>336</v>
      </c>
      <c r="G445" s="249">
        <v>0.49952019865799102</v>
      </c>
      <c r="H445" s="249">
        <v>0.53605708098489224</v>
      </c>
      <c r="I445" s="249">
        <v>1.4004927112709924</v>
      </c>
      <c r="J445" s="249">
        <v>1.4151326113530456</v>
      </c>
      <c r="K445" s="249">
        <v>2.1054158793457263</v>
      </c>
      <c r="L445" s="249">
        <v>3.4375849980347595</v>
      </c>
      <c r="M445" s="249">
        <v>2.9377278897700907</v>
      </c>
      <c r="N445" s="249">
        <v>1.8302114132084184</v>
      </c>
      <c r="O445" s="249">
        <v>1.0224610077543144</v>
      </c>
      <c r="P445" s="249">
        <v>0.39819462354654839</v>
      </c>
      <c r="Q445" s="249">
        <v>0.26526170156026907</v>
      </c>
      <c r="R445" s="249">
        <v>0.38293988451295158</v>
      </c>
      <c r="S445" s="250">
        <v>16.230999999999998</v>
      </c>
      <c r="T445" s="247">
        <v>1</v>
      </c>
      <c r="U445" s="222">
        <v>0</v>
      </c>
      <c r="V445" s="222">
        <v>1</v>
      </c>
    </row>
    <row r="446" spans="1:22" customFormat="1" x14ac:dyDescent="0.25">
      <c r="A446" s="214">
        <v>12</v>
      </c>
      <c r="B446" s="215" t="s">
        <v>351</v>
      </c>
      <c r="C446" s="248" t="s">
        <v>272</v>
      </c>
      <c r="D446" s="245" t="s">
        <v>271</v>
      </c>
      <c r="E446" s="215" t="s">
        <v>350</v>
      </c>
      <c r="F446" s="216" t="s">
        <v>352</v>
      </c>
      <c r="G446" s="249">
        <v>0</v>
      </c>
      <c r="H446" s="249">
        <v>0</v>
      </c>
      <c r="I446" s="249">
        <v>0</v>
      </c>
      <c r="J446" s="249">
        <v>0</v>
      </c>
      <c r="K446" s="249">
        <v>0</v>
      </c>
      <c r="L446" s="249">
        <v>0</v>
      </c>
      <c r="M446" s="249">
        <v>0</v>
      </c>
      <c r="N446" s="249">
        <v>0</v>
      </c>
      <c r="O446" s="249">
        <v>0</v>
      </c>
      <c r="P446" s="249">
        <v>0</v>
      </c>
      <c r="Q446" s="249">
        <v>0</v>
      </c>
      <c r="R446" s="249">
        <v>0</v>
      </c>
      <c r="S446" s="250">
        <v>0</v>
      </c>
      <c r="T446" s="247">
        <v>1</v>
      </c>
      <c r="U446" s="222">
        <v>0</v>
      </c>
      <c r="V446" s="222">
        <v>-1</v>
      </c>
    </row>
    <row r="447" spans="1:22" customFormat="1" x14ac:dyDescent="0.25">
      <c r="A447" s="214">
        <v>12</v>
      </c>
      <c r="B447" s="215" t="s">
        <v>351</v>
      </c>
      <c r="C447" s="248" t="s">
        <v>272</v>
      </c>
      <c r="D447" s="245" t="s">
        <v>271</v>
      </c>
      <c r="E447" s="215" t="s">
        <v>379</v>
      </c>
      <c r="F447" s="216" t="s">
        <v>16</v>
      </c>
      <c r="G447" s="249">
        <v>0</v>
      </c>
      <c r="H447" s="249">
        <v>0</v>
      </c>
      <c r="I447" s="249">
        <v>0</v>
      </c>
      <c r="J447" s="249">
        <v>0</v>
      </c>
      <c r="K447" s="249">
        <v>0</v>
      </c>
      <c r="L447" s="249">
        <v>0</v>
      </c>
      <c r="M447" s="249">
        <v>0</v>
      </c>
      <c r="N447" s="249">
        <v>0</v>
      </c>
      <c r="O447" s="249">
        <v>0</v>
      </c>
      <c r="P447" s="249">
        <v>0</v>
      </c>
      <c r="Q447" s="249">
        <v>0</v>
      </c>
      <c r="R447" s="249">
        <v>0</v>
      </c>
      <c r="S447" s="250">
        <v>0</v>
      </c>
      <c r="T447" s="247">
        <v>1</v>
      </c>
      <c r="U447" s="222"/>
      <c r="V447" s="222"/>
    </row>
    <row r="448" spans="1:22" customFormat="1" x14ac:dyDescent="0.25">
      <c r="A448" s="214">
        <v>12</v>
      </c>
      <c r="B448" s="215" t="s">
        <v>335</v>
      </c>
      <c r="C448" s="248" t="s">
        <v>272</v>
      </c>
      <c r="D448" s="245" t="s">
        <v>271</v>
      </c>
      <c r="E448" s="215" t="s">
        <v>348</v>
      </c>
      <c r="F448" s="216" t="s">
        <v>349</v>
      </c>
      <c r="G448" s="249">
        <v>0.22359721357120008</v>
      </c>
      <c r="H448" s="249">
        <v>0.30988252911034303</v>
      </c>
      <c r="I448" s="249">
        <v>0.73362879017821647</v>
      </c>
      <c r="J448" s="249">
        <v>0.74528950360109114</v>
      </c>
      <c r="K448" s="249">
        <v>1.0643089364358502</v>
      </c>
      <c r="L448" s="249">
        <v>2.4285958055070647</v>
      </c>
      <c r="M448" s="249">
        <v>2.7721745292834301</v>
      </c>
      <c r="N448" s="249">
        <v>1.3300518827690222</v>
      </c>
      <c r="O448" s="249">
        <v>0.53247080954378145</v>
      </c>
      <c r="P448" s="249">
        <v>-0.32495873755886284</v>
      </c>
      <c r="Q448" s="249">
        <v>-0.28577896547743181</v>
      </c>
      <c r="R448" s="249">
        <v>-0.2354063352628657</v>
      </c>
      <c r="S448" s="250">
        <v>9.2938559617008387</v>
      </c>
      <c r="T448" s="247">
        <v>1</v>
      </c>
      <c r="U448" s="222"/>
      <c r="V448" s="222"/>
    </row>
    <row r="449" spans="1:22" customFormat="1" x14ac:dyDescent="0.25">
      <c r="A449" s="214">
        <v>12</v>
      </c>
      <c r="B449" s="215" t="s">
        <v>351</v>
      </c>
      <c r="C449" s="248" t="s">
        <v>272</v>
      </c>
      <c r="D449" s="245" t="s">
        <v>271</v>
      </c>
      <c r="E449" s="215" t="s">
        <v>380</v>
      </c>
      <c r="F449" s="216" t="s">
        <v>381</v>
      </c>
      <c r="G449" s="249">
        <v>0.189</v>
      </c>
      <c r="H449" s="249">
        <v>0.35599999999999998</v>
      </c>
      <c r="I449" s="249">
        <v>0.92600000000000005</v>
      </c>
      <c r="J449" s="249">
        <v>0.81699999999999995</v>
      </c>
      <c r="K449" s="249">
        <v>1.0940000000000001</v>
      </c>
      <c r="L449" s="249">
        <v>2.5870000000000002</v>
      </c>
      <c r="M449" s="249">
        <v>3.8759999999999999</v>
      </c>
      <c r="N449" s="249">
        <v>1.63</v>
      </c>
      <c r="O449" s="249">
        <v>0.45100000000000001</v>
      </c>
      <c r="P449" s="249">
        <v>-0.21499999999999997</v>
      </c>
      <c r="Q449" s="249">
        <v>-0.14699999999999999</v>
      </c>
      <c r="R449" s="249">
        <v>-6.9000000000000006E-2</v>
      </c>
      <c r="S449" s="250">
        <v>11.494999999999999</v>
      </c>
      <c r="T449" s="247">
        <v>1</v>
      </c>
      <c r="U449" s="222"/>
      <c r="V449" s="222"/>
    </row>
    <row r="450" spans="1:22" customFormat="1" x14ac:dyDescent="0.25">
      <c r="A450" s="214">
        <v>12</v>
      </c>
      <c r="B450" s="215" t="s">
        <v>351</v>
      </c>
      <c r="C450" s="248" t="s">
        <v>272</v>
      </c>
      <c r="D450" s="245" t="s">
        <v>271</v>
      </c>
      <c r="E450" s="215" t="s">
        <v>382</v>
      </c>
      <c r="F450" s="216" t="s">
        <v>383</v>
      </c>
      <c r="G450" s="249">
        <v>0.312</v>
      </c>
      <c r="H450" s="249">
        <v>0.21400000000000002</v>
      </c>
      <c r="I450" s="249">
        <v>0.34099999999999997</v>
      </c>
      <c r="J450" s="249">
        <v>0.41100000000000003</v>
      </c>
      <c r="K450" s="249">
        <v>0.73299999999999998</v>
      </c>
      <c r="L450" s="249">
        <v>1.3190000000000002</v>
      </c>
      <c r="M450" s="249">
        <v>1.4470000000000001</v>
      </c>
      <c r="N450" s="249">
        <v>1.0050000000000001</v>
      </c>
      <c r="O450" s="249">
        <v>0.79200000000000004</v>
      </c>
      <c r="P450" s="249">
        <v>-0.28500000000000003</v>
      </c>
      <c r="Q450" s="249">
        <v>-0.22000000000000003</v>
      </c>
      <c r="R450" s="249">
        <v>-0.14100000000000001</v>
      </c>
      <c r="S450" s="250">
        <v>5.9219999999999997</v>
      </c>
      <c r="T450" s="247">
        <v>1</v>
      </c>
      <c r="U450" s="437"/>
      <c r="V450" s="437"/>
    </row>
    <row r="451" spans="1:22" customFormat="1" x14ac:dyDescent="0.25">
      <c r="A451" s="214">
        <v>12</v>
      </c>
      <c r="B451" s="215" t="s">
        <v>351</v>
      </c>
      <c r="C451" s="248" t="s">
        <v>272</v>
      </c>
      <c r="D451" s="245" t="s">
        <v>271</v>
      </c>
      <c r="E451" s="215" t="s">
        <v>384</v>
      </c>
      <c r="F451" s="216" t="s">
        <v>385</v>
      </c>
      <c r="G451" s="249">
        <v>0</v>
      </c>
      <c r="H451" s="249">
        <v>0</v>
      </c>
      <c r="I451" s="249">
        <v>0</v>
      </c>
      <c r="J451" s="249">
        <v>0</v>
      </c>
      <c r="K451" s="249">
        <v>0</v>
      </c>
      <c r="L451" s="249">
        <v>0</v>
      </c>
      <c r="M451" s="249">
        <v>0</v>
      </c>
      <c r="N451" s="249">
        <v>0</v>
      </c>
      <c r="O451" s="249">
        <v>0</v>
      </c>
      <c r="P451" s="249">
        <v>0</v>
      </c>
      <c r="Q451" s="249">
        <v>0</v>
      </c>
      <c r="R451" s="249">
        <v>0</v>
      </c>
      <c r="S451" s="250">
        <v>0</v>
      </c>
      <c r="T451" s="247">
        <v>1</v>
      </c>
      <c r="U451" s="222"/>
      <c r="V451" s="222"/>
    </row>
    <row r="452" spans="1:22" customFormat="1" x14ac:dyDescent="0.25">
      <c r="A452" s="214">
        <v>12</v>
      </c>
      <c r="B452" s="215" t="s">
        <v>351</v>
      </c>
      <c r="C452" s="355" t="s">
        <v>272</v>
      </c>
      <c r="D452" s="245" t="s">
        <v>271</v>
      </c>
      <c r="E452" s="215" t="s">
        <v>386</v>
      </c>
      <c r="F452" s="216" t="s">
        <v>387</v>
      </c>
      <c r="G452" s="353">
        <v>1.8504879060053474</v>
      </c>
      <c r="H452" s="353">
        <v>1.8614435432001624</v>
      </c>
      <c r="I452" s="353">
        <v>3.4489507716232026</v>
      </c>
      <c r="J452" s="353">
        <v>4.8825943312501341</v>
      </c>
      <c r="K452" s="353">
        <v>7.5354372186464191</v>
      </c>
      <c r="L452" s="353">
        <v>13.537116295266085</v>
      </c>
      <c r="M452" s="353">
        <v>12.519845697173308</v>
      </c>
      <c r="N452" s="353">
        <v>8.0259969889661527</v>
      </c>
      <c r="O452" s="353">
        <v>5.2312428982040533</v>
      </c>
      <c r="P452" s="353">
        <v>-1.7827826881328757</v>
      </c>
      <c r="Q452" s="353">
        <v>-1.1426453116435331</v>
      </c>
      <c r="R452" s="353">
        <v>-0.75668765055845166</v>
      </c>
      <c r="S452" s="356">
        <v>55.213999999999984</v>
      </c>
      <c r="T452" s="354">
        <v>1</v>
      </c>
      <c r="U452" s="222"/>
      <c r="V452" s="222"/>
    </row>
    <row r="453" spans="1:22" customFormat="1" x14ac:dyDescent="0.25">
      <c r="A453" s="214">
        <v>12</v>
      </c>
      <c r="B453" s="215" t="s">
        <v>389</v>
      </c>
      <c r="C453" s="248" t="s">
        <v>272</v>
      </c>
      <c r="D453" s="245" t="s">
        <v>271</v>
      </c>
      <c r="E453" s="215" t="s">
        <v>388</v>
      </c>
      <c r="F453" s="216" t="s">
        <v>112</v>
      </c>
      <c r="G453" s="249">
        <v>0.92356485771843866</v>
      </c>
      <c r="H453" s="249">
        <v>1.38447742276731</v>
      </c>
      <c r="I453" s="249">
        <v>2.4583364777888073</v>
      </c>
      <c r="J453" s="249">
        <v>3.1808279065961775</v>
      </c>
      <c r="K453" s="249">
        <v>3.7830603303757466</v>
      </c>
      <c r="L453" s="249">
        <v>5.0443490114853731</v>
      </c>
      <c r="M453" s="249">
        <v>5.5695021665595048</v>
      </c>
      <c r="N453" s="249">
        <v>3.7296470598671894</v>
      </c>
      <c r="O453" s="249">
        <v>1.5723765968923917</v>
      </c>
      <c r="P453" s="249">
        <v>-0.64527789781313449</v>
      </c>
      <c r="Q453" s="249">
        <v>-0.44727987766632094</v>
      </c>
      <c r="R453" s="249">
        <v>-0.28461692070774303</v>
      </c>
      <c r="S453" s="419">
        <v>26.268967133863743</v>
      </c>
      <c r="T453" s="247">
        <v>1</v>
      </c>
      <c r="U453" s="222"/>
      <c r="V453" s="222"/>
    </row>
    <row r="454" spans="1:22" customFormat="1" x14ac:dyDescent="0.25">
      <c r="A454" s="214">
        <v>12</v>
      </c>
      <c r="B454" s="215" t="s">
        <v>351</v>
      </c>
      <c r="C454" s="248" t="s">
        <v>272</v>
      </c>
      <c r="D454" s="245" t="s">
        <v>271</v>
      </c>
      <c r="E454" s="215" t="s">
        <v>390</v>
      </c>
      <c r="F454" s="216" t="s">
        <v>391</v>
      </c>
      <c r="G454" s="249">
        <v>0.09</v>
      </c>
      <c r="H454" s="249">
        <v>0.20399999999999999</v>
      </c>
      <c r="I454" s="249">
        <v>0.46599999999999997</v>
      </c>
      <c r="J454" s="249">
        <v>0.68300000000000005</v>
      </c>
      <c r="K454" s="249">
        <v>0.6070000000000001</v>
      </c>
      <c r="L454" s="249">
        <v>0.96</v>
      </c>
      <c r="M454" s="249">
        <v>0.94</v>
      </c>
      <c r="N454" s="249">
        <v>0.31900000000000006</v>
      </c>
      <c r="O454" s="249">
        <v>0.16899999999999998</v>
      </c>
      <c r="P454" s="249">
        <v>-0.14499999999999999</v>
      </c>
      <c r="Q454" s="249">
        <v>-0.14399999999999999</v>
      </c>
      <c r="R454" s="249">
        <v>-6.5000000000000002E-2</v>
      </c>
      <c r="S454" s="250">
        <v>4.0869999999999997</v>
      </c>
      <c r="T454" s="247">
        <v>1</v>
      </c>
      <c r="U454" s="222"/>
      <c r="V454" s="222"/>
    </row>
    <row r="455" spans="1:22" customFormat="1" x14ac:dyDescent="0.25">
      <c r="A455" s="214">
        <v>12</v>
      </c>
      <c r="B455" s="215" t="s">
        <v>393</v>
      </c>
      <c r="C455" s="248" t="s">
        <v>272</v>
      </c>
      <c r="D455" s="245" t="s">
        <v>271</v>
      </c>
      <c r="E455" s="215" t="s">
        <v>392</v>
      </c>
      <c r="F455" s="216" t="s">
        <v>394</v>
      </c>
      <c r="G455" s="249">
        <v>0.39433878131156053</v>
      </c>
      <c r="H455" s="249">
        <v>0</v>
      </c>
      <c r="I455" s="249">
        <v>0</v>
      </c>
      <c r="J455" s="249">
        <v>0</v>
      </c>
      <c r="K455" s="249">
        <v>0</v>
      </c>
      <c r="L455" s="249">
        <v>0</v>
      </c>
      <c r="M455" s="249">
        <v>0</v>
      </c>
      <c r="N455" s="249">
        <v>2.135091704943008</v>
      </c>
      <c r="O455" s="249">
        <v>4.7271531123016501</v>
      </c>
      <c r="P455" s="249">
        <v>6.9568357575436544</v>
      </c>
      <c r="Q455" s="249">
        <v>5.3892549365760392</v>
      </c>
      <c r="R455" s="249">
        <v>1.1505257073240862</v>
      </c>
      <c r="S455" s="250">
        <v>20.7532</v>
      </c>
      <c r="T455" s="247">
        <v>1</v>
      </c>
      <c r="U455" s="437"/>
      <c r="V455" s="437"/>
    </row>
    <row r="456" spans="1:22" customFormat="1" x14ac:dyDescent="0.25">
      <c r="A456" s="214">
        <v>9</v>
      </c>
      <c r="B456" s="215" t="s">
        <v>247</v>
      </c>
      <c r="C456" s="241" t="s">
        <v>266</v>
      </c>
      <c r="D456" s="240" t="s">
        <v>265</v>
      </c>
      <c r="E456" s="215" t="s">
        <v>246</v>
      </c>
      <c r="F456" s="216" t="s">
        <v>248</v>
      </c>
      <c r="G456" s="243">
        <v>3.0916666666666668</v>
      </c>
      <c r="H456" s="243">
        <v>1.9116666666666666</v>
      </c>
      <c r="I456" s="243">
        <v>1.9016666666666666</v>
      </c>
      <c r="J456" s="243">
        <v>1.9016666666666666</v>
      </c>
      <c r="K456" s="243">
        <v>1.9016666666666666</v>
      </c>
      <c r="L456" s="243">
        <v>1.9016666666666666</v>
      </c>
      <c r="M456" s="243">
        <v>15.891666666666669</v>
      </c>
      <c r="N456" s="243">
        <v>8.6416666666666675</v>
      </c>
      <c r="O456" s="243">
        <v>2.7716666666666665</v>
      </c>
      <c r="P456" s="243">
        <v>16.451666666666664</v>
      </c>
      <c r="Q456" s="243">
        <v>13.861666666666668</v>
      </c>
      <c r="R456" s="243">
        <v>8.3516666666666666</v>
      </c>
      <c r="S456" s="242">
        <v>78.580000000000013</v>
      </c>
      <c r="T456" s="244"/>
      <c r="U456" s="437"/>
      <c r="V456" s="437"/>
    </row>
    <row r="457" spans="1:22" customFormat="1" x14ac:dyDescent="0.25">
      <c r="A457" s="214">
        <v>9</v>
      </c>
      <c r="B457" s="215" t="s">
        <v>332</v>
      </c>
      <c r="C457" s="241" t="s">
        <v>266</v>
      </c>
      <c r="D457" s="240" t="s">
        <v>265</v>
      </c>
      <c r="E457" s="215" t="s">
        <v>331</v>
      </c>
      <c r="F457" s="216" t="s">
        <v>333</v>
      </c>
      <c r="G457" s="243">
        <v>0.50645544095683925</v>
      </c>
      <c r="H457" s="243">
        <v>0</v>
      </c>
      <c r="I457" s="243">
        <v>0</v>
      </c>
      <c r="J457" s="243">
        <v>0</v>
      </c>
      <c r="K457" s="243">
        <v>0</v>
      </c>
      <c r="L457" s="243">
        <v>0</v>
      </c>
      <c r="M457" s="243">
        <v>0</v>
      </c>
      <c r="N457" s="243">
        <v>3.743989754854983</v>
      </c>
      <c r="O457" s="243">
        <v>10.804937591219728</v>
      </c>
      <c r="P457" s="243">
        <v>11.66053223407839</v>
      </c>
      <c r="Q457" s="243">
        <v>9.3037525193379107</v>
      </c>
      <c r="R457" s="243">
        <v>2.5416154696679349</v>
      </c>
      <c r="S457" s="242">
        <v>38.561283010115794</v>
      </c>
      <c r="T457" s="244">
        <v>1</v>
      </c>
      <c r="U457" s="437"/>
      <c r="V457" s="437"/>
    </row>
    <row r="458" spans="1:22" customFormat="1" x14ac:dyDescent="0.25">
      <c r="A458" s="214">
        <v>9</v>
      </c>
      <c r="B458" s="215" t="s">
        <v>335</v>
      </c>
      <c r="C458" s="241" t="s">
        <v>266</v>
      </c>
      <c r="D458" s="240" t="s">
        <v>265</v>
      </c>
      <c r="E458" s="215" t="s">
        <v>334</v>
      </c>
      <c r="F458" s="216" t="s">
        <v>336</v>
      </c>
      <c r="G458" s="243">
        <v>8.554292222222222E-2</v>
      </c>
      <c r="H458" s="243">
        <v>0</v>
      </c>
      <c r="I458" s="243">
        <v>0</v>
      </c>
      <c r="J458" s="243">
        <v>0</v>
      </c>
      <c r="K458" s="243">
        <v>0</v>
      </c>
      <c r="L458" s="243">
        <v>0</v>
      </c>
      <c r="M458" s="243">
        <v>0</v>
      </c>
      <c r="N458" s="243">
        <v>0.95380087777777778</v>
      </c>
      <c r="O458" s="243">
        <v>1.9475090666666666</v>
      </c>
      <c r="P458" s="243">
        <v>1.9267252777777777</v>
      </c>
      <c r="Q458" s="243">
        <v>1.5330619777777779</v>
      </c>
      <c r="R458" s="243">
        <v>0.45824457777777777</v>
      </c>
      <c r="S458" s="242">
        <v>6.9048847000000002</v>
      </c>
      <c r="T458" s="244">
        <v>1</v>
      </c>
      <c r="U458" s="437"/>
      <c r="V458" s="437"/>
    </row>
    <row r="459" spans="1:22" customFormat="1" x14ac:dyDescent="0.25">
      <c r="A459" s="214">
        <v>9</v>
      </c>
      <c r="B459" s="215" t="s">
        <v>351</v>
      </c>
      <c r="C459" s="241" t="s">
        <v>266</v>
      </c>
      <c r="D459" s="240" t="s">
        <v>265</v>
      </c>
      <c r="E459" s="215" t="s">
        <v>350</v>
      </c>
      <c r="F459" s="216" t="s">
        <v>352</v>
      </c>
      <c r="G459" s="243">
        <v>1.1111111111111112E-5</v>
      </c>
      <c r="H459" s="243">
        <v>1.1111111111111112E-5</v>
      </c>
      <c r="I459" s="243">
        <v>1.1111111111111112E-5</v>
      </c>
      <c r="J459" s="243">
        <v>1.1111111111111112E-5</v>
      </c>
      <c r="K459" s="243">
        <v>1.1111111111111112E-5</v>
      </c>
      <c r="L459" s="243">
        <v>1.1111111111111112E-5</v>
      </c>
      <c r="M459" s="243">
        <v>1.1111111111111112E-5</v>
      </c>
      <c r="N459" s="243">
        <v>1.1111111111111112E-5</v>
      </c>
      <c r="O459" s="243">
        <v>1.1111111111111112E-5</v>
      </c>
      <c r="P459" s="243">
        <v>1.1111111111111112E-5</v>
      </c>
      <c r="Q459" s="243">
        <v>1.1111111111111112E-5</v>
      </c>
      <c r="R459" s="243">
        <v>1.1111111111111112E-5</v>
      </c>
      <c r="S459" s="242">
        <v>1.1111111111111112E-5</v>
      </c>
      <c r="T459" s="244">
        <v>1</v>
      </c>
      <c r="U459" s="437"/>
      <c r="V459" s="437"/>
    </row>
    <row r="460" spans="1:22" customFormat="1" x14ac:dyDescent="0.25">
      <c r="A460" s="214">
        <v>9</v>
      </c>
      <c r="B460" s="215" t="s">
        <v>351</v>
      </c>
      <c r="C460" s="241" t="s">
        <v>266</v>
      </c>
      <c r="D460" s="240" t="s">
        <v>265</v>
      </c>
      <c r="E460" s="215" t="s">
        <v>379</v>
      </c>
      <c r="F460" s="216" t="s">
        <v>16</v>
      </c>
      <c r="G460" s="243">
        <v>0.14683992279880442</v>
      </c>
      <c r="H460" s="243">
        <v>0.15546271544599222</v>
      </c>
      <c r="I460" s="243">
        <v>0.18846689003200368</v>
      </c>
      <c r="J460" s="243">
        <v>0.20076805745139836</v>
      </c>
      <c r="K460" s="243">
        <v>0.21848292274435721</v>
      </c>
      <c r="L460" s="243">
        <v>0.28117431653123504</v>
      </c>
      <c r="M460" s="243">
        <v>0.27774541920049955</v>
      </c>
      <c r="N460" s="243">
        <v>0.22876934367201329</v>
      </c>
      <c r="O460" s="243">
        <v>0.19488385453718138</v>
      </c>
      <c r="P460" s="243">
        <v>0.14750125307455164</v>
      </c>
      <c r="Q460" s="243">
        <v>0.13288000716394777</v>
      </c>
      <c r="R460" s="243">
        <v>0.12864534711015096</v>
      </c>
      <c r="S460" s="242">
        <v>0</v>
      </c>
      <c r="T460" s="244">
        <v>1</v>
      </c>
      <c r="U460" s="437"/>
      <c r="V460" s="437"/>
    </row>
    <row r="461" spans="1:22" customFormat="1" x14ac:dyDescent="0.25">
      <c r="A461" s="214">
        <v>9</v>
      </c>
      <c r="B461" s="215" t="s">
        <v>335</v>
      </c>
      <c r="C461" s="241" t="s">
        <v>266</v>
      </c>
      <c r="D461" s="240" t="s">
        <v>265</v>
      </c>
      <c r="E461" s="215" t="s">
        <v>348</v>
      </c>
      <c r="F461" s="216" t="s">
        <v>349</v>
      </c>
      <c r="G461" s="243">
        <v>7.9563365558221189E-2</v>
      </c>
      <c r="H461" s="243">
        <v>2.8446481445609851E-3</v>
      </c>
      <c r="I461" s="243">
        <v>0</v>
      </c>
      <c r="J461" s="243">
        <v>0</v>
      </c>
      <c r="K461" s="243">
        <v>0</v>
      </c>
      <c r="L461" s="243">
        <v>0</v>
      </c>
      <c r="M461" s="243">
        <v>2.101327204742434E-3</v>
      </c>
      <c r="N461" s="243">
        <v>0.37520200643038581</v>
      </c>
      <c r="O461" s="243">
        <v>0.97406439606545836</v>
      </c>
      <c r="P461" s="243">
        <v>1.2902044798996219</v>
      </c>
      <c r="Q461" s="243">
        <v>1.1552470887363473</v>
      </c>
      <c r="R461" s="243">
        <v>0.49541687522090316</v>
      </c>
      <c r="S461" s="242">
        <v>4.3666666666666671</v>
      </c>
      <c r="T461" s="244">
        <v>1</v>
      </c>
      <c r="U461" s="437"/>
      <c r="V461" s="437"/>
    </row>
    <row r="462" spans="1:22" customFormat="1" x14ac:dyDescent="0.25">
      <c r="A462" s="214">
        <v>9</v>
      </c>
      <c r="B462" s="215" t="s">
        <v>351</v>
      </c>
      <c r="C462" s="241" t="s">
        <v>266</v>
      </c>
      <c r="D462" s="240" t="s">
        <v>265</v>
      </c>
      <c r="E462" s="215" t="s">
        <v>380</v>
      </c>
      <c r="F462" s="216" t="s">
        <v>381</v>
      </c>
      <c r="G462" s="243">
        <v>0.59608584535663534</v>
      </c>
      <c r="H462" s="243">
        <v>0</v>
      </c>
      <c r="I462" s="243">
        <v>0</v>
      </c>
      <c r="J462" s="243">
        <v>0</v>
      </c>
      <c r="K462" s="243">
        <v>0</v>
      </c>
      <c r="L462" s="243">
        <v>0</v>
      </c>
      <c r="M462" s="243">
        <v>0</v>
      </c>
      <c r="N462" s="243">
        <v>1.5491452319977268</v>
      </c>
      <c r="O462" s="243">
        <v>4.0786065577067347</v>
      </c>
      <c r="P462" s="243">
        <v>4.379979884475703</v>
      </c>
      <c r="Q462" s="243">
        <v>3.5673483125660703</v>
      </c>
      <c r="R462" s="243">
        <v>1.7615934334782608</v>
      </c>
      <c r="S462" s="242">
        <v>15.932759265581131</v>
      </c>
      <c r="T462" s="244">
        <v>1</v>
      </c>
      <c r="U462" s="437"/>
      <c r="V462" s="437"/>
    </row>
    <row r="463" spans="1:22" customFormat="1" x14ac:dyDescent="0.25">
      <c r="A463" s="214">
        <v>9</v>
      </c>
      <c r="B463" s="215" t="s">
        <v>351</v>
      </c>
      <c r="C463" s="241" t="s">
        <v>266</v>
      </c>
      <c r="D463" s="240" t="s">
        <v>265</v>
      </c>
      <c r="E463" s="215" t="s">
        <v>382</v>
      </c>
      <c r="F463" s="216" t="s">
        <v>383</v>
      </c>
      <c r="G463" s="243">
        <v>0.46907216494845366</v>
      </c>
      <c r="H463" s="243">
        <v>0</v>
      </c>
      <c r="I463" s="243">
        <v>0</v>
      </c>
      <c r="J463" s="243">
        <v>0</v>
      </c>
      <c r="K463" s="243">
        <v>0</v>
      </c>
      <c r="L463" s="243">
        <v>0</v>
      </c>
      <c r="M463" s="243">
        <v>0</v>
      </c>
      <c r="N463" s="243">
        <v>1.1804123711340206</v>
      </c>
      <c r="O463" s="243">
        <v>3.2103092783505156</v>
      </c>
      <c r="P463" s="243">
        <v>3.4484536082474229</v>
      </c>
      <c r="Q463" s="243">
        <v>2.7958762886597941</v>
      </c>
      <c r="R463" s="243">
        <v>1.3793814432989693</v>
      </c>
      <c r="S463" s="242">
        <v>12.485567010309278</v>
      </c>
      <c r="T463" s="244">
        <v>1</v>
      </c>
      <c r="U463" s="437"/>
      <c r="V463" s="437"/>
    </row>
    <row r="464" spans="1:22" customFormat="1" x14ac:dyDescent="0.25">
      <c r="A464" s="214">
        <v>9</v>
      </c>
      <c r="B464" s="215" t="s">
        <v>351</v>
      </c>
      <c r="C464" s="241" t="s">
        <v>266</v>
      </c>
      <c r="D464" s="240" t="s">
        <v>265</v>
      </c>
      <c r="E464" s="215" t="s">
        <v>384</v>
      </c>
      <c r="F464" s="216" t="s">
        <v>385</v>
      </c>
      <c r="G464" s="243">
        <v>0</v>
      </c>
      <c r="H464" s="243">
        <v>0</v>
      </c>
      <c r="I464" s="243">
        <v>0</v>
      </c>
      <c r="J464" s="243">
        <v>0</v>
      </c>
      <c r="K464" s="243">
        <v>0</v>
      </c>
      <c r="L464" s="243">
        <v>0</v>
      </c>
      <c r="M464" s="243">
        <v>0</v>
      </c>
      <c r="N464" s="243">
        <v>0</v>
      </c>
      <c r="O464" s="243">
        <v>0</v>
      </c>
      <c r="P464" s="243">
        <v>0</v>
      </c>
      <c r="Q464" s="243">
        <v>0</v>
      </c>
      <c r="R464" s="243">
        <v>0</v>
      </c>
      <c r="S464" s="242">
        <v>0</v>
      </c>
      <c r="T464" s="244">
        <v>1</v>
      </c>
      <c r="U464" s="437"/>
      <c r="V464" s="437"/>
    </row>
    <row r="465" spans="1:22" customFormat="1" x14ac:dyDescent="0.25">
      <c r="A465" s="214">
        <v>9</v>
      </c>
      <c r="B465" s="215" t="s">
        <v>351</v>
      </c>
      <c r="C465" s="349" t="s">
        <v>266</v>
      </c>
      <c r="D465" s="240" t="s">
        <v>265</v>
      </c>
      <c r="E465" s="215" t="s">
        <v>386</v>
      </c>
      <c r="F465" s="216" t="s">
        <v>387</v>
      </c>
      <c r="G465" s="351">
        <v>1.583</v>
      </c>
      <c r="H465" s="351">
        <v>0</v>
      </c>
      <c r="I465" s="351">
        <v>0</v>
      </c>
      <c r="J465" s="351">
        <v>0</v>
      </c>
      <c r="K465" s="351">
        <v>0</v>
      </c>
      <c r="L465" s="351">
        <v>0</v>
      </c>
      <c r="M465" s="351">
        <v>1.4E-2</v>
      </c>
      <c r="N465" s="351">
        <v>6.1589999999999998</v>
      </c>
      <c r="O465" s="351">
        <v>15.391999999999999</v>
      </c>
      <c r="P465" s="351">
        <v>16.753</v>
      </c>
      <c r="Q465" s="351">
        <v>12.313999999999998</v>
      </c>
      <c r="R465" s="351">
        <v>5.3439999999999994</v>
      </c>
      <c r="S465" s="350">
        <v>57.557000000000002</v>
      </c>
      <c r="T465" s="352">
        <v>1</v>
      </c>
      <c r="U465" s="437"/>
      <c r="V465" s="437"/>
    </row>
    <row r="466" spans="1:22" customFormat="1" x14ac:dyDescent="0.25">
      <c r="A466" s="214">
        <v>9</v>
      </c>
      <c r="B466" s="215" t="s">
        <v>389</v>
      </c>
      <c r="C466" s="241" t="s">
        <v>266</v>
      </c>
      <c r="D466" s="240" t="s">
        <v>265</v>
      </c>
      <c r="E466" s="215" t="s">
        <v>388</v>
      </c>
      <c r="F466" s="216" t="s">
        <v>112</v>
      </c>
      <c r="G466" s="243">
        <v>0.12886507280426671</v>
      </c>
      <c r="H466" s="243">
        <v>0</v>
      </c>
      <c r="I466" s="243">
        <v>0</v>
      </c>
      <c r="J466" s="243">
        <v>0</v>
      </c>
      <c r="K466" s="243">
        <v>0</v>
      </c>
      <c r="L466" s="243">
        <v>0</v>
      </c>
      <c r="M466" s="243">
        <v>-6.1003197582315809E-4</v>
      </c>
      <c r="N466" s="243">
        <v>0.76503195426475423</v>
      </c>
      <c r="O466" s="243">
        <v>6.4200140359939262</v>
      </c>
      <c r="P466" s="243">
        <v>12.543337340380587</v>
      </c>
      <c r="Q466" s="243">
        <v>9.4699440651304272</v>
      </c>
      <c r="R466" s="243">
        <v>2.79071843055883</v>
      </c>
      <c r="S466" s="242">
        <v>32.11730086715697</v>
      </c>
      <c r="T466" s="244">
        <v>1</v>
      </c>
      <c r="U466" s="437"/>
      <c r="V466" s="437"/>
    </row>
    <row r="467" spans="1:22" customFormat="1" x14ac:dyDescent="0.25">
      <c r="A467" s="214">
        <v>9</v>
      </c>
      <c r="B467" s="215" t="s">
        <v>351</v>
      </c>
      <c r="C467" s="349" t="s">
        <v>266</v>
      </c>
      <c r="D467" s="240" t="s">
        <v>265</v>
      </c>
      <c r="E467" s="215" t="s">
        <v>390</v>
      </c>
      <c r="F467" s="216" t="s">
        <v>391</v>
      </c>
      <c r="G467" s="351">
        <v>0</v>
      </c>
      <c r="H467" s="351">
        <v>0</v>
      </c>
      <c r="I467" s="351">
        <v>0</v>
      </c>
      <c r="J467" s="351">
        <v>0</v>
      </c>
      <c r="K467" s="351">
        <v>0</v>
      </c>
      <c r="L467" s="351">
        <v>0</v>
      </c>
      <c r="M467" s="351">
        <v>0</v>
      </c>
      <c r="N467" s="351">
        <v>0</v>
      </c>
      <c r="O467" s="351">
        <v>0</v>
      </c>
      <c r="P467" s="351">
        <v>0</v>
      </c>
      <c r="Q467" s="351">
        <v>0</v>
      </c>
      <c r="R467" s="351">
        <v>0</v>
      </c>
      <c r="S467" s="350">
        <v>0</v>
      </c>
      <c r="T467" s="352">
        <v>1</v>
      </c>
      <c r="U467" s="437"/>
      <c r="V467" s="437"/>
    </row>
    <row r="468" spans="1:22" customFormat="1" x14ac:dyDescent="0.25">
      <c r="A468" s="214">
        <v>9</v>
      </c>
      <c r="B468" s="215" t="s">
        <v>393</v>
      </c>
      <c r="C468" s="241" t="s">
        <v>266</v>
      </c>
      <c r="D468" s="240" t="s">
        <v>265</v>
      </c>
      <c r="E468" s="215" t="s">
        <v>392</v>
      </c>
      <c r="F468" s="216" t="s">
        <v>394</v>
      </c>
      <c r="G468" s="243">
        <v>0.71111266940301376</v>
      </c>
      <c r="H468" s="243">
        <v>0</v>
      </c>
      <c r="I468" s="243">
        <v>0</v>
      </c>
      <c r="J468" s="243">
        <v>0</v>
      </c>
      <c r="K468" s="243">
        <v>0</v>
      </c>
      <c r="L468" s="243">
        <v>0</v>
      </c>
      <c r="M468" s="243">
        <v>0</v>
      </c>
      <c r="N468" s="243">
        <v>3.5922003556394184</v>
      </c>
      <c r="O468" s="243">
        <v>8.7415228681798123</v>
      </c>
      <c r="P468" s="243">
        <v>11.166902460310354</v>
      </c>
      <c r="Q468" s="243">
        <v>6.6448881057345952</v>
      </c>
      <c r="R468" s="243">
        <v>0.8877633486559493</v>
      </c>
      <c r="S468" s="242">
        <v>31.744389807923145</v>
      </c>
      <c r="T468" s="244">
        <v>1</v>
      </c>
      <c r="U468" s="437"/>
      <c r="V468" s="437"/>
    </row>
    <row r="469" spans="1:22" customFormat="1" x14ac:dyDescent="0.25">
      <c r="A469" s="214">
        <v>11</v>
      </c>
      <c r="B469" s="215" t="s">
        <v>247</v>
      </c>
      <c r="C469" s="241" t="s">
        <v>270</v>
      </c>
      <c r="D469" s="240" t="s">
        <v>269</v>
      </c>
      <c r="E469" s="215" t="s">
        <v>246</v>
      </c>
      <c r="F469" s="216" t="s">
        <v>248</v>
      </c>
      <c r="G469" s="243">
        <v>3.0871666666666666</v>
      </c>
      <c r="H469" s="243">
        <v>1.9116666666666666</v>
      </c>
      <c r="I469" s="243">
        <v>1.9016666666666666</v>
      </c>
      <c r="J469" s="243">
        <v>1.9016666666666666</v>
      </c>
      <c r="K469" s="243">
        <v>1.9016666666666666</v>
      </c>
      <c r="L469" s="243">
        <v>1.9016666666666666</v>
      </c>
      <c r="M469" s="243">
        <v>15.794166666666669</v>
      </c>
      <c r="N469" s="243">
        <v>8.6101666666666681</v>
      </c>
      <c r="O469" s="243">
        <v>2.7716666666666665</v>
      </c>
      <c r="P469" s="243">
        <v>16.340666666666664</v>
      </c>
      <c r="Q469" s="243">
        <v>13.777666666666667</v>
      </c>
      <c r="R469" s="243">
        <v>8.3201666666666672</v>
      </c>
      <c r="S469" s="242">
        <v>78.22</v>
      </c>
      <c r="T469" s="244"/>
      <c r="U469" s="437"/>
      <c r="V469" s="437"/>
    </row>
    <row r="470" spans="1:22" customFormat="1" x14ac:dyDescent="0.25">
      <c r="A470" s="214">
        <v>11</v>
      </c>
      <c r="B470" s="215" t="s">
        <v>332</v>
      </c>
      <c r="C470" s="241" t="s">
        <v>270</v>
      </c>
      <c r="D470" s="240" t="s">
        <v>269</v>
      </c>
      <c r="E470" s="215" t="s">
        <v>331</v>
      </c>
      <c r="F470" s="216" t="s">
        <v>333</v>
      </c>
      <c r="G470" s="243">
        <v>0.45580989686115531</v>
      </c>
      <c r="H470" s="243">
        <v>0</v>
      </c>
      <c r="I470" s="243">
        <v>0</v>
      </c>
      <c r="J470" s="243">
        <v>0</v>
      </c>
      <c r="K470" s="243">
        <v>0</v>
      </c>
      <c r="L470" s="243">
        <v>0</v>
      </c>
      <c r="M470" s="243">
        <v>0</v>
      </c>
      <c r="N470" s="243">
        <v>3.3695907793694846</v>
      </c>
      <c r="O470" s="243">
        <v>9.7244438320977551</v>
      </c>
      <c r="P470" s="243">
        <v>10.494479010670551</v>
      </c>
      <c r="Q470" s="243">
        <v>8.3733772674041198</v>
      </c>
      <c r="R470" s="243">
        <v>2.2874539227011415</v>
      </c>
      <c r="S470" s="242">
        <v>34.705154709104214</v>
      </c>
      <c r="T470" s="244">
        <v>0.9</v>
      </c>
      <c r="U470" s="222">
        <v>0</v>
      </c>
      <c r="V470" s="222">
        <v>1</v>
      </c>
    </row>
    <row r="471" spans="1:22" customFormat="1" x14ac:dyDescent="0.25">
      <c r="A471" s="214">
        <v>11</v>
      </c>
      <c r="B471" s="215" t="s">
        <v>335</v>
      </c>
      <c r="C471" s="241" t="s">
        <v>270</v>
      </c>
      <c r="D471" s="240" t="s">
        <v>269</v>
      </c>
      <c r="E471" s="215" t="s">
        <v>334</v>
      </c>
      <c r="F471" s="216" t="s">
        <v>336</v>
      </c>
      <c r="G471" s="243">
        <v>7.6988630000000002E-2</v>
      </c>
      <c r="H471" s="243">
        <v>0</v>
      </c>
      <c r="I471" s="243">
        <v>0</v>
      </c>
      <c r="J471" s="243">
        <v>0</v>
      </c>
      <c r="K471" s="243">
        <v>0</v>
      </c>
      <c r="L471" s="243">
        <v>0</v>
      </c>
      <c r="M471" s="243">
        <v>0</v>
      </c>
      <c r="N471" s="243">
        <v>0.85842079000000004</v>
      </c>
      <c r="O471" s="243">
        <v>1.75275816</v>
      </c>
      <c r="P471" s="243">
        <v>1.73405275</v>
      </c>
      <c r="Q471" s="243">
        <v>1.3797557800000002</v>
      </c>
      <c r="R471" s="243">
        <v>0.41242012</v>
      </c>
      <c r="S471" s="242">
        <v>6.2143962300000002</v>
      </c>
      <c r="T471" s="244">
        <v>0.9</v>
      </c>
      <c r="U471" s="222">
        <v>0</v>
      </c>
      <c r="V471" s="229">
        <v>1</v>
      </c>
    </row>
    <row r="472" spans="1:22" customFormat="1" x14ac:dyDescent="0.25">
      <c r="A472" s="214">
        <v>11</v>
      </c>
      <c r="B472" s="215" t="s">
        <v>351</v>
      </c>
      <c r="C472" s="241" t="s">
        <v>270</v>
      </c>
      <c r="D472" s="240" t="s">
        <v>269</v>
      </c>
      <c r="E472" s="215" t="s">
        <v>350</v>
      </c>
      <c r="F472" s="216" t="s">
        <v>352</v>
      </c>
      <c r="G472" s="243">
        <v>1.0000000000000001E-5</v>
      </c>
      <c r="H472" s="243">
        <v>1.0000000000000001E-5</v>
      </c>
      <c r="I472" s="243">
        <v>1.0000000000000001E-5</v>
      </c>
      <c r="J472" s="243">
        <v>1.0000000000000001E-5</v>
      </c>
      <c r="K472" s="243">
        <v>1.0000000000000001E-5</v>
      </c>
      <c r="L472" s="243">
        <v>1.0000000000000001E-5</v>
      </c>
      <c r="M472" s="243">
        <v>1.0000000000000001E-5</v>
      </c>
      <c r="N472" s="243">
        <v>1.0000000000000001E-5</v>
      </c>
      <c r="O472" s="243">
        <v>1.0000000000000001E-5</v>
      </c>
      <c r="P472" s="243">
        <v>1.0000000000000001E-5</v>
      </c>
      <c r="Q472" s="243">
        <v>1.0000000000000001E-5</v>
      </c>
      <c r="R472" s="243">
        <v>1.0000000000000001E-5</v>
      </c>
      <c r="S472" s="242">
        <v>1.0000000000000001E-5</v>
      </c>
      <c r="T472" s="244">
        <v>0.9</v>
      </c>
      <c r="U472" s="222">
        <v>0</v>
      </c>
      <c r="V472" s="229">
        <v>1</v>
      </c>
    </row>
    <row r="473" spans="1:22" customFormat="1" x14ac:dyDescent="0.25">
      <c r="A473" s="214">
        <v>11</v>
      </c>
      <c r="B473" s="215" t="s">
        <v>351</v>
      </c>
      <c r="C473" s="241" t="s">
        <v>270</v>
      </c>
      <c r="D473" s="240" t="s">
        <v>269</v>
      </c>
      <c r="E473" s="215" t="s">
        <v>379</v>
      </c>
      <c r="F473" s="216" t="s">
        <v>16</v>
      </c>
      <c r="G473" s="243">
        <v>0.14683992279880442</v>
      </c>
      <c r="H473" s="243">
        <v>0.15546271544599222</v>
      </c>
      <c r="I473" s="243">
        <v>0.18846689003200368</v>
      </c>
      <c r="J473" s="243">
        <v>0.20076805745139836</v>
      </c>
      <c r="K473" s="243">
        <v>0.21848292274435721</v>
      </c>
      <c r="L473" s="243">
        <v>0.28117431653123504</v>
      </c>
      <c r="M473" s="243">
        <v>0.27774541920049955</v>
      </c>
      <c r="N473" s="243">
        <v>0.22876934367201329</v>
      </c>
      <c r="O473" s="243">
        <v>0.19488385453718138</v>
      </c>
      <c r="P473" s="243">
        <v>0.14750125307455164</v>
      </c>
      <c r="Q473" s="243">
        <v>0.13288000716394777</v>
      </c>
      <c r="R473" s="243">
        <v>0.12864534711015096</v>
      </c>
      <c r="S473" s="242">
        <v>0</v>
      </c>
      <c r="T473" s="244">
        <v>1</v>
      </c>
      <c r="U473" s="229">
        <v>1</v>
      </c>
      <c r="V473" s="229">
        <v>-1</v>
      </c>
    </row>
    <row r="474" spans="1:22" customFormat="1" x14ac:dyDescent="0.25">
      <c r="A474" s="214">
        <v>11</v>
      </c>
      <c r="B474" s="215" t="s">
        <v>335</v>
      </c>
      <c r="C474" s="241" t="s">
        <v>270</v>
      </c>
      <c r="D474" s="240" t="s">
        <v>269</v>
      </c>
      <c r="E474" s="215" t="s">
        <v>348</v>
      </c>
      <c r="F474" s="216" t="s">
        <v>349</v>
      </c>
      <c r="G474" s="243">
        <v>7.160702900239907E-2</v>
      </c>
      <c r="H474" s="243">
        <v>2.5601833301048867E-3</v>
      </c>
      <c r="I474" s="243">
        <v>0</v>
      </c>
      <c r="J474" s="243">
        <v>0</v>
      </c>
      <c r="K474" s="243">
        <v>0</v>
      </c>
      <c r="L474" s="243">
        <v>0</v>
      </c>
      <c r="M474" s="243">
        <v>1.8911944842681908E-3</v>
      </c>
      <c r="N474" s="243">
        <v>0.33768180578734724</v>
      </c>
      <c r="O474" s="243">
        <v>0.87665795645891254</v>
      </c>
      <c r="P474" s="243">
        <v>1.1611840319096598</v>
      </c>
      <c r="Q474" s="243">
        <v>1.0397223798627127</v>
      </c>
      <c r="R474" s="243">
        <v>0.44587518769881285</v>
      </c>
      <c r="S474" s="242">
        <v>3.93</v>
      </c>
      <c r="T474" s="244">
        <v>0.9</v>
      </c>
      <c r="U474" s="229">
        <v>1</v>
      </c>
      <c r="V474" s="229">
        <v>-1</v>
      </c>
    </row>
    <row r="475" spans="1:22" customFormat="1" x14ac:dyDescent="0.25">
      <c r="A475" s="214">
        <v>11</v>
      </c>
      <c r="B475" s="215" t="s">
        <v>351</v>
      </c>
      <c r="C475" s="241" t="s">
        <v>270</v>
      </c>
      <c r="D475" s="240" t="s">
        <v>269</v>
      </c>
      <c r="E475" s="215" t="s">
        <v>380</v>
      </c>
      <c r="F475" s="216" t="s">
        <v>381</v>
      </c>
      <c r="G475" s="243">
        <v>0.5364772608209718</v>
      </c>
      <c r="H475" s="243">
        <v>0</v>
      </c>
      <c r="I475" s="243">
        <v>0</v>
      </c>
      <c r="J475" s="243">
        <v>0</v>
      </c>
      <c r="K475" s="243">
        <v>0</v>
      </c>
      <c r="L475" s="243">
        <v>0</v>
      </c>
      <c r="M475" s="243">
        <v>0</v>
      </c>
      <c r="N475" s="243">
        <v>1.3942307087979542</v>
      </c>
      <c r="O475" s="243">
        <v>3.6707459019360611</v>
      </c>
      <c r="P475" s="243">
        <v>3.9419818960281328</v>
      </c>
      <c r="Q475" s="243">
        <v>3.2106134813094633</v>
      </c>
      <c r="R475" s="243">
        <v>1.5854340901304347</v>
      </c>
      <c r="S475" s="242">
        <v>14.339483339023019</v>
      </c>
      <c r="T475" s="244">
        <v>0.9</v>
      </c>
      <c r="U475" s="222">
        <v>0</v>
      </c>
      <c r="V475" s="229">
        <v>-1</v>
      </c>
    </row>
    <row r="476" spans="1:22" customFormat="1" x14ac:dyDescent="0.25">
      <c r="A476" s="214">
        <v>11</v>
      </c>
      <c r="B476" s="215" t="s">
        <v>351</v>
      </c>
      <c r="C476" s="241" t="s">
        <v>270</v>
      </c>
      <c r="D476" s="240" t="s">
        <v>269</v>
      </c>
      <c r="E476" s="215" t="s">
        <v>382</v>
      </c>
      <c r="F476" s="216" t="s">
        <v>383</v>
      </c>
      <c r="G476" s="243">
        <v>0.45500000000000002</v>
      </c>
      <c r="H476" s="243">
        <v>0</v>
      </c>
      <c r="I476" s="243">
        <v>0</v>
      </c>
      <c r="J476" s="243">
        <v>0</v>
      </c>
      <c r="K476" s="243">
        <v>0</v>
      </c>
      <c r="L476" s="243">
        <v>0</v>
      </c>
      <c r="M476" s="243">
        <v>0</v>
      </c>
      <c r="N476" s="243">
        <v>1.145</v>
      </c>
      <c r="O476" s="243">
        <v>3.1139999999999999</v>
      </c>
      <c r="P476" s="243">
        <v>3.3450000000000002</v>
      </c>
      <c r="Q476" s="243">
        <v>2.7120000000000002</v>
      </c>
      <c r="R476" s="243">
        <v>1.3380000000000001</v>
      </c>
      <c r="S476" s="242">
        <v>12.110999999999999</v>
      </c>
      <c r="T476" s="244">
        <v>0.97</v>
      </c>
      <c r="U476" s="222">
        <v>0</v>
      </c>
      <c r="V476" s="229">
        <v>1</v>
      </c>
    </row>
    <row r="477" spans="1:22" customFormat="1" x14ac:dyDescent="0.25">
      <c r="A477" s="214">
        <v>11</v>
      </c>
      <c r="B477" s="215" t="s">
        <v>351</v>
      </c>
      <c r="C477" s="241" t="s">
        <v>270</v>
      </c>
      <c r="D477" s="240" t="s">
        <v>269</v>
      </c>
      <c r="E477" s="215" t="s">
        <v>384</v>
      </c>
      <c r="F477" s="216" t="s">
        <v>385</v>
      </c>
      <c r="G477" s="243">
        <v>0</v>
      </c>
      <c r="H477" s="243">
        <v>0</v>
      </c>
      <c r="I477" s="243">
        <v>0</v>
      </c>
      <c r="J477" s="243">
        <v>0</v>
      </c>
      <c r="K477" s="243">
        <v>0</v>
      </c>
      <c r="L477" s="243">
        <v>0</v>
      </c>
      <c r="M477" s="243">
        <v>0</v>
      </c>
      <c r="N477" s="243">
        <v>0</v>
      </c>
      <c r="O477" s="243">
        <v>0</v>
      </c>
      <c r="P477" s="243">
        <v>0</v>
      </c>
      <c r="Q477" s="243">
        <v>0</v>
      </c>
      <c r="R477" s="243">
        <v>0</v>
      </c>
      <c r="S477" s="242">
        <v>0</v>
      </c>
      <c r="T477" s="244">
        <v>0.97</v>
      </c>
      <c r="U477" s="229">
        <v>1</v>
      </c>
      <c r="V477" s="222">
        <v>0</v>
      </c>
    </row>
    <row r="478" spans="1:22" customFormat="1" x14ac:dyDescent="0.25">
      <c r="A478" s="214">
        <v>11</v>
      </c>
      <c r="B478" s="215" t="s">
        <v>351</v>
      </c>
      <c r="C478" s="349" t="s">
        <v>270</v>
      </c>
      <c r="D478" s="240" t="s">
        <v>269</v>
      </c>
      <c r="E478" s="215" t="s">
        <v>386</v>
      </c>
      <c r="F478" s="216" t="s">
        <v>387</v>
      </c>
      <c r="G478" s="351">
        <v>0.33403084675073585</v>
      </c>
      <c r="H478" s="351">
        <v>0</v>
      </c>
      <c r="I478" s="351">
        <v>0</v>
      </c>
      <c r="J478" s="351">
        <v>0</v>
      </c>
      <c r="K478" s="351">
        <v>0</v>
      </c>
      <c r="L478" s="351">
        <v>0</v>
      </c>
      <c r="M478" s="351">
        <v>1.1676018906249998E-2</v>
      </c>
      <c r="N478" s="351">
        <v>2.3630036267394057</v>
      </c>
      <c r="O478" s="351">
        <v>5.6110380092260259</v>
      </c>
      <c r="P478" s="351">
        <v>6.2692886370217895</v>
      </c>
      <c r="Q478" s="351">
        <v>4.1288131315835095</v>
      </c>
      <c r="R478" s="351">
        <v>1.5060133141026908</v>
      </c>
      <c r="S478" s="350">
        <v>20.224863584330407</v>
      </c>
      <c r="T478" s="352">
        <v>0.81</v>
      </c>
      <c r="U478" s="222">
        <v>0</v>
      </c>
      <c r="V478" s="229">
        <v>-1</v>
      </c>
    </row>
    <row r="479" spans="1:22" customFormat="1" x14ac:dyDescent="0.25">
      <c r="A479" s="214">
        <v>11</v>
      </c>
      <c r="B479" s="215" t="s">
        <v>389</v>
      </c>
      <c r="C479" s="241" t="s">
        <v>270</v>
      </c>
      <c r="D479" s="240" t="s">
        <v>269</v>
      </c>
      <c r="E479" s="215" t="s">
        <v>388</v>
      </c>
      <c r="F479" s="216" t="s">
        <v>112</v>
      </c>
      <c r="G479" s="389">
        <v>0.11597856552384003</v>
      </c>
      <c r="H479" s="389">
        <v>0</v>
      </c>
      <c r="I479" s="389">
        <v>0</v>
      </c>
      <c r="J479" s="389">
        <v>0</v>
      </c>
      <c r="K479" s="389">
        <v>0</v>
      </c>
      <c r="L479" s="389">
        <v>0</v>
      </c>
      <c r="M479" s="389">
        <v>-5.4902877824084234E-4</v>
      </c>
      <c r="N479" s="389">
        <v>0.6885287588382788</v>
      </c>
      <c r="O479" s="389">
        <v>5.7780126323945336</v>
      </c>
      <c r="P479" s="389">
        <v>11.289003606342529</v>
      </c>
      <c r="Q479" s="389">
        <v>8.5229496586173852</v>
      </c>
      <c r="R479" s="389">
        <v>2.511646587502947</v>
      </c>
      <c r="S479" s="434">
        <v>28.905570780441273</v>
      </c>
      <c r="T479" s="244">
        <v>0.9</v>
      </c>
      <c r="U479" s="222">
        <v>0</v>
      </c>
      <c r="V479" s="229">
        <v>1</v>
      </c>
    </row>
    <row r="480" spans="1:22" customFormat="1" x14ac:dyDescent="0.25">
      <c r="A480" s="214">
        <v>11</v>
      </c>
      <c r="B480" s="215" t="s">
        <v>351</v>
      </c>
      <c r="C480" s="349" t="s">
        <v>270</v>
      </c>
      <c r="D480" s="240" t="s">
        <v>269</v>
      </c>
      <c r="E480" s="215" t="s">
        <v>390</v>
      </c>
      <c r="F480" s="216" t="s">
        <v>391</v>
      </c>
      <c r="G480" s="351">
        <v>0</v>
      </c>
      <c r="H480" s="351">
        <v>0</v>
      </c>
      <c r="I480" s="351">
        <v>0</v>
      </c>
      <c r="J480" s="351">
        <v>0</v>
      </c>
      <c r="K480" s="351">
        <v>0</v>
      </c>
      <c r="L480" s="351">
        <v>0</v>
      </c>
      <c r="M480" s="351">
        <v>0</v>
      </c>
      <c r="N480" s="351">
        <v>0</v>
      </c>
      <c r="O480" s="351">
        <v>0</v>
      </c>
      <c r="P480" s="351">
        <v>0</v>
      </c>
      <c r="Q480" s="351">
        <v>0</v>
      </c>
      <c r="R480" s="351">
        <v>0</v>
      </c>
      <c r="S480" s="350">
        <v>0</v>
      </c>
      <c r="T480" s="352">
        <v>0.9</v>
      </c>
      <c r="U480" s="229">
        <v>1</v>
      </c>
      <c r="V480" s="222">
        <v>0</v>
      </c>
    </row>
    <row r="481" spans="1:22" customFormat="1" x14ac:dyDescent="0.25">
      <c r="A481" s="214">
        <v>11</v>
      </c>
      <c r="B481" s="215" t="s">
        <v>393</v>
      </c>
      <c r="C481" s="241" t="s">
        <v>270</v>
      </c>
      <c r="D481" s="240" t="s">
        <v>269</v>
      </c>
      <c r="E481" s="215" t="s">
        <v>392</v>
      </c>
      <c r="F481" s="216" t="s">
        <v>394</v>
      </c>
      <c r="G481" s="243">
        <v>0.64000140246271242</v>
      </c>
      <c r="H481" s="243">
        <v>0</v>
      </c>
      <c r="I481" s="243">
        <v>0</v>
      </c>
      <c r="J481" s="243">
        <v>0</v>
      </c>
      <c r="K481" s="243">
        <v>0</v>
      </c>
      <c r="L481" s="243">
        <v>0</v>
      </c>
      <c r="M481" s="243">
        <v>0</v>
      </c>
      <c r="N481" s="243">
        <v>3.2329803200754768</v>
      </c>
      <c r="O481" s="243">
        <v>7.8673705813618309</v>
      </c>
      <c r="P481" s="243">
        <v>10.050212214279318</v>
      </c>
      <c r="Q481" s="243">
        <v>5.9803992951611358</v>
      </c>
      <c r="R481" s="243">
        <v>0.79898701379035442</v>
      </c>
      <c r="S481" s="242">
        <v>28.569950827130832</v>
      </c>
      <c r="T481" s="244">
        <v>0.9</v>
      </c>
      <c r="U481" s="222">
        <v>0</v>
      </c>
      <c r="V481" s="222">
        <v>0</v>
      </c>
    </row>
    <row r="482" spans="1:22" customFormat="1" x14ac:dyDescent="0.25">
      <c r="A482" s="214">
        <v>10</v>
      </c>
      <c r="B482" s="215" t="s">
        <v>247</v>
      </c>
      <c r="C482" s="241" t="s">
        <v>268</v>
      </c>
      <c r="D482" s="240" t="s">
        <v>267</v>
      </c>
      <c r="E482" s="215" t="s">
        <v>246</v>
      </c>
      <c r="F482" s="216" t="s">
        <v>248</v>
      </c>
      <c r="G482" s="243">
        <v>4.5000000000001705E-3</v>
      </c>
      <c r="H482" s="243">
        <v>0</v>
      </c>
      <c r="I482" s="243">
        <v>0</v>
      </c>
      <c r="J482" s="243">
        <v>0</v>
      </c>
      <c r="K482" s="243">
        <v>0</v>
      </c>
      <c r="L482" s="243">
        <v>0</v>
      </c>
      <c r="M482" s="243">
        <v>9.7500000000000142E-2</v>
      </c>
      <c r="N482" s="243">
        <v>3.1499999999999417E-2</v>
      </c>
      <c r="O482" s="243">
        <v>0</v>
      </c>
      <c r="P482" s="243">
        <v>0.11100000000000065</v>
      </c>
      <c r="Q482" s="243">
        <v>8.4000000000001407E-2</v>
      </c>
      <c r="R482" s="243">
        <v>3.1499999999999417E-2</v>
      </c>
      <c r="S482" s="242">
        <v>0.36000000000001364</v>
      </c>
      <c r="T482" s="244"/>
      <c r="U482" s="222">
        <v>0</v>
      </c>
      <c r="V482" s="229">
        <v>-1</v>
      </c>
    </row>
    <row r="483" spans="1:22" customFormat="1" x14ac:dyDescent="0.25">
      <c r="A483" s="214">
        <v>10</v>
      </c>
      <c r="B483" s="215" t="s">
        <v>332</v>
      </c>
      <c r="C483" s="241" t="s">
        <v>268</v>
      </c>
      <c r="D483" s="240" t="s">
        <v>267</v>
      </c>
      <c r="E483" s="215" t="s">
        <v>331</v>
      </c>
      <c r="F483" s="216" t="s">
        <v>333</v>
      </c>
      <c r="G483" s="243">
        <v>5.0645544095683948E-2</v>
      </c>
      <c r="H483" s="243">
        <v>0</v>
      </c>
      <c r="I483" s="243">
        <v>0</v>
      </c>
      <c r="J483" s="243">
        <v>0</v>
      </c>
      <c r="K483" s="243">
        <v>0</v>
      </c>
      <c r="L483" s="243">
        <v>0</v>
      </c>
      <c r="M483" s="243">
        <v>0</v>
      </c>
      <c r="N483" s="243">
        <v>0.37439897548549839</v>
      </c>
      <c r="O483" s="243">
        <v>1.080493759121973</v>
      </c>
      <c r="P483" s="243">
        <v>1.1660532234078396</v>
      </c>
      <c r="Q483" s="243">
        <v>0.93037525193379089</v>
      </c>
      <c r="R483" s="243">
        <v>0.25416154696679349</v>
      </c>
      <c r="S483" s="242">
        <v>3.8561283010115801</v>
      </c>
      <c r="T483" s="244">
        <v>0.1</v>
      </c>
      <c r="U483" s="222">
        <v>0</v>
      </c>
      <c r="V483" s="229">
        <v>1</v>
      </c>
    </row>
    <row r="484" spans="1:22" customFormat="1" x14ac:dyDescent="0.25">
      <c r="A484" s="214">
        <v>10</v>
      </c>
      <c r="B484" s="215" t="s">
        <v>335</v>
      </c>
      <c r="C484" s="241" t="s">
        <v>268</v>
      </c>
      <c r="D484" s="240" t="s">
        <v>267</v>
      </c>
      <c r="E484" s="215" t="s">
        <v>334</v>
      </c>
      <c r="F484" s="216" t="s">
        <v>336</v>
      </c>
      <c r="G484" s="243">
        <v>8.5542922222222179E-3</v>
      </c>
      <c r="H484" s="243">
        <v>0</v>
      </c>
      <c r="I484" s="243">
        <v>0</v>
      </c>
      <c r="J484" s="243">
        <v>0</v>
      </c>
      <c r="K484" s="243">
        <v>0</v>
      </c>
      <c r="L484" s="243">
        <v>0</v>
      </c>
      <c r="M484" s="243">
        <v>0</v>
      </c>
      <c r="N484" s="243">
        <v>9.5380087777777733E-2</v>
      </c>
      <c r="O484" s="243">
        <v>0.19475090666666661</v>
      </c>
      <c r="P484" s="243">
        <v>0.19267252777777766</v>
      </c>
      <c r="Q484" s="243">
        <v>0.15330619777777765</v>
      </c>
      <c r="R484" s="243">
        <v>4.5824457777777772E-2</v>
      </c>
      <c r="S484" s="242">
        <v>0.69048847000000002</v>
      </c>
      <c r="T484" s="244">
        <v>0.1</v>
      </c>
      <c r="U484" s="229">
        <v>1</v>
      </c>
      <c r="V484" s="222">
        <v>0</v>
      </c>
    </row>
    <row r="485" spans="1:22" customFormat="1" x14ac:dyDescent="0.25">
      <c r="A485" s="214">
        <v>10</v>
      </c>
      <c r="B485" s="215" t="s">
        <v>351</v>
      </c>
      <c r="C485" s="241" t="s">
        <v>268</v>
      </c>
      <c r="D485" s="240" t="s">
        <v>267</v>
      </c>
      <c r="E485" s="215" t="s">
        <v>350</v>
      </c>
      <c r="F485" s="216" t="s">
        <v>352</v>
      </c>
      <c r="G485" s="243">
        <v>1.1111111111111108E-6</v>
      </c>
      <c r="H485" s="243">
        <v>1.1111111111111108E-6</v>
      </c>
      <c r="I485" s="243">
        <v>1.1111111111111108E-6</v>
      </c>
      <c r="J485" s="243">
        <v>1.1111111111111108E-6</v>
      </c>
      <c r="K485" s="243">
        <v>1.1111111111111108E-6</v>
      </c>
      <c r="L485" s="243">
        <v>1.1111111111111108E-6</v>
      </c>
      <c r="M485" s="243">
        <v>1.1111111111111108E-6</v>
      </c>
      <c r="N485" s="243">
        <v>1.1111111111111108E-6</v>
      </c>
      <c r="O485" s="243">
        <v>1.1111111111111108E-6</v>
      </c>
      <c r="P485" s="243">
        <v>1.1111111111111108E-6</v>
      </c>
      <c r="Q485" s="243">
        <v>1.1111111111111108E-6</v>
      </c>
      <c r="R485" s="243">
        <v>1.1111111111111108E-6</v>
      </c>
      <c r="S485" s="242">
        <v>1.1111111111111108E-6</v>
      </c>
      <c r="T485" s="244">
        <v>0.1</v>
      </c>
      <c r="U485" s="222">
        <v>0</v>
      </c>
      <c r="V485" s="229">
        <v>-1</v>
      </c>
    </row>
    <row r="486" spans="1:22" customFormat="1" x14ac:dyDescent="0.25">
      <c r="A486" s="214">
        <v>10</v>
      </c>
      <c r="B486" s="215" t="s">
        <v>351</v>
      </c>
      <c r="C486" s="241" t="s">
        <v>268</v>
      </c>
      <c r="D486" s="240" t="s">
        <v>267</v>
      </c>
      <c r="E486" s="215" t="s">
        <v>379</v>
      </c>
      <c r="F486" s="216" t="s">
        <v>16</v>
      </c>
      <c r="G486" s="243">
        <v>0</v>
      </c>
      <c r="H486" s="243">
        <v>0</v>
      </c>
      <c r="I486" s="243">
        <v>0</v>
      </c>
      <c r="J486" s="243">
        <v>0</v>
      </c>
      <c r="K486" s="243">
        <v>0</v>
      </c>
      <c r="L486" s="243">
        <v>0</v>
      </c>
      <c r="M486" s="243">
        <v>0</v>
      </c>
      <c r="N486" s="243">
        <v>0</v>
      </c>
      <c r="O486" s="243">
        <v>0</v>
      </c>
      <c r="P486" s="243">
        <v>0</v>
      </c>
      <c r="Q486" s="243">
        <v>0</v>
      </c>
      <c r="R486" s="243">
        <v>0</v>
      </c>
      <c r="S486" s="242">
        <v>0</v>
      </c>
      <c r="T486" s="244">
        <v>0.1</v>
      </c>
      <c r="U486" s="222">
        <v>0</v>
      </c>
      <c r="V486" s="229">
        <v>1</v>
      </c>
    </row>
    <row r="487" spans="1:22" customFormat="1" x14ac:dyDescent="0.25">
      <c r="A487" s="214">
        <v>10</v>
      </c>
      <c r="B487" s="215" t="s">
        <v>335</v>
      </c>
      <c r="C487" s="241" t="s">
        <v>268</v>
      </c>
      <c r="D487" s="240" t="s">
        <v>267</v>
      </c>
      <c r="E487" s="215" t="s">
        <v>348</v>
      </c>
      <c r="F487" s="216" t="s">
        <v>349</v>
      </c>
      <c r="G487" s="243">
        <v>7.9563365558221189E-3</v>
      </c>
      <c r="H487" s="243">
        <v>2.8446481445609838E-4</v>
      </c>
      <c r="I487" s="243">
        <v>0</v>
      </c>
      <c r="J487" s="243">
        <v>0</v>
      </c>
      <c r="K487" s="243">
        <v>0</v>
      </c>
      <c r="L487" s="243">
        <v>0</v>
      </c>
      <c r="M487" s="243">
        <v>2.1013272047424323E-4</v>
      </c>
      <c r="N487" s="243">
        <v>3.752020064303857E-2</v>
      </c>
      <c r="O487" s="243">
        <v>9.7406439606545825E-2</v>
      </c>
      <c r="P487" s="243">
        <v>0.12902044798996215</v>
      </c>
      <c r="Q487" s="243">
        <v>0.11552470887363464</v>
      </c>
      <c r="R487" s="243">
        <v>4.9541687522090316E-2</v>
      </c>
      <c r="S487" s="242">
        <v>0.43666666666666698</v>
      </c>
      <c r="T487" s="244">
        <v>0.1</v>
      </c>
      <c r="U487" s="222">
        <v>0</v>
      </c>
      <c r="V487" s="222">
        <v>0</v>
      </c>
    </row>
    <row r="488" spans="1:22" customFormat="1" x14ac:dyDescent="0.25">
      <c r="A488" s="214">
        <v>10</v>
      </c>
      <c r="B488" s="215" t="s">
        <v>351</v>
      </c>
      <c r="C488" s="241" t="s">
        <v>268</v>
      </c>
      <c r="D488" s="240" t="s">
        <v>267</v>
      </c>
      <c r="E488" s="215" t="s">
        <v>380</v>
      </c>
      <c r="F488" s="216" t="s">
        <v>381</v>
      </c>
      <c r="G488" s="243">
        <v>5.9608584535663534E-2</v>
      </c>
      <c r="H488" s="243">
        <v>0</v>
      </c>
      <c r="I488" s="243">
        <v>0</v>
      </c>
      <c r="J488" s="243">
        <v>0</v>
      </c>
      <c r="K488" s="243">
        <v>0</v>
      </c>
      <c r="L488" s="243">
        <v>0</v>
      </c>
      <c r="M488" s="243">
        <v>0</v>
      </c>
      <c r="N488" s="243">
        <v>0.15491452319977261</v>
      </c>
      <c r="O488" s="243">
        <v>0.40786065577067365</v>
      </c>
      <c r="P488" s="243">
        <v>0.43799798844757021</v>
      </c>
      <c r="Q488" s="243">
        <v>0.35673483125660699</v>
      </c>
      <c r="R488" s="243">
        <v>0.17615934334782613</v>
      </c>
      <c r="S488" s="242">
        <v>1.5932759265581122</v>
      </c>
      <c r="T488" s="244">
        <v>0.1</v>
      </c>
      <c r="U488" s="222">
        <v>0</v>
      </c>
      <c r="V488" s="222">
        <v>0</v>
      </c>
    </row>
    <row r="489" spans="1:22" customFormat="1" x14ac:dyDescent="0.25">
      <c r="A489" s="214">
        <v>10</v>
      </c>
      <c r="B489" s="215" t="s">
        <v>351</v>
      </c>
      <c r="C489" s="241" t="s">
        <v>268</v>
      </c>
      <c r="D489" s="240" t="s">
        <v>267</v>
      </c>
      <c r="E489" s="215" t="s">
        <v>382</v>
      </c>
      <c r="F489" s="216" t="s">
        <v>383</v>
      </c>
      <c r="G489" s="243">
        <v>1.4072164948453647E-2</v>
      </c>
      <c r="H489" s="243">
        <v>0</v>
      </c>
      <c r="I489" s="243">
        <v>0</v>
      </c>
      <c r="J489" s="243">
        <v>0</v>
      </c>
      <c r="K489" s="243">
        <v>0</v>
      </c>
      <c r="L489" s="243">
        <v>0</v>
      </c>
      <c r="M489" s="243">
        <v>0</v>
      </c>
      <c r="N489" s="243">
        <v>3.5412371134020626E-2</v>
      </c>
      <c r="O489" s="243">
        <v>9.6309278350515726E-2</v>
      </c>
      <c r="P489" s="243">
        <v>0.10345360824742267</v>
      </c>
      <c r="Q489" s="243">
        <v>8.3876288659793907E-2</v>
      </c>
      <c r="R489" s="243">
        <v>4.13814432989692E-2</v>
      </c>
      <c r="S489" s="242">
        <v>0.37456701030927952</v>
      </c>
      <c r="T489" s="244">
        <v>0.1</v>
      </c>
      <c r="U489" s="222">
        <v>0</v>
      </c>
      <c r="V489" s="229">
        <v>1</v>
      </c>
    </row>
    <row r="490" spans="1:22" customFormat="1" x14ac:dyDescent="0.25">
      <c r="A490" s="214">
        <v>10</v>
      </c>
      <c r="B490" s="215" t="s">
        <v>351</v>
      </c>
      <c r="C490" s="241" t="s">
        <v>268</v>
      </c>
      <c r="D490" s="240" t="s">
        <v>267</v>
      </c>
      <c r="E490" s="215" t="s">
        <v>384</v>
      </c>
      <c r="F490" s="216" t="s">
        <v>385</v>
      </c>
      <c r="G490" s="243">
        <v>0</v>
      </c>
      <c r="H490" s="243">
        <v>0</v>
      </c>
      <c r="I490" s="243">
        <v>0</v>
      </c>
      <c r="J490" s="243">
        <v>0</v>
      </c>
      <c r="K490" s="243">
        <v>0</v>
      </c>
      <c r="L490" s="243">
        <v>0</v>
      </c>
      <c r="M490" s="243">
        <v>0</v>
      </c>
      <c r="N490" s="243">
        <v>0</v>
      </c>
      <c r="O490" s="243">
        <v>0</v>
      </c>
      <c r="P490" s="243">
        <v>0</v>
      </c>
      <c r="Q490" s="243">
        <v>0</v>
      </c>
      <c r="R490" s="243">
        <v>0</v>
      </c>
      <c r="S490" s="242">
        <v>0</v>
      </c>
      <c r="T490" s="244">
        <v>0.1</v>
      </c>
      <c r="U490" s="222">
        <v>0</v>
      </c>
      <c r="V490" s="222">
        <v>0</v>
      </c>
    </row>
    <row r="491" spans="1:22" customFormat="1" x14ac:dyDescent="0.25">
      <c r="A491" s="214">
        <v>10</v>
      </c>
      <c r="B491" s="215" t="s">
        <v>351</v>
      </c>
      <c r="C491" s="349" t="s">
        <v>268</v>
      </c>
      <c r="D491" s="240" t="s">
        <v>267</v>
      </c>
      <c r="E491" s="215" t="s">
        <v>386</v>
      </c>
      <c r="F491" s="216" t="s">
        <v>387</v>
      </c>
      <c r="G491" s="351">
        <v>1.2489691532492642</v>
      </c>
      <c r="H491" s="351">
        <v>0</v>
      </c>
      <c r="I491" s="351">
        <v>0</v>
      </c>
      <c r="J491" s="351">
        <v>0</v>
      </c>
      <c r="K491" s="351">
        <v>0</v>
      </c>
      <c r="L491" s="351">
        <v>0</v>
      </c>
      <c r="M491" s="351">
        <v>2.3239810937500018E-3</v>
      </c>
      <c r="N491" s="351">
        <v>3.7959963732605941</v>
      </c>
      <c r="O491" s="351">
        <v>9.7809619907739744</v>
      </c>
      <c r="P491" s="351">
        <v>10.483711362978211</v>
      </c>
      <c r="Q491" s="351">
        <v>8.1851868684164888</v>
      </c>
      <c r="R491" s="351">
        <v>3.8379866858973086</v>
      </c>
      <c r="S491" s="350">
        <v>37.332136415669595</v>
      </c>
      <c r="T491" s="352">
        <v>0.1</v>
      </c>
      <c r="U491" s="222">
        <v>0</v>
      </c>
      <c r="V491" s="222">
        <v>0</v>
      </c>
    </row>
    <row r="492" spans="1:22" customFormat="1" x14ac:dyDescent="0.25">
      <c r="A492" s="214">
        <v>10</v>
      </c>
      <c r="B492" s="215" t="s">
        <v>389</v>
      </c>
      <c r="C492" s="241" t="s">
        <v>268</v>
      </c>
      <c r="D492" s="240" t="s">
        <v>267</v>
      </c>
      <c r="E492" s="215" t="s">
        <v>388</v>
      </c>
      <c r="F492" s="216" t="s">
        <v>112</v>
      </c>
      <c r="G492" s="243">
        <v>1.2886507280426673E-2</v>
      </c>
      <c r="H492" s="243">
        <v>0</v>
      </c>
      <c r="I492" s="243">
        <v>0</v>
      </c>
      <c r="J492" s="243">
        <v>0</v>
      </c>
      <c r="K492" s="243">
        <v>0</v>
      </c>
      <c r="L492" s="243">
        <v>0</v>
      </c>
      <c r="M492" s="243">
        <v>-6.1003197582315755E-5</v>
      </c>
      <c r="N492" s="243">
        <v>7.6503195426475434E-2</v>
      </c>
      <c r="O492" s="243">
        <v>0.64200140359939262</v>
      </c>
      <c r="P492" s="243">
        <v>1.2543337340380578</v>
      </c>
      <c r="Q492" s="243">
        <v>0.94699440651304201</v>
      </c>
      <c r="R492" s="243">
        <v>0.27907184305588295</v>
      </c>
      <c r="S492" s="242">
        <v>3.211730086715697</v>
      </c>
      <c r="T492" s="244">
        <v>0.1</v>
      </c>
      <c r="U492" s="229">
        <v>1</v>
      </c>
      <c r="V492" s="222">
        <v>0</v>
      </c>
    </row>
    <row r="493" spans="1:22" customFormat="1" x14ac:dyDescent="0.25">
      <c r="A493" s="214">
        <v>10</v>
      </c>
      <c r="B493" s="215" t="s">
        <v>351</v>
      </c>
      <c r="C493" s="349" t="s">
        <v>268</v>
      </c>
      <c r="D493" s="240" t="s">
        <v>267</v>
      </c>
      <c r="E493" s="215" t="s">
        <v>390</v>
      </c>
      <c r="F493" s="216" t="s">
        <v>391</v>
      </c>
      <c r="G493" s="351">
        <v>0</v>
      </c>
      <c r="H493" s="351">
        <v>0</v>
      </c>
      <c r="I493" s="351">
        <v>0</v>
      </c>
      <c r="J493" s="351">
        <v>0</v>
      </c>
      <c r="K493" s="351">
        <v>0</v>
      </c>
      <c r="L493" s="351">
        <v>0</v>
      </c>
      <c r="M493" s="351">
        <v>0</v>
      </c>
      <c r="N493" s="351">
        <v>0</v>
      </c>
      <c r="O493" s="351">
        <v>0</v>
      </c>
      <c r="P493" s="351">
        <v>0</v>
      </c>
      <c r="Q493" s="351">
        <v>0</v>
      </c>
      <c r="R493" s="351">
        <v>0</v>
      </c>
      <c r="S493" s="350">
        <v>0</v>
      </c>
      <c r="T493" s="352">
        <v>0.1</v>
      </c>
      <c r="U493" s="222">
        <v>0</v>
      </c>
      <c r="V493" s="222">
        <v>0</v>
      </c>
    </row>
    <row r="494" spans="1:22" customFormat="1" x14ac:dyDescent="0.25">
      <c r="A494" s="214">
        <v>10</v>
      </c>
      <c r="B494" s="215" t="s">
        <v>393</v>
      </c>
      <c r="C494" s="241" t="s">
        <v>268</v>
      </c>
      <c r="D494" s="240" t="s">
        <v>267</v>
      </c>
      <c r="E494" s="215" t="s">
        <v>392</v>
      </c>
      <c r="F494" s="216" t="s">
        <v>394</v>
      </c>
      <c r="G494" s="243">
        <v>7.1111266940301343E-2</v>
      </c>
      <c r="H494" s="243">
        <v>0</v>
      </c>
      <c r="I494" s="243">
        <v>0</v>
      </c>
      <c r="J494" s="243">
        <v>0</v>
      </c>
      <c r="K494" s="243">
        <v>0</v>
      </c>
      <c r="L494" s="243">
        <v>0</v>
      </c>
      <c r="M494" s="243">
        <v>0</v>
      </c>
      <c r="N494" s="243">
        <v>0.35922003556394166</v>
      </c>
      <c r="O494" s="243">
        <v>0.87415228681798141</v>
      </c>
      <c r="P494" s="243">
        <v>1.1166902460310357</v>
      </c>
      <c r="Q494" s="243">
        <v>0.66448881057345943</v>
      </c>
      <c r="R494" s="243">
        <v>8.8776334865594886E-2</v>
      </c>
      <c r="S494" s="242">
        <v>3.1744389807923135</v>
      </c>
      <c r="T494" s="244">
        <v>0.1</v>
      </c>
      <c r="U494" s="222">
        <v>0</v>
      </c>
      <c r="V494" s="222">
        <v>0</v>
      </c>
    </row>
    <row r="495" spans="1:22" customFormat="1" x14ac:dyDescent="0.25">
      <c r="A495" s="214">
        <v>27</v>
      </c>
      <c r="B495" s="215" t="s">
        <v>247</v>
      </c>
      <c r="C495" s="271" t="s">
        <v>302</v>
      </c>
      <c r="D495" s="270" t="s">
        <v>301</v>
      </c>
      <c r="E495" s="215" t="s">
        <v>246</v>
      </c>
      <c r="F495" s="216" t="s">
        <v>248</v>
      </c>
      <c r="G495" s="272">
        <v>0</v>
      </c>
      <c r="H495" s="272">
        <v>0</v>
      </c>
      <c r="I495" s="272">
        <v>0</v>
      </c>
      <c r="J495" s="272">
        <v>0</v>
      </c>
      <c r="K495" s="272">
        <v>0</v>
      </c>
      <c r="L495" s="272">
        <v>0</v>
      </c>
      <c r="M495" s="272">
        <v>0</v>
      </c>
      <c r="N495" s="272">
        <v>0</v>
      </c>
      <c r="O495" s="272">
        <v>0</v>
      </c>
      <c r="P495" s="272">
        <v>0</v>
      </c>
      <c r="Q495" s="272">
        <v>0</v>
      </c>
      <c r="R495" s="272">
        <v>0</v>
      </c>
      <c r="S495" s="411">
        <v>0</v>
      </c>
      <c r="T495" s="273"/>
      <c r="U495" s="222">
        <v>0</v>
      </c>
      <c r="V495" s="222">
        <v>0</v>
      </c>
    </row>
    <row r="496" spans="1:22" customFormat="1" x14ac:dyDescent="0.25">
      <c r="A496" s="214">
        <v>27</v>
      </c>
      <c r="B496" s="215" t="s">
        <v>332</v>
      </c>
      <c r="C496" s="271" t="s">
        <v>302</v>
      </c>
      <c r="D496" s="270" t="s">
        <v>301</v>
      </c>
      <c r="E496" s="215" t="s">
        <v>331</v>
      </c>
      <c r="F496" s="216" t="s">
        <v>333</v>
      </c>
      <c r="G496" s="272">
        <v>1.5710000000000002</v>
      </c>
      <c r="H496" s="272">
        <v>0.79800000000000004</v>
      </c>
      <c r="I496" s="272">
        <v>0.91600000000000004</v>
      </c>
      <c r="J496" s="272">
        <v>0.79600000000000004</v>
      </c>
      <c r="K496" s="272">
        <v>0.73799999999999999</v>
      </c>
      <c r="L496" s="272">
        <v>0.84199999999999997</v>
      </c>
      <c r="M496" s="272">
        <v>0.85299999999999998</v>
      </c>
      <c r="N496" s="272">
        <v>1.1920000000000002</v>
      </c>
      <c r="O496" s="272">
        <v>2.024</v>
      </c>
      <c r="P496" s="272">
        <v>2.9750000000000001</v>
      </c>
      <c r="Q496" s="272">
        <v>2.8410000000000002</v>
      </c>
      <c r="R496" s="272">
        <v>2.2650000000000001</v>
      </c>
      <c r="S496" s="411">
        <v>17.809000000000001</v>
      </c>
      <c r="T496" s="273"/>
      <c r="U496" s="229">
        <v>1</v>
      </c>
      <c r="V496" s="222">
        <v>-1</v>
      </c>
    </row>
    <row r="497" spans="1:22" customFormat="1" x14ac:dyDescent="0.25">
      <c r="A497" s="214">
        <v>27</v>
      </c>
      <c r="B497" s="215" t="s">
        <v>335</v>
      </c>
      <c r="C497" s="271" t="s">
        <v>302</v>
      </c>
      <c r="D497" s="270" t="s">
        <v>301</v>
      </c>
      <c r="E497" s="215" t="s">
        <v>334</v>
      </c>
      <c r="F497" s="216" t="s">
        <v>336</v>
      </c>
      <c r="G497" s="272">
        <v>-27.817326719999993</v>
      </c>
      <c r="H497" s="272">
        <v>-24.227994240000001</v>
      </c>
      <c r="I497" s="272">
        <v>-22.11577680738462</v>
      </c>
      <c r="J497" s="272">
        <v>-22.115776807384613</v>
      </c>
      <c r="K497" s="272">
        <v>-21.11816163774359</v>
      </c>
      <c r="L497" s="272">
        <v>-23.97869089066667</v>
      </c>
      <c r="M497" s="272">
        <v>-22.405468324102557</v>
      </c>
      <c r="N497" s="272">
        <v>-26.683637430153851</v>
      </c>
      <c r="O497" s="272">
        <v>-30.820472402051276</v>
      </c>
      <c r="P497" s="272">
        <v>-33.380792064000005</v>
      </c>
      <c r="Q497" s="272">
        <v>-34.771658400000007</v>
      </c>
      <c r="R497" s="272">
        <v>-30.957992640000004</v>
      </c>
      <c r="S497" s="411">
        <v>-320.39374836348719</v>
      </c>
      <c r="T497" s="273"/>
      <c r="U497" s="222">
        <v>0</v>
      </c>
      <c r="V497" s="222">
        <v>0</v>
      </c>
    </row>
    <row r="498" spans="1:22" customFormat="1" x14ac:dyDescent="0.25">
      <c r="A498" s="214">
        <v>27</v>
      </c>
      <c r="B498" s="215" t="s">
        <v>351</v>
      </c>
      <c r="C498" s="271" t="s">
        <v>302</v>
      </c>
      <c r="D498" s="270" t="s">
        <v>301</v>
      </c>
      <c r="E498" s="215" t="s">
        <v>350</v>
      </c>
      <c r="F498" s="216" t="s">
        <v>352</v>
      </c>
      <c r="G498" s="272">
        <v>0</v>
      </c>
      <c r="H498" s="272">
        <v>0</v>
      </c>
      <c r="I498" s="272">
        <v>0</v>
      </c>
      <c r="J498" s="272">
        <v>0</v>
      </c>
      <c r="K498" s="272">
        <v>0</v>
      </c>
      <c r="L498" s="272">
        <v>0</v>
      </c>
      <c r="M498" s="272">
        <v>0</v>
      </c>
      <c r="N498" s="272">
        <v>0</v>
      </c>
      <c r="O498" s="272">
        <v>0</v>
      </c>
      <c r="P498" s="272">
        <v>0</v>
      </c>
      <c r="Q498" s="272">
        <v>0</v>
      </c>
      <c r="R498" s="272">
        <v>0</v>
      </c>
      <c r="S498" s="411">
        <v>0</v>
      </c>
      <c r="T498" s="273"/>
      <c r="U498" s="222">
        <v>0</v>
      </c>
      <c r="V498" s="222">
        <v>0</v>
      </c>
    </row>
    <row r="499" spans="1:22" customFormat="1" x14ac:dyDescent="0.25">
      <c r="A499" s="214">
        <v>27</v>
      </c>
      <c r="B499" s="215" t="s">
        <v>351</v>
      </c>
      <c r="C499" s="271" t="s">
        <v>302</v>
      </c>
      <c r="D499" s="270" t="s">
        <v>301</v>
      </c>
      <c r="E499" s="215" t="s">
        <v>379</v>
      </c>
      <c r="F499" s="216" t="s">
        <v>16</v>
      </c>
      <c r="G499" s="272">
        <v>0.14683992279880442</v>
      </c>
      <c r="H499" s="272">
        <v>0.15546271544599222</v>
      </c>
      <c r="I499" s="272">
        <v>0.18846689003200368</v>
      </c>
      <c r="J499" s="272">
        <v>0.20076805745139836</v>
      </c>
      <c r="K499" s="272">
        <v>0.21848292274435721</v>
      </c>
      <c r="L499" s="272">
        <v>0.28117431653123504</v>
      </c>
      <c r="M499" s="272">
        <v>0.27774541920049955</v>
      </c>
      <c r="N499" s="272">
        <v>0.22876934367201329</v>
      </c>
      <c r="O499" s="272">
        <v>0.19488385453718138</v>
      </c>
      <c r="P499" s="272">
        <v>0.14750125307455164</v>
      </c>
      <c r="Q499" s="272">
        <v>0.13288000716394777</v>
      </c>
      <c r="R499" s="272">
        <v>0.12864534711015096</v>
      </c>
      <c r="S499" s="411">
        <v>2.3016200497620503</v>
      </c>
      <c r="T499" s="273">
        <v>1</v>
      </c>
      <c r="U499" s="222">
        <v>0</v>
      </c>
      <c r="V499" s="222">
        <v>0</v>
      </c>
    </row>
    <row r="500" spans="1:22" customFormat="1" x14ac:dyDescent="0.25">
      <c r="A500" s="214">
        <v>27</v>
      </c>
      <c r="B500" s="215" t="s">
        <v>335</v>
      </c>
      <c r="C500" s="271" t="s">
        <v>302</v>
      </c>
      <c r="D500" s="270" t="s">
        <v>301</v>
      </c>
      <c r="E500" s="215" t="s">
        <v>348</v>
      </c>
      <c r="F500" s="216" t="s">
        <v>349</v>
      </c>
      <c r="G500" s="272">
        <v>27.817326719999993</v>
      </c>
      <c r="H500" s="272">
        <v>24.227994240000001</v>
      </c>
      <c r="I500" s="272">
        <v>22.11577680738462</v>
      </c>
      <c r="J500" s="272">
        <v>22.115776807384613</v>
      </c>
      <c r="K500" s="272">
        <v>21.11816163774359</v>
      </c>
      <c r="L500" s="272">
        <v>23.97869089066667</v>
      </c>
      <c r="M500" s="272">
        <v>22.405468324102557</v>
      </c>
      <c r="N500" s="272">
        <v>26.683637430153851</v>
      </c>
      <c r="O500" s="272">
        <v>30.820472402051276</v>
      </c>
      <c r="P500" s="272">
        <v>33.380792064000005</v>
      </c>
      <c r="Q500" s="272">
        <v>34.771658400000007</v>
      </c>
      <c r="R500" s="272">
        <v>30.957992640000004</v>
      </c>
      <c r="S500" s="411">
        <v>320.39374836348719</v>
      </c>
      <c r="T500" s="273"/>
      <c r="U500" s="222">
        <v>0</v>
      </c>
      <c r="V500" s="222">
        <v>1</v>
      </c>
    </row>
    <row r="501" spans="1:22" customFormat="1" x14ac:dyDescent="0.25">
      <c r="A501" s="214">
        <v>27</v>
      </c>
      <c r="B501" s="215" t="s">
        <v>351</v>
      </c>
      <c r="C501" s="271" t="s">
        <v>302</v>
      </c>
      <c r="D501" s="270" t="s">
        <v>301</v>
      </c>
      <c r="E501" s="215" t="s">
        <v>380</v>
      </c>
      <c r="F501" s="216" t="s">
        <v>381</v>
      </c>
      <c r="G501" s="272">
        <v>0</v>
      </c>
      <c r="H501" s="272">
        <v>0</v>
      </c>
      <c r="I501" s="272">
        <v>0</v>
      </c>
      <c r="J501" s="272">
        <v>0</v>
      </c>
      <c r="K501" s="272">
        <v>0</v>
      </c>
      <c r="L501" s="272">
        <v>0</v>
      </c>
      <c r="M501" s="272">
        <v>0</v>
      </c>
      <c r="N501" s="272">
        <v>0</v>
      </c>
      <c r="O501" s="272">
        <v>0</v>
      </c>
      <c r="P501" s="272">
        <v>0</v>
      </c>
      <c r="Q501" s="272">
        <v>0</v>
      </c>
      <c r="R501" s="272">
        <v>0</v>
      </c>
      <c r="S501" s="411">
        <v>0</v>
      </c>
      <c r="T501" s="273"/>
      <c r="U501" s="222">
        <v>0</v>
      </c>
      <c r="V501" s="222">
        <v>1</v>
      </c>
    </row>
    <row r="502" spans="1:22" customFormat="1" x14ac:dyDescent="0.25">
      <c r="A502" s="214">
        <v>27</v>
      </c>
      <c r="B502" s="215" t="s">
        <v>351</v>
      </c>
      <c r="C502" s="271" t="s">
        <v>302</v>
      </c>
      <c r="D502" s="270" t="s">
        <v>301</v>
      </c>
      <c r="E502" s="215" t="s">
        <v>382</v>
      </c>
      <c r="F502" s="216" t="s">
        <v>383</v>
      </c>
      <c r="G502" s="272">
        <v>0</v>
      </c>
      <c r="H502" s="272">
        <v>0</v>
      </c>
      <c r="I502" s="272">
        <v>0</v>
      </c>
      <c r="J502" s="272">
        <v>0</v>
      </c>
      <c r="K502" s="272">
        <v>0</v>
      </c>
      <c r="L502" s="272">
        <v>0</v>
      </c>
      <c r="M502" s="272">
        <v>0</v>
      </c>
      <c r="N502" s="272">
        <v>0</v>
      </c>
      <c r="O502" s="272">
        <v>0</v>
      </c>
      <c r="P502" s="272">
        <v>0</v>
      </c>
      <c r="Q502" s="272">
        <v>0</v>
      </c>
      <c r="R502" s="272">
        <v>0</v>
      </c>
      <c r="S502" s="411">
        <v>0</v>
      </c>
      <c r="T502" s="273"/>
      <c r="U502" s="222">
        <v>0</v>
      </c>
      <c r="V502" s="222">
        <v>1</v>
      </c>
    </row>
    <row r="503" spans="1:22" customFormat="1" x14ac:dyDescent="0.25">
      <c r="A503" s="214">
        <v>27</v>
      </c>
      <c r="B503" s="215" t="s">
        <v>351</v>
      </c>
      <c r="C503" s="271" t="s">
        <v>302</v>
      </c>
      <c r="D503" s="270" t="s">
        <v>301</v>
      </c>
      <c r="E503" s="215" t="s">
        <v>384</v>
      </c>
      <c r="F503" s="216" t="s">
        <v>385</v>
      </c>
      <c r="G503" s="272">
        <v>0.64340757348998068</v>
      </c>
      <c r="H503" s="272">
        <v>0.76946019193960069</v>
      </c>
      <c r="I503" s="272">
        <v>1.1205588620329934</v>
      </c>
      <c r="J503" s="272">
        <v>1.1942817802362811</v>
      </c>
      <c r="K503" s="272">
        <v>1.4105273400875262</v>
      </c>
      <c r="L503" s="272">
        <v>2.1098799114234907</v>
      </c>
      <c r="M503" s="272">
        <v>2.2272111513898949</v>
      </c>
      <c r="N503" s="272">
        <v>1.5102790061254723</v>
      </c>
      <c r="O503" s="272">
        <v>0.98059236607630851</v>
      </c>
      <c r="P503" s="272">
        <v>0.67216375927097261</v>
      </c>
      <c r="Q503" s="272">
        <v>0.59589345334168797</v>
      </c>
      <c r="R503" s="272">
        <v>0.56462827469133003</v>
      </c>
      <c r="S503" s="411">
        <v>13.798883670106079</v>
      </c>
      <c r="T503" s="273"/>
      <c r="U503" s="222">
        <v>0</v>
      </c>
      <c r="V503" s="222">
        <v>-1</v>
      </c>
    </row>
    <row r="504" spans="1:22" customFormat="1" x14ac:dyDescent="0.25">
      <c r="A504" s="214">
        <v>27</v>
      </c>
      <c r="B504" s="215" t="s">
        <v>351</v>
      </c>
      <c r="C504" s="370" t="s">
        <v>302</v>
      </c>
      <c r="D504" s="270" t="s">
        <v>301</v>
      </c>
      <c r="E504" s="215" t="s">
        <v>386</v>
      </c>
      <c r="F504" s="216" t="s">
        <v>387</v>
      </c>
      <c r="G504" s="371">
        <v>0.58900780999999991</v>
      </c>
      <c r="H504" s="371">
        <v>0.56845664375000005</v>
      </c>
      <c r="I504" s="371">
        <v>0.5876685599999999</v>
      </c>
      <c r="J504" s="371">
        <v>0.5869127822222221</v>
      </c>
      <c r="K504" s="371">
        <v>0.5307552522222222</v>
      </c>
      <c r="L504" s="371">
        <v>0.58663775444444433</v>
      </c>
      <c r="M504" s="371">
        <v>0.56941921666666673</v>
      </c>
      <c r="N504" s="371">
        <v>0.5878608655555555</v>
      </c>
      <c r="O504" s="371">
        <v>0.57181518888888894</v>
      </c>
      <c r="P504" s="371">
        <v>0.5928757544444444</v>
      </c>
      <c r="Q504" s="371">
        <v>0.59226514333333324</v>
      </c>
      <c r="R504" s="371">
        <v>0.57224843888888899</v>
      </c>
      <c r="S504" s="436">
        <v>6.9376593374999995</v>
      </c>
      <c r="T504" s="372"/>
      <c r="U504" s="222"/>
      <c r="V504" s="222"/>
    </row>
    <row r="505" spans="1:22" customFormat="1" x14ac:dyDescent="0.25">
      <c r="A505" s="214">
        <v>27</v>
      </c>
      <c r="B505" s="215" t="s">
        <v>389</v>
      </c>
      <c r="C505" s="370" t="s">
        <v>302</v>
      </c>
      <c r="D505" s="270" t="s">
        <v>301</v>
      </c>
      <c r="E505" s="215" t="s">
        <v>388</v>
      </c>
      <c r="F505" s="216" t="s">
        <v>112</v>
      </c>
      <c r="G505" s="371">
        <v>0</v>
      </c>
      <c r="H505" s="371">
        <v>0</v>
      </c>
      <c r="I505" s="371">
        <v>0</v>
      </c>
      <c r="J505" s="371">
        <v>0</v>
      </c>
      <c r="K505" s="371">
        <v>0</v>
      </c>
      <c r="L505" s="371">
        <v>0</v>
      </c>
      <c r="M505" s="371">
        <v>0</v>
      </c>
      <c r="N505" s="371">
        <v>0</v>
      </c>
      <c r="O505" s="371">
        <v>0</v>
      </c>
      <c r="P505" s="272">
        <v>0</v>
      </c>
      <c r="Q505" s="272">
        <v>0</v>
      </c>
      <c r="R505" s="272">
        <v>0</v>
      </c>
      <c r="S505" s="436">
        <v>0</v>
      </c>
      <c r="T505" s="273"/>
      <c r="U505" s="222"/>
      <c r="V505" s="222"/>
    </row>
    <row r="506" spans="1:22" customFormat="1" x14ac:dyDescent="0.25">
      <c r="A506" s="214">
        <v>27</v>
      </c>
      <c r="B506" s="215" t="s">
        <v>351</v>
      </c>
      <c r="C506" s="271" t="s">
        <v>302</v>
      </c>
      <c r="D506" s="270" t="s">
        <v>301</v>
      </c>
      <c r="E506" s="215" t="s">
        <v>390</v>
      </c>
      <c r="F506" s="216" t="s">
        <v>391</v>
      </c>
      <c r="G506" s="272">
        <v>0</v>
      </c>
      <c r="H506" s="272">
        <v>0</v>
      </c>
      <c r="I506" s="272">
        <v>0</v>
      </c>
      <c r="J506" s="272">
        <v>0</v>
      </c>
      <c r="K506" s="272">
        <v>0</v>
      </c>
      <c r="L506" s="272">
        <v>0</v>
      </c>
      <c r="M506" s="272">
        <v>0</v>
      </c>
      <c r="N506" s="272">
        <v>0</v>
      </c>
      <c r="O506" s="272">
        <v>0</v>
      </c>
      <c r="P506" s="272">
        <v>0</v>
      </c>
      <c r="Q506" s="272">
        <v>0</v>
      </c>
      <c r="R506" s="272">
        <v>0</v>
      </c>
      <c r="S506" s="411">
        <v>0</v>
      </c>
      <c r="T506" s="273"/>
      <c r="U506" s="222"/>
      <c r="V506" s="222"/>
    </row>
    <row r="507" spans="1:22" customFormat="1" x14ac:dyDescent="0.25">
      <c r="A507" s="214">
        <v>27</v>
      </c>
      <c r="B507" s="215" t="s">
        <v>393</v>
      </c>
      <c r="C507" s="271" t="s">
        <v>302</v>
      </c>
      <c r="D507" s="270" t="s">
        <v>301</v>
      </c>
      <c r="E507" s="215" t="s">
        <v>392</v>
      </c>
      <c r="F507" s="216" t="s">
        <v>394</v>
      </c>
      <c r="G507" s="272">
        <v>17.416191055212629</v>
      </c>
      <c r="H507" s="272">
        <v>17.943154925206478</v>
      </c>
      <c r="I507" s="272">
        <v>14.076601085519524</v>
      </c>
      <c r="J507" s="272">
        <v>12.225279927828726</v>
      </c>
      <c r="K507" s="272">
        <v>12.265703950025515</v>
      </c>
      <c r="L507" s="272">
        <v>13.236232424423399</v>
      </c>
      <c r="M507" s="272">
        <v>14.423807785874214</v>
      </c>
      <c r="N507" s="272">
        <v>18.371007509316954</v>
      </c>
      <c r="O507" s="272">
        <v>20.543404130446106</v>
      </c>
      <c r="P507" s="272">
        <v>25.666846289520343</v>
      </c>
      <c r="Q507" s="272">
        <v>26.93936049567634</v>
      </c>
      <c r="R507" s="272">
        <v>25.03981926362453</v>
      </c>
      <c r="S507" s="411">
        <v>218.14740884267474</v>
      </c>
      <c r="T507" s="273"/>
      <c r="U507" s="437"/>
      <c r="V507" s="437"/>
    </row>
    <row r="508" spans="1:22" customFormat="1" x14ac:dyDescent="0.25">
      <c r="A508" s="214">
        <v>34</v>
      </c>
      <c r="B508" s="215" t="s">
        <v>247</v>
      </c>
      <c r="C508" s="283" t="s">
        <v>316</v>
      </c>
      <c r="D508" s="282" t="s">
        <v>315</v>
      </c>
      <c r="E508" s="215" t="s">
        <v>246</v>
      </c>
      <c r="F508" s="216" t="s">
        <v>248</v>
      </c>
      <c r="G508" s="285">
        <v>3.5684625399193806</v>
      </c>
      <c r="H508" s="285">
        <v>3.0437512739445651</v>
      </c>
      <c r="I508" s="285">
        <v>3.3493408802837052</v>
      </c>
      <c r="J508" s="285">
        <v>4.3025203338679034</v>
      </c>
      <c r="K508" s="285">
        <v>4.558216138260974</v>
      </c>
      <c r="L508" s="285">
        <v>4.2288864352488389</v>
      </c>
      <c r="M508" s="285">
        <v>-14.845205555303785</v>
      </c>
      <c r="N508" s="285">
        <v>9.1979445510481312</v>
      </c>
      <c r="O508" s="285">
        <v>31.354933115436815</v>
      </c>
      <c r="P508" s="285">
        <v>13.687550861869164</v>
      </c>
      <c r="Q508" s="285">
        <v>11.522674415763158</v>
      </c>
      <c r="R508" s="285">
        <v>6.4990380526260054</v>
      </c>
      <c r="S508" s="284">
        <v>80.468113042964774</v>
      </c>
      <c r="T508" s="286"/>
      <c r="U508" s="222"/>
      <c r="V508" s="222"/>
    </row>
    <row r="509" spans="1:22" customFormat="1" x14ac:dyDescent="0.25">
      <c r="A509" s="214">
        <v>34</v>
      </c>
      <c r="B509" s="215" t="s">
        <v>332</v>
      </c>
      <c r="C509" s="283" t="s">
        <v>316</v>
      </c>
      <c r="D509" s="282" t="s">
        <v>315</v>
      </c>
      <c r="E509" s="215" t="s">
        <v>331</v>
      </c>
      <c r="F509" s="216" t="s">
        <v>333</v>
      </c>
      <c r="G509" s="285">
        <v>3.9545647567813766</v>
      </c>
      <c r="H509" s="285">
        <v>5.893193947079844</v>
      </c>
      <c r="I509" s="285">
        <v>9.8599963327047249</v>
      </c>
      <c r="J509" s="285">
        <v>4.9080750928231396</v>
      </c>
      <c r="K509" s="285">
        <v>11.291732469062815</v>
      </c>
      <c r="L509" s="285">
        <v>17.309293166518913</v>
      </c>
      <c r="M509" s="285">
        <v>7.4333670100794222</v>
      </c>
      <c r="N509" s="285">
        <v>8.0620884603560583</v>
      </c>
      <c r="O509" s="285">
        <v>4.4551756720191964</v>
      </c>
      <c r="P509" s="285">
        <v>1.6493030518972311</v>
      </c>
      <c r="Q509" s="285">
        <v>2.6487896840150817</v>
      </c>
      <c r="R509" s="285">
        <v>3.1292568344727059</v>
      </c>
      <c r="S509" s="284">
        <v>80.596836477810484</v>
      </c>
      <c r="T509" s="286"/>
      <c r="U509" s="222"/>
      <c r="V509" s="222"/>
    </row>
    <row r="510" spans="1:22" customFormat="1" x14ac:dyDescent="0.25">
      <c r="A510" s="214">
        <v>34</v>
      </c>
      <c r="B510" s="215" t="s">
        <v>335</v>
      </c>
      <c r="C510" s="283" t="s">
        <v>316</v>
      </c>
      <c r="D510" s="282" t="s">
        <v>315</v>
      </c>
      <c r="E510" s="215" t="s">
        <v>334</v>
      </c>
      <c r="F510" s="216" t="s">
        <v>336</v>
      </c>
      <c r="G510" s="285">
        <v>-3.0234019542335275</v>
      </c>
      <c r="H510" s="285">
        <v>-0.45755478133563798</v>
      </c>
      <c r="I510" s="285">
        <v>6.5123530533111094</v>
      </c>
      <c r="J510" s="285">
        <v>5.8703764424948801</v>
      </c>
      <c r="K510" s="285">
        <v>9.1026777795208673</v>
      </c>
      <c r="L510" s="285">
        <v>20.405121636751545</v>
      </c>
      <c r="M510" s="285">
        <v>13.171851931225262</v>
      </c>
      <c r="N510" s="285">
        <v>2.6724336932527137</v>
      </c>
      <c r="O510" s="285">
        <v>-2.0584614549947311</v>
      </c>
      <c r="P510" s="285">
        <v>-7.6341152090016138</v>
      </c>
      <c r="Q510" s="285">
        <v>-9.368241718338048</v>
      </c>
      <c r="R510" s="285">
        <v>-7.020070173445017</v>
      </c>
      <c r="S510" s="284">
        <v>28.172969245207639</v>
      </c>
      <c r="T510" s="286"/>
      <c r="U510" s="222"/>
      <c r="V510" s="222"/>
    </row>
    <row r="511" spans="1:22" customFormat="1" x14ac:dyDescent="0.25">
      <c r="A511" s="214">
        <v>34</v>
      </c>
      <c r="B511" s="215" t="s">
        <v>351</v>
      </c>
      <c r="C511" s="283" t="s">
        <v>316</v>
      </c>
      <c r="D511" s="282" t="s">
        <v>315</v>
      </c>
      <c r="E511" s="215" t="s">
        <v>350</v>
      </c>
      <c r="F511" s="216" t="s">
        <v>352</v>
      </c>
      <c r="G511" s="285">
        <v>0</v>
      </c>
      <c r="H511" s="285">
        <v>0</v>
      </c>
      <c r="I511" s="285">
        <v>0</v>
      </c>
      <c r="J511" s="285">
        <v>0</v>
      </c>
      <c r="K511" s="285">
        <v>0</v>
      </c>
      <c r="L511" s="285">
        <v>0</v>
      </c>
      <c r="M511" s="285">
        <v>0</v>
      </c>
      <c r="N511" s="285">
        <v>0</v>
      </c>
      <c r="O511" s="285">
        <v>0</v>
      </c>
      <c r="P511" s="285">
        <v>0</v>
      </c>
      <c r="Q511" s="285">
        <v>0</v>
      </c>
      <c r="R511" s="285">
        <v>0</v>
      </c>
      <c r="S511" s="284">
        <v>0</v>
      </c>
      <c r="T511" s="286"/>
      <c r="U511" s="222"/>
      <c r="V511" s="222"/>
    </row>
    <row r="512" spans="1:22" customFormat="1" x14ac:dyDescent="0.25">
      <c r="A512" s="214">
        <v>34</v>
      </c>
      <c r="B512" s="215" t="s">
        <v>351</v>
      </c>
      <c r="C512" s="283" t="s">
        <v>316</v>
      </c>
      <c r="D512" s="282" t="s">
        <v>315</v>
      </c>
      <c r="E512" s="215" t="s">
        <v>379</v>
      </c>
      <c r="F512" s="216" t="s">
        <v>16</v>
      </c>
      <c r="G512" s="285">
        <v>-0.14683993279879815</v>
      </c>
      <c r="H512" s="285">
        <v>-0.15546272544598594</v>
      </c>
      <c r="I512" s="285">
        <v>-0.1884669000319974</v>
      </c>
      <c r="J512" s="285">
        <v>-0.20076806745137787</v>
      </c>
      <c r="K512" s="285">
        <v>-0.21848293274436514</v>
      </c>
      <c r="L512" s="285">
        <v>-0.28117432653127139</v>
      </c>
      <c r="M512" s="285">
        <v>-0.27774542920050749</v>
      </c>
      <c r="N512" s="285">
        <v>-0.22876935367202123</v>
      </c>
      <c r="O512" s="285">
        <v>-0.1948838645371751</v>
      </c>
      <c r="P512" s="285">
        <v>-0.14750126307454536</v>
      </c>
      <c r="Q512" s="285">
        <v>-0.13288001716394149</v>
      </c>
      <c r="R512" s="285">
        <v>-0.12864535711014469</v>
      </c>
      <c r="S512" s="284">
        <v>-9.999894245993346E-9</v>
      </c>
      <c r="T512" s="286"/>
      <c r="U512" s="437"/>
      <c r="V512" s="437"/>
    </row>
    <row r="513" spans="1:22" customFormat="1" x14ac:dyDescent="0.25">
      <c r="A513" s="214">
        <v>34</v>
      </c>
      <c r="B513" s="215" t="s">
        <v>335</v>
      </c>
      <c r="C513" s="283" t="s">
        <v>316</v>
      </c>
      <c r="D513" s="282" t="s">
        <v>315</v>
      </c>
      <c r="E513" s="215" t="s">
        <v>348</v>
      </c>
      <c r="F513" s="216" t="s">
        <v>349</v>
      </c>
      <c r="G513" s="285">
        <v>-0.10034424592903868</v>
      </c>
      <c r="H513" s="285">
        <v>5.4482505057719344E-2</v>
      </c>
      <c r="I513" s="285">
        <v>8.5582987433845403E-2</v>
      </c>
      <c r="J513" s="285">
        <v>0.23574032732852856</v>
      </c>
      <c r="K513" s="285">
        <v>-0.23063757827691234</v>
      </c>
      <c r="L513" s="285">
        <v>0.88446298082246244</v>
      </c>
      <c r="M513" s="285">
        <v>1.9842512113251729</v>
      </c>
      <c r="N513" s="285">
        <v>1.1738439739456012</v>
      </c>
      <c r="O513" s="285">
        <v>0.63091476014887959</v>
      </c>
      <c r="P513" s="285">
        <v>-0.8969679801005026</v>
      </c>
      <c r="Q513" s="285">
        <v>-0.85411784401258606</v>
      </c>
      <c r="R513" s="285">
        <v>-0.30325020441638095</v>
      </c>
      <c r="S513" s="284">
        <v>2.6711406618611022</v>
      </c>
      <c r="T513" s="286"/>
      <c r="U513" s="222">
        <v>0</v>
      </c>
      <c r="V513" s="222">
        <v>1</v>
      </c>
    </row>
    <row r="514" spans="1:22" customFormat="1" x14ac:dyDescent="0.25">
      <c r="A514" s="214">
        <v>34</v>
      </c>
      <c r="B514" s="215" t="s">
        <v>351</v>
      </c>
      <c r="C514" s="283" t="s">
        <v>316</v>
      </c>
      <c r="D514" s="282" t="s">
        <v>315</v>
      </c>
      <c r="E514" s="215" t="s">
        <v>380</v>
      </c>
      <c r="F514" s="216" t="s">
        <v>381</v>
      </c>
      <c r="G514" s="285">
        <v>-11.241352943499137</v>
      </c>
      <c r="H514" s="285">
        <v>-9.0808007629649126</v>
      </c>
      <c r="I514" s="285">
        <v>-6.4131346962604994</v>
      </c>
      <c r="J514" s="285">
        <v>-5.3423710273703477</v>
      </c>
      <c r="K514" s="285">
        <v>-3.0382477166658077</v>
      </c>
      <c r="L514" s="285">
        <v>-3.8122700760540056</v>
      </c>
      <c r="M514" s="285">
        <v>-8.3138860245703654</v>
      </c>
      <c r="N514" s="285">
        <v>-2.496028420139254</v>
      </c>
      <c r="O514" s="285">
        <v>9.1669899785427162</v>
      </c>
      <c r="P514" s="285">
        <v>20.304446939349376</v>
      </c>
      <c r="Q514" s="285">
        <v>19.466683447941108</v>
      </c>
      <c r="R514" s="285">
        <v>-3.5297814824827753</v>
      </c>
      <c r="S514" s="284">
        <v>-4.329752784174616</v>
      </c>
      <c r="T514" s="286"/>
      <c r="U514" s="222">
        <v>0</v>
      </c>
      <c r="V514" s="229">
        <v>1</v>
      </c>
    </row>
    <row r="515" spans="1:22" customFormat="1" x14ac:dyDescent="0.25">
      <c r="A515" s="214">
        <v>34</v>
      </c>
      <c r="B515" s="215" t="s">
        <v>351</v>
      </c>
      <c r="C515" s="283" t="s">
        <v>316</v>
      </c>
      <c r="D515" s="282" t="s">
        <v>315</v>
      </c>
      <c r="E515" s="215" t="s">
        <v>382</v>
      </c>
      <c r="F515" s="216" t="s">
        <v>383</v>
      </c>
      <c r="G515" s="285">
        <v>3.2228665057861861</v>
      </c>
      <c r="H515" s="285">
        <v>1.7113168189273011</v>
      </c>
      <c r="I515" s="285">
        <v>0.49040333971203154</v>
      </c>
      <c r="J515" s="285">
        <v>-0.23114442757088227</v>
      </c>
      <c r="K515" s="285">
        <v>2.1430185872824836</v>
      </c>
      <c r="L515" s="285">
        <v>1.5534684970369312</v>
      </c>
      <c r="M515" s="285">
        <v>0.68379531799496363</v>
      </c>
      <c r="N515" s="285">
        <v>1.784173872889653</v>
      </c>
      <c r="O515" s="285">
        <v>2.8707223283124819</v>
      </c>
      <c r="P515" s="285">
        <v>2.7661347592397618</v>
      </c>
      <c r="Q515" s="285">
        <v>2.778146111236012</v>
      </c>
      <c r="R515" s="285">
        <v>2.9142282037626046</v>
      </c>
      <c r="S515" s="284">
        <v>22.690129914609315</v>
      </c>
      <c r="T515" s="286"/>
      <c r="U515" s="222">
        <v>0</v>
      </c>
      <c r="V515" s="229">
        <v>1</v>
      </c>
    </row>
    <row r="516" spans="1:22" customFormat="1" x14ac:dyDescent="0.25">
      <c r="A516" s="214">
        <v>34</v>
      </c>
      <c r="B516" s="215" t="s">
        <v>351</v>
      </c>
      <c r="C516" s="283" t="s">
        <v>316</v>
      </c>
      <c r="D516" s="282" t="s">
        <v>315</v>
      </c>
      <c r="E516" s="215" t="s">
        <v>384</v>
      </c>
      <c r="F516" s="216" t="s">
        <v>385</v>
      </c>
      <c r="G516" s="285">
        <v>0</v>
      </c>
      <c r="H516" s="285">
        <v>0</v>
      </c>
      <c r="I516" s="285">
        <v>0</v>
      </c>
      <c r="J516" s="285">
        <v>0</v>
      </c>
      <c r="K516" s="285">
        <v>0</v>
      </c>
      <c r="L516" s="285">
        <v>0</v>
      </c>
      <c r="M516" s="285">
        <v>0</v>
      </c>
      <c r="N516" s="285">
        <v>0</v>
      </c>
      <c r="O516" s="285">
        <v>0</v>
      </c>
      <c r="P516" s="285">
        <v>0</v>
      </c>
      <c r="Q516" s="285">
        <v>0</v>
      </c>
      <c r="R516" s="285">
        <v>0</v>
      </c>
      <c r="S516" s="284">
        <v>0</v>
      </c>
      <c r="T516" s="286"/>
      <c r="U516" s="229">
        <v>1</v>
      </c>
      <c r="V516" s="229">
        <v>-1</v>
      </c>
    </row>
    <row r="517" spans="1:22" customFormat="1" x14ac:dyDescent="0.25">
      <c r="A517" s="214">
        <v>34</v>
      </c>
      <c r="B517" s="215" t="s">
        <v>351</v>
      </c>
      <c r="C517" s="379" t="s">
        <v>316</v>
      </c>
      <c r="D517" s="282" t="s">
        <v>315</v>
      </c>
      <c r="E517" s="215" t="s">
        <v>386</v>
      </c>
      <c r="F517" s="216" t="s">
        <v>387</v>
      </c>
      <c r="G517" s="381">
        <v>1.2528242180825941</v>
      </c>
      <c r="H517" s="381">
        <v>-24.043507840545402</v>
      </c>
      <c r="I517" s="381">
        <v>-36.561681205485684</v>
      </c>
      <c r="J517" s="381">
        <v>-32.946702525410842</v>
      </c>
      <c r="K517" s="381">
        <v>-24.249030475809661</v>
      </c>
      <c r="L517" s="381">
        <v>-27.533442439492887</v>
      </c>
      <c r="M517" s="381">
        <v>-11.685271239946189</v>
      </c>
      <c r="N517" s="381">
        <v>9.480735030701311</v>
      </c>
      <c r="O517" s="381">
        <v>16.10961075548758</v>
      </c>
      <c r="P517" s="381">
        <v>45.810053820378556</v>
      </c>
      <c r="Q517" s="381">
        <v>51.793130343166183</v>
      </c>
      <c r="R517" s="381">
        <v>22.659959332104677</v>
      </c>
      <c r="S517" s="380">
        <v>-9.9319522679174952</v>
      </c>
      <c r="T517" s="382"/>
      <c r="U517" s="229">
        <v>1</v>
      </c>
      <c r="V517" s="229">
        <v>-1</v>
      </c>
    </row>
    <row r="518" spans="1:22" customFormat="1" x14ac:dyDescent="0.25">
      <c r="A518" s="214">
        <v>34</v>
      </c>
      <c r="B518" s="215" t="s">
        <v>389</v>
      </c>
      <c r="C518" s="379" t="s">
        <v>316</v>
      </c>
      <c r="D518" s="282" t="s">
        <v>315</v>
      </c>
      <c r="E518" s="215" t="s">
        <v>388</v>
      </c>
      <c r="F518" s="216" t="s">
        <v>112</v>
      </c>
      <c r="G518" s="381">
        <v>2.1380506869889313</v>
      </c>
      <c r="H518" s="381">
        <v>1.1849386575709175</v>
      </c>
      <c r="I518" s="381">
        <v>0.70088924155462706</v>
      </c>
      <c r="J518" s="381">
        <v>1.4542524163665433</v>
      </c>
      <c r="K518" s="381">
        <v>1.4174208517691085</v>
      </c>
      <c r="L518" s="381">
        <v>4.8189047667095224</v>
      </c>
      <c r="M518" s="381">
        <v>8.6951673049844231</v>
      </c>
      <c r="N518" s="381">
        <v>5.1366447818021754</v>
      </c>
      <c r="O518" s="381">
        <v>4.9905129396635957</v>
      </c>
      <c r="P518" s="285">
        <v>-0.23065238986449721</v>
      </c>
      <c r="Q518" s="285">
        <v>1.9946890374222814</v>
      </c>
      <c r="R518" s="285">
        <v>2.1189868989429907</v>
      </c>
      <c r="S518" s="380">
        <v>34.419805193910747</v>
      </c>
      <c r="T518" s="286"/>
      <c r="U518" s="222">
        <v>0</v>
      </c>
      <c r="V518" s="229">
        <v>-1</v>
      </c>
    </row>
    <row r="519" spans="1:22" customFormat="1" x14ac:dyDescent="0.25">
      <c r="A519" s="214">
        <v>34</v>
      </c>
      <c r="B519" s="215" t="s">
        <v>351</v>
      </c>
      <c r="C519" s="283" t="s">
        <v>316</v>
      </c>
      <c r="D519" s="282" t="s">
        <v>315</v>
      </c>
      <c r="E519" s="215" t="s">
        <v>390</v>
      </c>
      <c r="F519" s="216" t="s">
        <v>391</v>
      </c>
      <c r="G519" s="285">
        <v>0.3322584756598701</v>
      </c>
      <c r="H519" s="285">
        <v>0.40988277294636077</v>
      </c>
      <c r="I519" s="285">
        <v>0.88002902480286593</v>
      </c>
      <c r="J519" s="285">
        <v>1.3750459042330476</v>
      </c>
      <c r="K519" s="285">
        <v>1.3225657567825806</v>
      </c>
      <c r="L519" s="285">
        <v>2.0849950279954896</v>
      </c>
      <c r="M519" s="285">
        <v>1.3138443168265894</v>
      </c>
      <c r="N519" s="285">
        <v>1.3069542088237824</v>
      </c>
      <c r="O519" s="285">
        <v>2.6609555614630551</v>
      </c>
      <c r="P519" s="285">
        <v>4.3357221717614323</v>
      </c>
      <c r="Q519" s="285">
        <v>3.6788615528930109</v>
      </c>
      <c r="R519" s="285">
        <v>2.4740930186417245</v>
      </c>
      <c r="S519" s="284">
        <v>22.172207792828885</v>
      </c>
      <c r="T519" s="286"/>
      <c r="U519" s="222">
        <v>0</v>
      </c>
      <c r="V519" s="229">
        <v>1</v>
      </c>
    </row>
    <row r="520" spans="1:22" customFormat="1" x14ac:dyDescent="0.25">
      <c r="A520" s="214">
        <v>34</v>
      </c>
      <c r="B520" s="215" t="s">
        <v>393</v>
      </c>
      <c r="C520" s="283" t="s">
        <v>316</v>
      </c>
      <c r="D520" s="282" t="s">
        <v>315</v>
      </c>
      <c r="E520" s="215" t="s">
        <v>392</v>
      </c>
      <c r="F520" s="216" t="s">
        <v>394</v>
      </c>
      <c r="G520" s="285">
        <v>-4.6698308923326408</v>
      </c>
      <c r="H520" s="285">
        <v>2.7967001654605497</v>
      </c>
      <c r="I520" s="285">
        <v>9.8904856797836374</v>
      </c>
      <c r="J520" s="285">
        <v>14.85614139088068</v>
      </c>
      <c r="K520" s="285">
        <v>11.152258304438647</v>
      </c>
      <c r="L520" s="285">
        <v>8.896002319401191</v>
      </c>
      <c r="M520" s="285">
        <v>1.4941343467215802</v>
      </c>
      <c r="N520" s="285">
        <v>-0.87006534662930335</v>
      </c>
      <c r="O520" s="285">
        <v>-4.9623869362449113</v>
      </c>
      <c r="P520" s="285">
        <v>-9.6117583795172266</v>
      </c>
      <c r="Q520" s="285">
        <v>-8.7791403240169927</v>
      </c>
      <c r="R520" s="285">
        <v>-8.0304726861187419</v>
      </c>
      <c r="S520" s="284">
        <v>12.162218106608634</v>
      </c>
      <c r="T520" s="286"/>
      <c r="U520" s="229">
        <v>1</v>
      </c>
      <c r="V520" s="222">
        <v>0</v>
      </c>
    </row>
    <row r="521" spans="1:22" customFormat="1" x14ac:dyDescent="0.25">
      <c r="A521" s="214">
        <v>37</v>
      </c>
      <c r="B521" s="215" t="s">
        <v>247</v>
      </c>
      <c r="C521" s="293" t="s">
        <v>321</v>
      </c>
      <c r="D521" s="292" t="s">
        <v>320</v>
      </c>
      <c r="E521" s="215" t="s">
        <v>246</v>
      </c>
      <c r="F521" s="216" t="s">
        <v>248</v>
      </c>
      <c r="G521" s="295">
        <v>0</v>
      </c>
      <c r="H521" s="295">
        <v>0</v>
      </c>
      <c r="I521" s="295">
        <v>0</v>
      </c>
      <c r="J521" s="295">
        <v>0</v>
      </c>
      <c r="K521" s="295">
        <v>0</v>
      </c>
      <c r="L521" s="295">
        <v>0</v>
      </c>
      <c r="M521" s="295">
        <v>0</v>
      </c>
      <c r="N521" s="295">
        <v>0</v>
      </c>
      <c r="O521" s="295">
        <v>0</v>
      </c>
      <c r="P521" s="295">
        <v>0</v>
      </c>
      <c r="Q521" s="295">
        <v>0</v>
      </c>
      <c r="R521" s="295">
        <v>0</v>
      </c>
      <c r="S521" s="294">
        <v>0</v>
      </c>
      <c r="T521" s="296"/>
      <c r="U521" s="222">
        <v>0</v>
      </c>
      <c r="V521" s="229">
        <v>-1</v>
      </c>
    </row>
    <row r="522" spans="1:22" customFormat="1" x14ac:dyDescent="0.25">
      <c r="A522" s="214">
        <v>37</v>
      </c>
      <c r="B522" s="215" t="s">
        <v>332</v>
      </c>
      <c r="C522" s="293" t="s">
        <v>321</v>
      </c>
      <c r="D522" s="292" t="s">
        <v>320</v>
      </c>
      <c r="E522" s="215" t="s">
        <v>331</v>
      </c>
      <c r="F522" s="216" t="s">
        <v>333</v>
      </c>
      <c r="G522" s="295">
        <v>0</v>
      </c>
      <c r="H522" s="295">
        <v>0</v>
      </c>
      <c r="I522" s="295">
        <v>0</v>
      </c>
      <c r="J522" s="295">
        <v>0</v>
      </c>
      <c r="K522" s="295">
        <v>0</v>
      </c>
      <c r="L522" s="295">
        <v>0</v>
      </c>
      <c r="M522" s="295">
        <v>0</v>
      </c>
      <c r="N522" s="295">
        <v>0</v>
      </c>
      <c r="O522" s="295">
        <v>0</v>
      </c>
      <c r="P522" s="295">
        <v>0</v>
      </c>
      <c r="Q522" s="295">
        <v>0</v>
      </c>
      <c r="R522" s="295">
        <v>0</v>
      </c>
      <c r="S522" s="294">
        <v>0</v>
      </c>
      <c r="T522" s="296"/>
      <c r="U522" s="222">
        <v>0</v>
      </c>
      <c r="V522" s="229">
        <v>1</v>
      </c>
    </row>
    <row r="523" spans="1:22" customFormat="1" x14ac:dyDescent="0.25">
      <c r="A523" s="214">
        <v>37</v>
      </c>
      <c r="B523" s="215" t="s">
        <v>335</v>
      </c>
      <c r="C523" s="293" t="s">
        <v>321</v>
      </c>
      <c r="D523" s="292" t="s">
        <v>320</v>
      </c>
      <c r="E523" s="215" t="s">
        <v>334</v>
      </c>
      <c r="F523" s="216" t="s">
        <v>336</v>
      </c>
      <c r="G523" s="295">
        <v>0</v>
      </c>
      <c r="H523" s="295">
        <v>0</v>
      </c>
      <c r="I523" s="295">
        <v>0</v>
      </c>
      <c r="J523" s="295">
        <v>0</v>
      </c>
      <c r="K523" s="295">
        <v>0</v>
      </c>
      <c r="L523" s="295">
        <v>0</v>
      </c>
      <c r="M523" s="295">
        <v>0</v>
      </c>
      <c r="N523" s="295">
        <v>0</v>
      </c>
      <c r="O523" s="295">
        <v>0</v>
      </c>
      <c r="P523" s="295">
        <v>0</v>
      </c>
      <c r="Q523" s="295">
        <v>0</v>
      </c>
      <c r="R523" s="295">
        <v>0</v>
      </c>
      <c r="S523" s="294">
        <v>0</v>
      </c>
      <c r="T523" s="296"/>
      <c r="U523" s="229">
        <v>1</v>
      </c>
      <c r="V523" s="222">
        <v>0</v>
      </c>
    </row>
    <row r="524" spans="1:22" customFormat="1" x14ac:dyDescent="0.25">
      <c r="A524" s="214">
        <v>37</v>
      </c>
      <c r="B524" s="215" t="s">
        <v>351</v>
      </c>
      <c r="C524" s="293" t="s">
        <v>321</v>
      </c>
      <c r="D524" s="292" t="s">
        <v>320</v>
      </c>
      <c r="E524" s="215" t="s">
        <v>350</v>
      </c>
      <c r="F524" s="216" t="s">
        <v>352</v>
      </c>
      <c r="G524" s="295">
        <v>0</v>
      </c>
      <c r="H524" s="295">
        <v>0</v>
      </c>
      <c r="I524" s="295">
        <v>0</v>
      </c>
      <c r="J524" s="295">
        <v>0</v>
      </c>
      <c r="K524" s="295">
        <v>0</v>
      </c>
      <c r="L524" s="295">
        <v>0</v>
      </c>
      <c r="M524" s="295">
        <v>0</v>
      </c>
      <c r="N524" s="295">
        <v>0</v>
      </c>
      <c r="O524" s="295">
        <v>0</v>
      </c>
      <c r="P524" s="295">
        <v>0</v>
      </c>
      <c r="Q524" s="295">
        <v>0</v>
      </c>
      <c r="R524" s="295">
        <v>0</v>
      </c>
      <c r="S524" s="294">
        <v>0</v>
      </c>
      <c r="T524" s="296"/>
      <c r="U524" s="222">
        <v>0</v>
      </c>
      <c r="V524" s="222">
        <v>0</v>
      </c>
    </row>
    <row r="525" spans="1:22" customFormat="1" x14ac:dyDescent="0.25">
      <c r="A525" s="214">
        <v>37</v>
      </c>
      <c r="B525" s="215" t="s">
        <v>351</v>
      </c>
      <c r="C525" s="293" t="s">
        <v>321</v>
      </c>
      <c r="D525" s="292" t="s">
        <v>320</v>
      </c>
      <c r="E525" s="215" t="s">
        <v>379</v>
      </c>
      <c r="F525" s="216" t="s">
        <v>16</v>
      </c>
      <c r="G525" s="295">
        <v>0</v>
      </c>
      <c r="H525" s="295">
        <v>0</v>
      </c>
      <c r="I525" s="295">
        <v>0</v>
      </c>
      <c r="J525" s="295">
        <v>0</v>
      </c>
      <c r="K525" s="295">
        <v>0</v>
      </c>
      <c r="L525" s="295">
        <v>0</v>
      </c>
      <c r="M525" s="295">
        <v>0</v>
      </c>
      <c r="N525" s="295">
        <v>0</v>
      </c>
      <c r="O525" s="295">
        <v>0</v>
      </c>
      <c r="P525" s="295">
        <v>0</v>
      </c>
      <c r="Q525" s="295">
        <v>0</v>
      </c>
      <c r="R525" s="295">
        <v>0</v>
      </c>
      <c r="S525" s="294">
        <v>0</v>
      </c>
      <c r="T525" s="296"/>
      <c r="U525" s="222">
        <v>0</v>
      </c>
      <c r="V525" s="229">
        <v>-1</v>
      </c>
    </row>
    <row r="526" spans="1:22" customFormat="1" x14ac:dyDescent="0.25">
      <c r="A526" s="214">
        <v>37</v>
      </c>
      <c r="B526" s="215" t="s">
        <v>335</v>
      </c>
      <c r="C526" s="293" t="s">
        <v>321</v>
      </c>
      <c r="D526" s="292" t="s">
        <v>320</v>
      </c>
      <c r="E526" s="215" t="s">
        <v>348</v>
      </c>
      <c r="F526" s="216" t="s">
        <v>349</v>
      </c>
      <c r="G526" s="295">
        <v>0</v>
      </c>
      <c r="H526" s="295">
        <v>0</v>
      </c>
      <c r="I526" s="295">
        <v>0</v>
      </c>
      <c r="J526" s="295">
        <v>0</v>
      </c>
      <c r="K526" s="295">
        <v>0</v>
      </c>
      <c r="L526" s="295">
        <v>0</v>
      </c>
      <c r="M526" s="295">
        <v>0</v>
      </c>
      <c r="N526" s="295">
        <v>0</v>
      </c>
      <c r="O526" s="295">
        <v>0</v>
      </c>
      <c r="P526" s="295">
        <v>0</v>
      </c>
      <c r="Q526" s="295">
        <v>0</v>
      </c>
      <c r="R526" s="295">
        <v>0</v>
      </c>
      <c r="S526" s="294">
        <v>0</v>
      </c>
      <c r="T526" s="296"/>
      <c r="U526" s="222">
        <v>0</v>
      </c>
      <c r="V526" s="229">
        <v>1</v>
      </c>
    </row>
    <row r="527" spans="1:22" customFormat="1" x14ac:dyDescent="0.25">
      <c r="A527" s="214">
        <v>37</v>
      </c>
      <c r="B527" s="215" t="s">
        <v>351</v>
      </c>
      <c r="C527" s="293" t="s">
        <v>321</v>
      </c>
      <c r="D527" s="292" t="s">
        <v>320</v>
      </c>
      <c r="E527" s="215" t="s">
        <v>380</v>
      </c>
      <c r="F527" s="216" t="s">
        <v>381</v>
      </c>
      <c r="G527" s="295">
        <v>0</v>
      </c>
      <c r="H527" s="295">
        <v>0</v>
      </c>
      <c r="I527" s="295">
        <v>0</v>
      </c>
      <c r="J527" s="295">
        <v>0</v>
      </c>
      <c r="K527" s="295">
        <v>0</v>
      </c>
      <c r="L527" s="295">
        <v>0</v>
      </c>
      <c r="M527" s="295">
        <v>0</v>
      </c>
      <c r="N527" s="295">
        <v>0</v>
      </c>
      <c r="O527" s="295">
        <v>0</v>
      </c>
      <c r="P527" s="295">
        <v>0</v>
      </c>
      <c r="Q527" s="295">
        <v>0</v>
      </c>
      <c r="R527" s="295">
        <v>0</v>
      </c>
      <c r="S527" s="294">
        <v>0</v>
      </c>
      <c r="T527" s="296"/>
      <c r="U527" s="229">
        <v>1</v>
      </c>
      <c r="V527" s="222">
        <v>0</v>
      </c>
    </row>
    <row r="528" spans="1:22" customFormat="1" x14ac:dyDescent="0.25">
      <c r="A528" s="214">
        <v>37</v>
      </c>
      <c r="B528" s="215" t="s">
        <v>351</v>
      </c>
      <c r="C528" s="293" t="s">
        <v>321</v>
      </c>
      <c r="D528" s="292" t="s">
        <v>320</v>
      </c>
      <c r="E528" s="215" t="s">
        <v>382</v>
      </c>
      <c r="F528" s="216" t="s">
        <v>383</v>
      </c>
      <c r="G528" s="295">
        <v>0</v>
      </c>
      <c r="H528" s="295">
        <v>0</v>
      </c>
      <c r="I528" s="295">
        <v>0</v>
      </c>
      <c r="J528" s="295">
        <v>0</v>
      </c>
      <c r="K528" s="295">
        <v>0</v>
      </c>
      <c r="L528" s="295">
        <v>0</v>
      </c>
      <c r="M528" s="295">
        <v>0</v>
      </c>
      <c r="N528" s="295">
        <v>0</v>
      </c>
      <c r="O528" s="295">
        <v>0</v>
      </c>
      <c r="P528" s="295">
        <v>0</v>
      </c>
      <c r="Q528" s="295">
        <v>0</v>
      </c>
      <c r="R528" s="295">
        <v>0</v>
      </c>
      <c r="S528" s="294">
        <v>0</v>
      </c>
      <c r="T528" s="296"/>
      <c r="U528" s="222">
        <v>0</v>
      </c>
      <c r="V528" s="229">
        <v>-1</v>
      </c>
    </row>
    <row r="529" spans="1:22" customFormat="1" x14ac:dyDescent="0.25">
      <c r="A529" s="214">
        <v>37</v>
      </c>
      <c r="B529" s="215" t="s">
        <v>351</v>
      </c>
      <c r="C529" s="293" t="s">
        <v>321</v>
      </c>
      <c r="D529" s="292" t="s">
        <v>320</v>
      </c>
      <c r="E529" s="215" t="s">
        <v>384</v>
      </c>
      <c r="F529" s="216" t="s">
        <v>385</v>
      </c>
      <c r="G529" s="295">
        <v>-1.9297983614876557E-2</v>
      </c>
      <c r="H529" s="295">
        <v>-1.7368185353376475E-2</v>
      </c>
      <c r="I529" s="295">
        <v>-1.5438387091904815E-2</v>
      </c>
      <c r="J529" s="295">
        <v>-1.5645983451236134E-2</v>
      </c>
      <c r="K529" s="295">
        <v>-1.6623857354431948E-2</v>
      </c>
      <c r="L529" s="295">
        <v>-1.7601731257741449E-2</v>
      </c>
      <c r="M529" s="295">
        <v>-1.8579605160880419E-2</v>
      </c>
      <c r="N529" s="295">
        <v>-2.0535352967272047E-2</v>
      </c>
      <c r="O529" s="295">
        <v>-2.2491100773692096E-2</v>
      </c>
      <c r="P529" s="295">
        <v>-2.346897467688791E-2</v>
      </c>
      <c r="Q529" s="295">
        <v>-2.4446848580083724E-2</v>
      </c>
      <c r="R529" s="295">
        <v>-2.2491100773692096E-2</v>
      </c>
      <c r="S529" s="294">
        <v>-9.999894245993346E-10</v>
      </c>
      <c r="T529" s="296"/>
      <c r="U529" s="222">
        <v>0</v>
      </c>
      <c r="V529" s="229">
        <v>1</v>
      </c>
    </row>
    <row r="530" spans="1:22" customFormat="1" x14ac:dyDescent="0.25">
      <c r="A530" s="214">
        <v>37</v>
      </c>
      <c r="B530" s="215" t="s">
        <v>351</v>
      </c>
      <c r="C530" s="385" t="s">
        <v>321</v>
      </c>
      <c r="D530" s="292" t="s">
        <v>320</v>
      </c>
      <c r="E530" s="215" t="s">
        <v>386</v>
      </c>
      <c r="F530" s="216" t="s">
        <v>387</v>
      </c>
      <c r="G530" s="387">
        <v>0</v>
      </c>
      <c r="H530" s="387">
        <v>0</v>
      </c>
      <c r="I530" s="387">
        <v>0</v>
      </c>
      <c r="J530" s="387">
        <v>0</v>
      </c>
      <c r="K530" s="387">
        <v>0</v>
      </c>
      <c r="L530" s="387">
        <v>0</v>
      </c>
      <c r="M530" s="387">
        <v>0</v>
      </c>
      <c r="N530" s="387">
        <v>0</v>
      </c>
      <c r="O530" s="387">
        <v>0</v>
      </c>
      <c r="P530" s="387">
        <v>0</v>
      </c>
      <c r="Q530" s="387">
        <v>0</v>
      </c>
      <c r="R530" s="387">
        <v>0</v>
      </c>
      <c r="S530" s="386">
        <v>0</v>
      </c>
      <c r="T530" s="388"/>
      <c r="U530" s="222">
        <v>0</v>
      </c>
      <c r="V530" s="222">
        <v>0</v>
      </c>
    </row>
    <row r="531" spans="1:22" customFormat="1" x14ac:dyDescent="0.25">
      <c r="A531" s="214">
        <v>37</v>
      </c>
      <c r="B531" s="215" t="s">
        <v>389</v>
      </c>
      <c r="C531" s="293" t="s">
        <v>321</v>
      </c>
      <c r="D531" s="292" t="s">
        <v>320</v>
      </c>
      <c r="E531" s="215" t="s">
        <v>388</v>
      </c>
      <c r="F531" s="216" t="s">
        <v>112</v>
      </c>
      <c r="G531" s="295">
        <v>0</v>
      </c>
      <c r="H531" s="295">
        <v>0</v>
      </c>
      <c r="I531" s="295">
        <v>0</v>
      </c>
      <c r="J531" s="295">
        <v>0</v>
      </c>
      <c r="K531" s="295">
        <v>0</v>
      </c>
      <c r="L531" s="295">
        <v>0</v>
      </c>
      <c r="M531" s="295">
        <v>0</v>
      </c>
      <c r="N531" s="295">
        <v>0</v>
      </c>
      <c r="O531" s="295">
        <v>0</v>
      </c>
      <c r="P531" s="295">
        <v>0</v>
      </c>
      <c r="Q531" s="295">
        <v>0</v>
      </c>
      <c r="R531" s="295">
        <v>0</v>
      </c>
      <c r="S531" s="294">
        <v>0</v>
      </c>
      <c r="T531" s="296"/>
      <c r="U531" s="222">
        <v>0</v>
      </c>
      <c r="V531" s="222">
        <v>0</v>
      </c>
    </row>
    <row r="532" spans="1:22" customFormat="1" x14ac:dyDescent="0.25">
      <c r="A532" s="214">
        <v>37</v>
      </c>
      <c r="B532" s="215" t="s">
        <v>351</v>
      </c>
      <c r="C532" s="293" t="s">
        <v>321</v>
      </c>
      <c r="D532" s="292" t="s">
        <v>320</v>
      </c>
      <c r="E532" s="215" t="s">
        <v>390</v>
      </c>
      <c r="F532" s="216" t="s">
        <v>391</v>
      </c>
      <c r="G532" s="295">
        <v>0</v>
      </c>
      <c r="H532" s="295">
        <v>0</v>
      </c>
      <c r="I532" s="295">
        <v>0</v>
      </c>
      <c r="J532" s="295">
        <v>0</v>
      </c>
      <c r="K532" s="295">
        <v>0</v>
      </c>
      <c r="L532" s="295">
        <v>0</v>
      </c>
      <c r="M532" s="295">
        <v>0</v>
      </c>
      <c r="N532" s="295">
        <v>0</v>
      </c>
      <c r="O532" s="295">
        <v>0</v>
      </c>
      <c r="P532" s="295">
        <v>0</v>
      </c>
      <c r="Q532" s="295">
        <v>0</v>
      </c>
      <c r="R532" s="295">
        <v>0</v>
      </c>
      <c r="S532" s="294">
        <v>0</v>
      </c>
      <c r="T532" s="296"/>
      <c r="U532" s="222">
        <v>0</v>
      </c>
      <c r="V532" s="229">
        <v>1</v>
      </c>
    </row>
    <row r="533" spans="1:22" customFormat="1" x14ac:dyDescent="0.25">
      <c r="A533" s="214">
        <v>37</v>
      </c>
      <c r="B533" s="215" t="s">
        <v>393</v>
      </c>
      <c r="C533" s="293" t="s">
        <v>321</v>
      </c>
      <c r="D533" s="292" t="s">
        <v>320</v>
      </c>
      <c r="E533" s="215" t="s">
        <v>392</v>
      </c>
      <c r="F533" s="216" t="s">
        <v>394</v>
      </c>
      <c r="G533" s="295">
        <v>0</v>
      </c>
      <c r="H533" s="295">
        <v>0</v>
      </c>
      <c r="I533" s="295">
        <v>0</v>
      </c>
      <c r="J533" s="295">
        <v>0</v>
      </c>
      <c r="K533" s="295">
        <v>0</v>
      </c>
      <c r="L533" s="295">
        <v>0</v>
      </c>
      <c r="M533" s="295">
        <v>0</v>
      </c>
      <c r="N533" s="295">
        <v>0</v>
      </c>
      <c r="O533" s="295">
        <v>0</v>
      </c>
      <c r="P533" s="295">
        <v>0</v>
      </c>
      <c r="Q533" s="295">
        <v>0</v>
      </c>
      <c r="R533" s="295">
        <v>0</v>
      </c>
      <c r="S533" s="294">
        <v>0</v>
      </c>
      <c r="T533" s="296"/>
      <c r="U533" s="222">
        <v>0</v>
      </c>
      <c r="V533" s="222">
        <v>0</v>
      </c>
    </row>
    <row r="534" spans="1:22" customFormat="1" x14ac:dyDescent="0.25">
      <c r="A534" s="214">
        <v>38</v>
      </c>
      <c r="B534" s="215" t="s">
        <v>247</v>
      </c>
      <c r="C534" s="298" t="s">
        <v>323</v>
      </c>
      <c r="D534" s="297" t="s">
        <v>322</v>
      </c>
      <c r="E534" s="215" t="s">
        <v>246</v>
      </c>
      <c r="F534" s="216" t="s">
        <v>248</v>
      </c>
      <c r="G534" s="299">
        <v>9.738983675652289</v>
      </c>
      <c r="H534" s="299">
        <v>8.7374750742272091</v>
      </c>
      <c r="I534" s="299">
        <v>10.175817260652684</v>
      </c>
      <c r="J534" s="299">
        <v>10.553567139646413</v>
      </c>
      <c r="K534" s="299">
        <v>10.407449495015285</v>
      </c>
      <c r="L534" s="299">
        <v>12.508488921135237</v>
      </c>
      <c r="M534" s="299">
        <v>11.791582891853823</v>
      </c>
      <c r="N534" s="299">
        <v>8.1170871313638759</v>
      </c>
      <c r="O534" s="299">
        <v>6.4000270259746976</v>
      </c>
      <c r="P534" s="299">
        <v>2.3433657221330924</v>
      </c>
      <c r="Q534" s="299">
        <v>2.3401798273937255</v>
      </c>
      <c r="R534" s="299">
        <v>5.2960483346053682</v>
      </c>
      <c r="S534" s="299">
        <v>98.410072499653694</v>
      </c>
      <c r="T534" s="300"/>
      <c r="U534" s="222">
        <v>0</v>
      </c>
      <c r="V534" s="222">
        <v>0</v>
      </c>
    </row>
    <row r="535" spans="1:22" customFormat="1" x14ac:dyDescent="0.25">
      <c r="A535" s="214">
        <v>38</v>
      </c>
      <c r="B535" s="215" t="s">
        <v>332</v>
      </c>
      <c r="C535" s="298" t="s">
        <v>323</v>
      </c>
      <c r="D535" s="297" t="s">
        <v>322</v>
      </c>
      <c r="E535" s="215" t="s">
        <v>331</v>
      </c>
      <c r="F535" s="216" t="s">
        <v>333</v>
      </c>
      <c r="G535" s="299">
        <v>3.2417336722637198</v>
      </c>
      <c r="H535" s="299">
        <v>4.1785963558662109</v>
      </c>
      <c r="I535" s="299">
        <v>2.7921133146540016</v>
      </c>
      <c r="J535" s="299">
        <v>3.1007699354949123</v>
      </c>
      <c r="K535" s="299">
        <v>1.8801373110680173</v>
      </c>
      <c r="L535" s="299">
        <v>0.54225108323542803</v>
      </c>
      <c r="M535" s="299">
        <v>2.6750936702414347</v>
      </c>
      <c r="N535" s="299">
        <v>3.6402370750573452</v>
      </c>
      <c r="O535" s="299">
        <v>1.6298714518287321</v>
      </c>
      <c r="P535" s="299">
        <v>1.8649725469086122</v>
      </c>
      <c r="Q535" s="299">
        <v>1.9316129999429892</v>
      </c>
      <c r="R535" s="299">
        <v>3.5264422372147095</v>
      </c>
      <c r="S535" s="299">
        <v>31.00383165377611</v>
      </c>
      <c r="T535" s="300"/>
      <c r="U535" s="229">
        <v>1</v>
      </c>
      <c r="V535" s="222">
        <v>0</v>
      </c>
    </row>
    <row r="536" spans="1:22" customFormat="1" x14ac:dyDescent="0.25">
      <c r="A536" s="214">
        <v>38</v>
      </c>
      <c r="B536" s="215" t="s">
        <v>335</v>
      </c>
      <c r="C536" s="298" t="s">
        <v>323</v>
      </c>
      <c r="D536" s="297" t="s">
        <v>322</v>
      </c>
      <c r="E536" s="215" t="s">
        <v>334</v>
      </c>
      <c r="F536" s="216" t="s">
        <v>336</v>
      </c>
      <c r="G536" s="299">
        <v>7.1264366037293714</v>
      </c>
      <c r="H536" s="299">
        <v>5.3682613429225023</v>
      </c>
      <c r="I536" s="299">
        <v>5.6929629141339104</v>
      </c>
      <c r="J536" s="299">
        <v>6.3729365705547023</v>
      </c>
      <c r="K536" s="299">
        <v>6.8094860939899613</v>
      </c>
      <c r="L536" s="299">
        <v>9.3010541169773706</v>
      </c>
      <c r="M536" s="299">
        <v>9.8709862054624367</v>
      </c>
      <c r="N536" s="299">
        <v>7.2594311803062341</v>
      </c>
      <c r="O536" s="299">
        <v>6.2051135223157097</v>
      </c>
      <c r="P536" s="299">
        <v>4.9241516452288305</v>
      </c>
      <c r="Q536" s="299">
        <v>5.1264055377589735</v>
      </c>
      <c r="R536" s="299">
        <v>6.4122800059316809</v>
      </c>
      <c r="S536" s="299">
        <v>80.469505739311685</v>
      </c>
      <c r="T536" s="300"/>
      <c r="U536" s="222">
        <v>0</v>
      </c>
      <c r="V536" s="222">
        <v>0</v>
      </c>
    </row>
    <row r="537" spans="1:22" customFormat="1" x14ac:dyDescent="0.25">
      <c r="A537" s="214">
        <v>38</v>
      </c>
      <c r="B537" s="215" t="s">
        <v>351</v>
      </c>
      <c r="C537" s="298" t="s">
        <v>323</v>
      </c>
      <c r="D537" s="297" t="s">
        <v>322</v>
      </c>
      <c r="E537" s="215" t="s">
        <v>350</v>
      </c>
      <c r="F537" s="216" t="s">
        <v>352</v>
      </c>
      <c r="G537" s="299">
        <v>23.498286305769192</v>
      </c>
      <c r="H537" s="299">
        <v>18.240810349430181</v>
      </c>
      <c r="I537" s="299">
        <v>18.865701863567555</v>
      </c>
      <c r="J537" s="299">
        <v>20.292144268325831</v>
      </c>
      <c r="K537" s="299">
        <v>19.293024390787608</v>
      </c>
      <c r="L537" s="299">
        <v>22.633126695599334</v>
      </c>
      <c r="M537" s="299">
        <v>25.433672470817356</v>
      </c>
      <c r="N537" s="299">
        <v>18.402283839449076</v>
      </c>
      <c r="O537" s="299">
        <v>16.523549183463174</v>
      </c>
      <c r="P537" s="299">
        <v>12.478225266909496</v>
      </c>
      <c r="Q537" s="299">
        <v>12.830494898716083</v>
      </c>
      <c r="R537" s="299">
        <v>18.41016461939822</v>
      </c>
      <c r="S537" s="299">
        <v>226.90148415223305</v>
      </c>
      <c r="T537" s="300"/>
      <c r="U537" s="222">
        <v>0</v>
      </c>
      <c r="V537" s="222">
        <v>0</v>
      </c>
    </row>
    <row r="538" spans="1:22" customFormat="1" x14ac:dyDescent="0.25">
      <c r="A538" s="214">
        <v>38</v>
      </c>
      <c r="B538" s="215" t="s">
        <v>351</v>
      </c>
      <c r="C538" s="298" t="s">
        <v>323</v>
      </c>
      <c r="D538" s="297" t="s">
        <v>322</v>
      </c>
      <c r="E538" s="215" t="s">
        <v>350</v>
      </c>
      <c r="F538" s="216" t="s">
        <v>352</v>
      </c>
      <c r="G538" s="299">
        <v>35.501670193916759</v>
      </c>
      <c r="H538" s="299">
        <v>31.222870445071376</v>
      </c>
      <c r="I538" s="299">
        <v>41.258234492939245</v>
      </c>
      <c r="J538" s="299">
        <v>50.650648478574539</v>
      </c>
      <c r="K538" s="299">
        <v>47.678265150006368</v>
      </c>
      <c r="L538" s="299">
        <v>53.316864268646931</v>
      </c>
      <c r="M538" s="299">
        <v>55.651168784984286</v>
      </c>
      <c r="N538" s="299">
        <v>36.406406618643416</v>
      </c>
      <c r="O538" s="299">
        <v>31.265385311608711</v>
      </c>
      <c r="P538" s="299">
        <v>33.412134219086774</v>
      </c>
      <c r="Q538" s="299">
        <v>32.246820118753448</v>
      </c>
      <c r="R538" s="299">
        <v>32.698569476194521</v>
      </c>
      <c r="S538" s="299">
        <v>481.30903755842644</v>
      </c>
      <c r="T538" s="300"/>
      <c r="U538" s="222">
        <v>0</v>
      </c>
      <c r="V538" s="222">
        <v>0</v>
      </c>
    </row>
    <row r="539" spans="1:22" customFormat="1" x14ac:dyDescent="0.25">
      <c r="A539" s="214">
        <v>38</v>
      </c>
      <c r="B539" s="215" t="s">
        <v>351</v>
      </c>
      <c r="C539" s="298" t="s">
        <v>323</v>
      </c>
      <c r="D539" s="297" t="s">
        <v>322</v>
      </c>
      <c r="E539" s="215" t="s">
        <v>379</v>
      </c>
      <c r="F539" s="216" t="s">
        <v>16</v>
      </c>
      <c r="G539" s="299">
        <v>21.073112743792613</v>
      </c>
      <c r="H539" s="299">
        <v>16.684118075080629</v>
      </c>
      <c r="I539" s="299">
        <v>17.652328664300114</v>
      </c>
      <c r="J539" s="299">
        <v>19.221713345541289</v>
      </c>
      <c r="K539" s="299">
        <v>18.587215783594932</v>
      </c>
      <c r="L539" s="299">
        <v>21.773099443358607</v>
      </c>
      <c r="M539" s="299">
        <v>23.865401310648195</v>
      </c>
      <c r="N539" s="299">
        <v>17.831926435857774</v>
      </c>
      <c r="O539" s="299">
        <v>18.240362669216371</v>
      </c>
      <c r="P539" s="299">
        <v>16.464524272892682</v>
      </c>
      <c r="Q539" s="299">
        <v>16.636700784081498</v>
      </c>
      <c r="R539" s="299">
        <v>17.617685742070226</v>
      </c>
      <c r="S539" s="299">
        <v>225.64818927043493</v>
      </c>
      <c r="T539" s="300"/>
      <c r="U539" s="229">
        <v>1</v>
      </c>
      <c r="V539" s="222">
        <v>-1</v>
      </c>
    </row>
    <row r="540" spans="1:22" customFormat="1" x14ac:dyDescent="0.25">
      <c r="A540" s="214">
        <v>38</v>
      </c>
      <c r="B540" s="215" t="s">
        <v>335</v>
      </c>
      <c r="C540" s="298" t="s">
        <v>323</v>
      </c>
      <c r="D540" s="297" t="s">
        <v>322</v>
      </c>
      <c r="E540" s="215" t="s">
        <v>348</v>
      </c>
      <c r="F540" s="216" t="s">
        <v>349</v>
      </c>
      <c r="G540" s="299">
        <v>1.0645724330971127</v>
      </c>
      <c r="H540" s="299">
        <v>1.0132017674586864</v>
      </c>
      <c r="I540" s="299">
        <v>4.8186915162022563</v>
      </c>
      <c r="J540" s="299">
        <v>5.1541752615361824</v>
      </c>
      <c r="K540" s="299">
        <v>7.0307436680521711</v>
      </c>
      <c r="L540" s="299">
        <v>11.482751027197315</v>
      </c>
      <c r="M540" s="299">
        <v>11.751275085968711</v>
      </c>
      <c r="N540" s="299">
        <v>4.8311385410531882</v>
      </c>
      <c r="O540" s="299">
        <v>1.9295090114510658</v>
      </c>
      <c r="P540" s="299">
        <v>0.851677317460657</v>
      </c>
      <c r="Q540" s="299">
        <v>0.65553725399483298</v>
      </c>
      <c r="R540" s="299">
        <v>0.74826232107610624</v>
      </c>
      <c r="S540" s="299">
        <v>51.331535204548281</v>
      </c>
      <c r="T540" s="300"/>
      <c r="U540" s="222">
        <v>0</v>
      </c>
      <c r="V540" s="222">
        <v>0</v>
      </c>
    </row>
    <row r="541" spans="1:22" customFormat="1" x14ac:dyDescent="0.25">
      <c r="A541" s="214">
        <v>38</v>
      </c>
      <c r="B541" s="215" t="s">
        <v>351</v>
      </c>
      <c r="C541" s="298" t="s">
        <v>323</v>
      </c>
      <c r="D541" s="297" t="s">
        <v>322</v>
      </c>
      <c r="E541" s="215" t="s">
        <v>380</v>
      </c>
      <c r="F541" s="216" t="s">
        <v>381</v>
      </c>
      <c r="G541" s="299">
        <v>22.710856912868802</v>
      </c>
      <c r="H541" s="299">
        <v>21.357643221144134</v>
      </c>
      <c r="I541" s="299">
        <v>29.088714803219492</v>
      </c>
      <c r="J541" s="299">
        <v>31.08064790251516</v>
      </c>
      <c r="K541" s="299">
        <v>34.180777729806721</v>
      </c>
      <c r="L541" s="299">
        <v>49.97209930485954</v>
      </c>
      <c r="M541" s="299">
        <v>56.46312552156801</v>
      </c>
      <c r="N541" s="299">
        <v>33.867503910072372</v>
      </c>
      <c r="O541" s="299">
        <v>19.964401662414609</v>
      </c>
      <c r="P541" s="299">
        <v>11.158349790232865</v>
      </c>
      <c r="Q541" s="299">
        <v>10.799422390349925</v>
      </c>
      <c r="R541" s="299">
        <v>16.881061076124759</v>
      </c>
      <c r="S541" s="299">
        <v>337.5246042251764</v>
      </c>
      <c r="T541" s="300"/>
      <c r="U541" s="222">
        <v>0</v>
      </c>
      <c r="V541" s="222">
        <v>0</v>
      </c>
    </row>
    <row r="542" spans="1:22" customFormat="1" x14ac:dyDescent="0.25">
      <c r="A542" s="214">
        <v>38</v>
      </c>
      <c r="B542" s="215" t="s">
        <v>351</v>
      </c>
      <c r="C542" s="298" t="s">
        <v>323</v>
      </c>
      <c r="D542" s="297" t="s">
        <v>322</v>
      </c>
      <c r="E542" s="215" t="s">
        <v>382</v>
      </c>
      <c r="F542" s="216" t="s">
        <v>383</v>
      </c>
      <c r="G542" s="299">
        <v>22.552853636518471</v>
      </c>
      <c r="H542" s="299">
        <v>17.803026663912913</v>
      </c>
      <c r="I542" s="299">
        <v>24.763284998785426</v>
      </c>
      <c r="J542" s="299">
        <v>28.278836129141208</v>
      </c>
      <c r="K542" s="299">
        <v>32.430149498285822</v>
      </c>
      <c r="L542" s="299">
        <v>46.777626367143448</v>
      </c>
      <c r="M542" s="299">
        <v>56.95897784556881</v>
      </c>
      <c r="N542" s="299">
        <v>35.028166822985888</v>
      </c>
      <c r="O542" s="299">
        <v>24.909190203614383</v>
      </c>
      <c r="P542" s="299">
        <v>22.027515171188732</v>
      </c>
      <c r="Q542" s="299">
        <v>22.040739238910582</v>
      </c>
      <c r="R542" s="299">
        <v>21.356736971409369</v>
      </c>
      <c r="S542" s="299">
        <v>354.92710354746509</v>
      </c>
      <c r="T542" s="300"/>
      <c r="U542" s="222">
        <v>0</v>
      </c>
      <c r="V542" s="222">
        <v>0</v>
      </c>
    </row>
    <row r="543" spans="1:22" customFormat="1" x14ac:dyDescent="0.25">
      <c r="A543" s="214">
        <v>38</v>
      </c>
      <c r="B543" s="215" t="s">
        <v>351</v>
      </c>
      <c r="C543" s="298" t="s">
        <v>323</v>
      </c>
      <c r="D543" s="297" t="s">
        <v>322</v>
      </c>
      <c r="E543" s="215" t="s">
        <v>384</v>
      </c>
      <c r="F543" s="216" t="s">
        <v>385</v>
      </c>
      <c r="G543" s="299">
        <v>22.934886137091002</v>
      </c>
      <c r="H543" s="299">
        <v>17.698135941463775</v>
      </c>
      <c r="I543" s="299">
        <v>23.857863069073804</v>
      </c>
      <c r="J543" s="299">
        <v>27.074035446235989</v>
      </c>
      <c r="K543" s="299">
        <v>32.016296491420462</v>
      </c>
      <c r="L543" s="299">
        <v>45.838756516948024</v>
      </c>
      <c r="M543" s="299">
        <v>56.414294537357563</v>
      </c>
      <c r="N543" s="299">
        <v>34.966416727662462</v>
      </c>
      <c r="O543" s="299">
        <v>25.002336828786234</v>
      </c>
      <c r="P543" s="299">
        <v>22.645051173118002</v>
      </c>
      <c r="Q543" s="299">
        <v>22.707811547417784</v>
      </c>
      <c r="R543" s="299">
        <v>22.034217221412788</v>
      </c>
      <c r="S543" s="299">
        <v>353.19010163798794</v>
      </c>
      <c r="T543" s="300"/>
      <c r="U543" s="222">
        <v>0</v>
      </c>
      <c r="V543" s="222">
        <v>1</v>
      </c>
    </row>
    <row r="544" spans="1:22" customFormat="1" x14ac:dyDescent="0.25">
      <c r="A544" s="214">
        <v>38</v>
      </c>
      <c r="B544" s="215" t="s">
        <v>351</v>
      </c>
      <c r="C544" s="298" t="s">
        <v>323</v>
      </c>
      <c r="D544" s="297" t="s">
        <v>322</v>
      </c>
      <c r="E544" s="215" t="s">
        <v>386</v>
      </c>
      <c r="F544" s="216" t="s">
        <v>387</v>
      </c>
      <c r="G544" s="299">
        <v>32.556566141692052</v>
      </c>
      <c r="H544" s="299">
        <v>27.805482584331571</v>
      </c>
      <c r="I544" s="299">
        <v>34.053680114660523</v>
      </c>
      <c r="J544" s="299">
        <v>42.38554579198572</v>
      </c>
      <c r="K544" s="299">
        <v>37.602276762158894</v>
      </c>
      <c r="L544" s="299">
        <v>39.586681009679715</v>
      </c>
      <c r="M544" s="299">
        <v>40.972360609235039</v>
      </c>
      <c r="N544" s="299">
        <v>26.050554139914997</v>
      </c>
      <c r="O544" s="299">
        <v>26.296672580351114</v>
      </c>
      <c r="P544" s="299">
        <v>34.171357398720822</v>
      </c>
      <c r="Q544" s="299">
        <v>33.372973644011601</v>
      </c>
      <c r="R544" s="299">
        <v>32.114139179309852</v>
      </c>
      <c r="S544" s="299">
        <v>406.96828995605193</v>
      </c>
      <c r="T544" s="300"/>
      <c r="U544" s="222">
        <v>0</v>
      </c>
      <c r="V544" s="222">
        <v>1</v>
      </c>
    </row>
    <row r="545" spans="1:22" customFormat="1" x14ac:dyDescent="0.25">
      <c r="A545" s="214">
        <v>38</v>
      </c>
      <c r="B545" s="215" t="s">
        <v>389</v>
      </c>
      <c r="C545" s="298" t="s">
        <v>323</v>
      </c>
      <c r="D545" s="297" t="s">
        <v>322</v>
      </c>
      <c r="E545" s="215" t="s">
        <v>388</v>
      </c>
      <c r="F545" s="216" t="s">
        <v>112</v>
      </c>
      <c r="G545" s="299">
        <v>2.9746118938654234</v>
      </c>
      <c r="H545" s="299">
        <v>3.4419253173005138</v>
      </c>
      <c r="I545" s="299">
        <v>7.2606205547611555</v>
      </c>
      <c r="J545" s="299">
        <v>8.3457631556741845</v>
      </c>
      <c r="K545" s="299">
        <v>10.14870084231636</v>
      </c>
      <c r="L545" s="299">
        <v>13.844312826242955</v>
      </c>
      <c r="M545" s="299">
        <v>14.78899944632164</v>
      </c>
      <c r="N545" s="299">
        <v>10.429525589662331</v>
      </c>
      <c r="O545" s="299">
        <v>6.6068090456489363</v>
      </c>
      <c r="P545" s="299">
        <v>2.299418284538072</v>
      </c>
      <c r="Q545" s="299">
        <v>1.4039921065671217</v>
      </c>
      <c r="R545" s="299">
        <v>1.3644026595213958</v>
      </c>
      <c r="S545" s="299">
        <v>82.909081722420069</v>
      </c>
      <c r="T545" s="300"/>
      <c r="U545" s="222">
        <v>0</v>
      </c>
      <c r="V545" s="222">
        <v>1</v>
      </c>
    </row>
    <row r="546" spans="1:22" customFormat="1" x14ac:dyDescent="0.25">
      <c r="A546" s="214">
        <v>38</v>
      </c>
      <c r="B546" s="215" t="s">
        <v>393</v>
      </c>
      <c r="C546" s="298" t="s">
        <v>323</v>
      </c>
      <c r="D546" s="297" t="s">
        <v>322</v>
      </c>
      <c r="E546" s="215" t="s">
        <v>392</v>
      </c>
      <c r="F546" s="216" t="s">
        <v>394</v>
      </c>
      <c r="G546" s="299">
        <v>53.559257274706354</v>
      </c>
      <c r="H546" s="299">
        <v>48.826783442771877</v>
      </c>
      <c r="I546" s="299">
        <v>72.039064241465709</v>
      </c>
      <c r="J546" s="299">
        <v>87.868324782697954</v>
      </c>
      <c r="K546" s="299">
        <v>86.405936305328211</v>
      </c>
      <c r="L546" s="299">
        <v>100.95898904170706</v>
      </c>
      <c r="M546" s="299">
        <v>96.178262258659018</v>
      </c>
      <c r="N546" s="299">
        <v>61.690401321977518</v>
      </c>
      <c r="O546" s="299">
        <v>53.076468620982325</v>
      </c>
      <c r="P546" s="299">
        <v>52.04454732957619</v>
      </c>
      <c r="Q546" s="299">
        <v>46.763191981601551</v>
      </c>
      <c r="R546" s="299">
        <v>45.630746402867025</v>
      </c>
      <c r="S546" s="299">
        <v>805.041973004341</v>
      </c>
      <c r="T546" s="300"/>
      <c r="U546" s="222">
        <v>0</v>
      </c>
      <c r="V546" s="222">
        <v>-1</v>
      </c>
    </row>
    <row r="547" spans="1:22" customFormat="1" x14ac:dyDescent="0.25">
      <c r="A547" s="214">
        <v>36</v>
      </c>
      <c r="B547" s="215" t="s">
        <v>247</v>
      </c>
      <c r="C547" s="288" t="s">
        <v>319</v>
      </c>
      <c r="D547" s="287" t="s">
        <v>318</v>
      </c>
      <c r="E547" s="215" t="s">
        <v>246</v>
      </c>
      <c r="F547" s="216" t="s">
        <v>248</v>
      </c>
      <c r="G547" s="290">
        <v>48.694918378261441</v>
      </c>
      <c r="H547" s="290">
        <v>58.249833828181394</v>
      </c>
      <c r="I547" s="290">
        <v>67.838781737684556</v>
      </c>
      <c r="J547" s="290">
        <v>70.357114264309416</v>
      </c>
      <c r="K547" s="290">
        <v>69.382996633435241</v>
      </c>
      <c r="L547" s="290">
        <v>83.389926140901579</v>
      </c>
      <c r="M547" s="290">
        <v>78.610552612358816</v>
      </c>
      <c r="N547" s="290">
        <v>54.113914209092506</v>
      </c>
      <c r="O547" s="290">
        <v>32.000135129873485</v>
      </c>
      <c r="P547" s="290">
        <v>11.716828610665461</v>
      </c>
      <c r="Q547" s="290">
        <v>11.700899136968628</v>
      </c>
      <c r="R547" s="290">
        <v>26.480241673026839</v>
      </c>
      <c r="S547" s="289">
        <v>612.53614235475936</v>
      </c>
      <c r="T547" s="291"/>
      <c r="U547" s="222"/>
      <c r="V547" s="222"/>
    </row>
    <row r="548" spans="1:22" customFormat="1" x14ac:dyDescent="0.25">
      <c r="A548" s="214">
        <v>36</v>
      </c>
      <c r="B548" s="215" t="s">
        <v>332</v>
      </c>
      <c r="C548" s="288" t="s">
        <v>319</v>
      </c>
      <c r="D548" s="287" t="s">
        <v>318</v>
      </c>
      <c r="E548" s="215" t="s">
        <v>331</v>
      </c>
      <c r="F548" s="216" t="s">
        <v>333</v>
      </c>
      <c r="G548" s="290">
        <v>16.208668361318598</v>
      </c>
      <c r="H548" s="290">
        <v>27.857309039108074</v>
      </c>
      <c r="I548" s="290">
        <v>18.614088764360012</v>
      </c>
      <c r="J548" s="290">
        <v>20.671799569966083</v>
      </c>
      <c r="K548" s="290">
        <v>12.534248740453449</v>
      </c>
      <c r="L548" s="290">
        <v>3.6150072215695204</v>
      </c>
      <c r="M548" s="290">
        <v>17.833957801609564</v>
      </c>
      <c r="N548" s="290">
        <v>24.268247167048969</v>
      </c>
      <c r="O548" s="290">
        <v>8.1493572591436596</v>
      </c>
      <c r="P548" s="290">
        <v>9.3248627345430606</v>
      </c>
      <c r="Q548" s="290">
        <v>9.658064999714945</v>
      </c>
      <c r="R548" s="290">
        <v>17.632211186073548</v>
      </c>
      <c r="S548" s="289">
        <v>186.36782284490954</v>
      </c>
      <c r="T548" s="291"/>
      <c r="U548" s="222"/>
      <c r="V548" s="222"/>
    </row>
    <row r="549" spans="1:22" customFormat="1" x14ac:dyDescent="0.25">
      <c r="A549" s="214">
        <v>36</v>
      </c>
      <c r="B549" s="215" t="s">
        <v>335</v>
      </c>
      <c r="C549" s="288" t="s">
        <v>319</v>
      </c>
      <c r="D549" s="287" t="s">
        <v>318</v>
      </c>
      <c r="E549" s="215" t="s">
        <v>334</v>
      </c>
      <c r="F549" s="216" t="s">
        <v>336</v>
      </c>
      <c r="G549" s="290">
        <v>35.632183018646856</v>
      </c>
      <c r="H549" s="290">
        <v>35.788408952816681</v>
      </c>
      <c r="I549" s="290">
        <v>37.953086094226073</v>
      </c>
      <c r="J549" s="290">
        <v>42.486243803698017</v>
      </c>
      <c r="K549" s="290">
        <v>45.396573959933079</v>
      </c>
      <c r="L549" s="290">
        <v>62.007027446515806</v>
      </c>
      <c r="M549" s="290">
        <v>65.806574703082916</v>
      </c>
      <c r="N549" s="290">
        <v>48.396207868708231</v>
      </c>
      <c r="O549" s="290">
        <v>31.025567611578545</v>
      </c>
      <c r="P549" s="290">
        <v>24.620758226144151</v>
      </c>
      <c r="Q549" s="290">
        <v>25.632027688794864</v>
      </c>
      <c r="R549" s="290">
        <v>32.061400029658401</v>
      </c>
      <c r="S549" s="289">
        <v>486.80605940380366</v>
      </c>
      <c r="T549" s="291"/>
      <c r="U549" s="222"/>
      <c r="V549" s="222"/>
    </row>
    <row r="550" spans="1:22" customFormat="1" x14ac:dyDescent="0.25">
      <c r="A550" s="214">
        <v>36</v>
      </c>
      <c r="B550" s="215" t="s">
        <v>351</v>
      </c>
      <c r="C550" s="288" t="s">
        <v>319</v>
      </c>
      <c r="D550" s="287" t="s">
        <v>318</v>
      </c>
      <c r="E550" s="215" t="s">
        <v>350</v>
      </c>
      <c r="F550" s="216" t="s">
        <v>352</v>
      </c>
      <c r="G550" s="320">
        <v>117.49143152884595</v>
      </c>
      <c r="H550" s="320">
        <v>121.60540232953454</v>
      </c>
      <c r="I550" s="320">
        <v>125.77134575711703</v>
      </c>
      <c r="J550" s="320">
        <v>135.28096178883888</v>
      </c>
      <c r="K550" s="320">
        <v>128.62016260525073</v>
      </c>
      <c r="L550" s="320">
        <v>150.88751130399555</v>
      </c>
      <c r="M550" s="320">
        <v>169.55781647211572</v>
      </c>
      <c r="N550" s="320">
        <v>122.68189226299384</v>
      </c>
      <c r="O550" s="320">
        <v>82.617745917315872</v>
      </c>
      <c r="P550" s="320">
        <v>62.391126334547472</v>
      </c>
      <c r="Q550" s="320">
        <v>64.152474493580414</v>
      </c>
      <c r="R550" s="320">
        <v>92.050823096991095</v>
      </c>
      <c r="S550" s="319">
        <v>1373.1088040011273</v>
      </c>
      <c r="T550" s="291"/>
      <c r="U550" s="437"/>
      <c r="V550" s="437"/>
    </row>
    <row r="551" spans="1:22" customFormat="1" x14ac:dyDescent="0.25">
      <c r="A551" s="214">
        <v>36</v>
      </c>
      <c r="B551" s="215" t="s">
        <v>351</v>
      </c>
      <c r="C551" s="288" t="s">
        <v>319</v>
      </c>
      <c r="D551" s="287" t="s">
        <v>318</v>
      </c>
      <c r="E551" s="215" t="s">
        <v>379</v>
      </c>
      <c r="F551" s="216" t="s">
        <v>16</v>
      </c>
      <c r="G551" s="320">
        <v>105.36556371896306</v>
      </c>
      <c r="H551" s="320">
        <v>111.22745383387087</v>
      </c>
      <c r="I551" s="320">
        <v>117.68219109533409</v>
      </c>
      <c r="J551" s="320">
        <v>128.14475563694194</v>
      </c>
      <c r="K551" s="320">
        <v>123.91477189063288</v>
      </c>
      <c r="L551" s="320">
        <v>145.15399628905737</v>
      </c>
      <c r="M551" s="320">
        <v>159.1026754043213</v>
      </c>
      <c r="N551" s="320">
        <v>118.87950957238517</v>
      </c>
      <c r="O551" s="320">
        <v>91.201813346081849</v>
      </c>
      <c r="P551" s="320">
        <v>82.322621364463402</v>
      </c>
      <c r="Q551" s="320">
        <v>83.183503920407489</v>
      </c>
      <c r="R551" s="320">
        <v>88.088428710351124</v>
      </c>
      <c r="S551" s="319">
        <v>1354.2672847828105</v>
      </c>
      <c r="T551" s="291"/>
      <c r="U551" s="222"/>
      <c r="V551" s="222"/>
    </row>
    <row r="552" spans="1:22" customFormat="1" x14ac:dyDescent="0.25">
      <c r="A552" s="214">
        <v>36</v>
      </c>
      <c r="B552" s="215" t="s">
        <v>335</v>
      </c>
      <c r="C552" s="288" t="s">
        <v>319</v>
      </c>
      <c r="D552" s="287" t="s">
        <v>318</v>
      </c>
      <c r="E552" s="215" t="s">
        <v>348</v>
      </c>
      <c r="F552" s="216" t="s">
        <v>349</v>
      </c>
      <c r="G552" s="290">
        <v>5.3228621654855637</v>
      </c>
      <c r="H552" s="290">
        <v>6.754678449724576</v>
      </c>
      <c r="I552" s="290">
        <v>32.124610108015041</v>
      </c>
      <c r="J552" s="290">
        <v>34.36116841024122</v>
      </c>
      <c r="K552" s="290">
        <v>46.871624453681143</v>
      </c>
      <c r="L552" s="290">
        <v>76.551673514648769</v>
      </c>
      <c r="M552" s="290">
        <v>78.341833906458078</v>
      </c>
      <c r="N552" s="290">
        <v>32.20759027368792</v>
      </c>
      <c r="O552" s="290">
        <v>9.6475450572553285</v>
      </c>
      <c r="P552" s="290">
        <v>4.2583865873032849</v>
      </c>
      <c r="Q552" s="290">
        <v>3.2776862699741649</v>
      </c>
      <c r="R552" s="290">
        <v>3.7413116053805311</v>
      </c>
      <c r="S552" s="289">
        <v>333.46097080185558</v>
      </c>
      <c r="T552" s="291"/>
      <c r="U552" s="222"/>
      <c r="V552" s="222"/>
    </row>
    <row r="553" spans="1:22" customFormat="1" x14ac:dyDescent="0.25">
      <c r="A553" s="214">
        <v>36</v>
      </c>
      <c r="B553" s="215" t="s">
        <v>351</v>
      </c>
      <c r="C553" s="288" t="s">
        <v>319</v>
      </c>
      <c r="D553" s="287" t="s">
        <v>318</v>
      </c>
      <c r="E553" s="215" t="s">
        <v>380</v>
      </c>
      <c r="F553" s="216" t="s">
        <v>381</v>
      </c>
      <c r="G553" s="342">
        <v>113.554284564344</v>
      </c>
      <c r="H553" s="342">
        <v>142.3842881409609</v>
      </c>
      <c r="I553" s="342">
        <v>193.92476535479662</v>
      </c>
      <c r="J553" s="342">
        <v>207.20431935010109</v>
      </c>
      <c r="K553" s="342">
        <v>227.87185153204481</v>
      </c>
      <c r="L553" s="342">
        <v>333.14732869906362</v>
      </c>
      <c r="M553" s="342">
        <v>376.42083681045341</v>
      </c>
      <c r="N553" s="342">
        <v>225.78335940048251</v>
      </c>
      <c r="O553" s="342">
        <v>99.822008312073038</v>
      </c>
      <c r="P553" s="342">
        <v>55.791748951164323</v>
      </c>
      <c r="Q553" s="342">
        <v>53.997111951749616</v>
      </c>
      <c r="R553" s="342">
        <v>84.405305380623787</v>
      </c>
      <c r="S553" s="341">
        <v>2114.3072084478576</v>
      </c>
      <c r="T553" s="291"/>
      <c r="U553" s="222"/>
      <c r="V553" s="222"/>
    </row>
    <row r="554" spans="1:22" customFormat="1" x14ac:dyDescent="0.25">
      <c r="A554" s="214">
        <v>36</v>
      </c>
      <c r="B554" s="215" t="s">
        <v>351</v>
      </c>
      <c r="C554" s="288" t="s">
        <v>319</v>
      </c>
      <c r="D554" s="287" t="s">
        <v>318</v>
      </c>
      <c r="E554" s="215" t="s">
        <v>382</v>
      </c>
      <c r="F554" s="216" t="s">
        <v>383</v>
      </c>
      <c r="G554" s="320">
        <v>112.76426818259235</v>
      </c>
      <c r="H554" s="320">
        <v>118.6868444260861</v>
      </c>
      <c r="I554" s="320">
        <v>165.0885666585695</v>
      </c>
      <c r="J554" s="320">
        <v>188.52557419427472</v>
      </c>
      <c r="K554" s="320">
        <v>216.20099665523884</v>
      </c>
      <c r="L554" s="320">
        <v>311.85084244762299</v>
      </c>
      <c r="M554" s="320">
        <v>379.72651897045876</v>
      </c>
      <c r="N554" s="320">
        <v>233.52111215323924</v>
      </c>
      <c r="O554" s="320">
        <v>124.5459510180719</v>
      </c>
      <c r="P554" s="320">
        <v>110.13757585594365</v>
      </c>
      <c r="Q554" s="320">
        <v>110.2036961945529</v>
      </c>
      <c r="R554" s="320">
        <v>106.78368485704684</v>
      </c>
      <c r="S554" s="319">
        <v>2178.0356316136981</v>
      </c>
      <c r="T554" s="291"/>
      <c r="U554" s="222"/>
      <c r="V554" s="222"/>
    </row>
    <row r="555" spans="1:22" customFormat="1" x14ac:dyDescent="0.25">
      <c r="A555" s="214">
        <v>36</v>
      </c>
      <c r="B555" s="215" t="s">
        <v>351</v>
      </c>
      <c r="C555" s="288" t="s">
        <v>319</v>
      </c>
      <c r="D555" s="287" t="s">
        <v>318</v>
      </c>
      <c r="E555" s="215" t="s">
        <v>384</v>
      </c>
      <c r="F555" s="216" t="s">
        <v>385</v>
      </c>
      <c r="G555" s="320">
        <v>114.67443068545501</v>
      </c>
      <c r="H555" s="320">
        <v>117.98757294309183</v>
      </c>
      <c r="I555" s="320">
        <v>159.05242046049204</v>
      </c>
      <c r="J555" s="320">
        <v>180.49356964157326</v>
      </c>
      <c r="K555" s="320">
        <v>213.44197660946978</v>
      </c>
      <c r="L555" s="320">
        <v>305.59171011298685</v>
      </c>
      <c r="M555" s="320">
        <v>376.09529691571709</v>
      </c>
      <c r="N555" s="320">
        <v>233.10944485108311</v>
      </c>
      <c r="O555" s="320">
        <v>125.01168414393116</v>
      </c>
      <c r="P555" s="320">
        <v>113.22525586559</v>
      </c>
      <c r="Q555" s="320">
        <v>113.53905773708891</v>
      </c>
      <c r="R555" s="320">
        <v>110.17108610706393</v>
      </c>
      <c r="S555" s="319">
        <v>2162.393506073543</v>
      </c>
      <c r="T555" s="291"/>
      <c r="U555" s="437"/>
      <c r="V555" s="437"/>
    </row>
    <row r="556" spans="1:22" customFormat="1" x14ac:dyDescent="0.25">
      <c r="A556" s="214">
        <v>36</v>
      </c>
      <c r="B556" s="215" t="s">
        <v>351</v>
      </c>
      <c r="C556" s="383" t="s">
        <v>319</v>
      </c>
      <c r="D556" s="287" t="s">
        <v>318</v>
      </c>
      <c r="E556" s="215" t="s">
        <v>386</v>
      </c>
      <c r="F556" s="216" t="s">
        <v>387</v>
      </c>
      <c r="G556" s="342">
        <v>162.78283070846027</v>
      </c>
      <c r="H556" s="342">
        <v>185.36988389554381</v>
      </c>
      <c r="I556" s="342">
        <v>227.02453409773685</v>
      </c>
      <c r="J556" s="342">
        <v>282.5703052799048</v>
      </c>
      <c r="K556" s="342">
        <v>250.68184508105932</v>
      </c>
      <c r="L556" s="342">
        <v>263.91120673119809</v>
      </c>
      <c r="M556" s="342">
        <v>273.1490707282336</v>
      </c>
      <c r="N556" s="342">
        <v>173.67036093276664</v>
      </c>
      <c r="O556" s="342">
        <v>131.48336290175556</v>
      </c>
      <c r="P556" s="342">
        <v>170.85678699360409</v>
      </c>
      <c r="Q556" s="342">
        <v>166.86486822005799</v>
      </c>
      <c r="R556" s="342">
        <v>160.57069589654927</v>
      </c>
      <c r="S556" s="341">
        <v>2448.93575146687</v>
      </c>
      <c r="T556" s="384"/>
      <c r="U556" s="222">
        <v>0</v>
      </c>
      <c r="V556" s="222">
        <v>1</v>
      </c>
    </row>
    <row r="557" spans="1:22" customFormat="1" x14ac:dyDescent="0.25">
      <c r="A557" s="214">
        <v>36</v>
      </c>
      <c r="B557" s="215" t="s">
        <v>389</v>
      </c>
      <c r="C557" s="383" t="s">
        <v>319</v>
      </c>
      <c r="D557" s="287" t="s">
        <v>318</v>
      </c>
      <c r="E557" s="215" t="s">
        <v>388</v>
      </c>
      <c r="F557" s="216" t="s">
        <v>112</v>
      </c>
      <c r="G557" s="342">
        <v>14.873059469327115</v>
      </c>
      <c r="H557" s="342">
        <v>22.946168782003426</v>
      </c>
      <c r="I557" s="342">
        <v>48.404137031741037</v>
      </c>
      <c r="J557" s="342">
        <v>55.638421037827896</v>
      </c>
      <c r="K557" s="342">
        <v>67.658005615442406</v>
      </c>
      <c r="L557" s="342">
        <v>92.295418841619707</v>
      </c>
      <c r="M557" s="342">
        <v>98.593329642144269</v>
      </c>
      <c r="N557" s="342">
        <v>69.530170597748878</v>
      </c>
      <c r="O557" s="342">
        <v>33.034045228244679</v>
      </c>
      <c r="P557" s="391">
        <v>11.49709142269036</v>
      </c>
      <c r="Q557" s="391">
        <v>7.0199605328356078</v>
      </c>
      <c r="R557" s="391">
        <v>6.8220132976069792</v>
      </c>
      <c r="S557" s="341">
        <v>528.31182149923245</v>
      </c>
      <c r="T557" s="291"/>
      <c r="U557" s="222">
        <v>0</v>
      </c>
      <c r="V557" s="229">
        <v>1</v>
      </c>
    </row>
    <row r="558" spans="1:22" customFormat="1" x14ac:dyDescent="0.25">
      <c r="A558" s="214">
        <v>36</v>
      </c>
      <c r="B558" s="215" t="s">
        <v>351</v>
      </c>
      <c r="C558" s="288" t="s">
        <v>319</v>
      </c>
      <c r="D558" s="287" t="s">
        <v>318</v>
      </c>
      <c r="E558" s="215" t="s">
        <v>390</v>
      </c>
      <c r="F558" s="216" t="s">
        <v>391</v>
      </c>
      <c r="G558" s="290">
        <v>177.5083509695838</v>
      </c>
      <c r="H558" s="290">
        <v>208.15246963380918</v>
      </c>
      <c r="I558" s="290">
        <v>275.05489661959496</v>
      </c>
      <c r="J558" s="290">
        <v>337.67098985716359</v>
      </c>
      <c r="K558" s="290">
        <v>317.85510100004245</v>
      </c>
      <c r="L558" s="290">
        <v>355.44576179097953</v>
      </c>
      <c r="M558" s="290">
        <v>371.00779189989527</v>
      </c>
      <c r="N558" s="290">
        <v>242.70937745762276</v>
      </c>
      <c r="O558" s="290">
        <v>156.32692655804354</v>
      </c>
      <c r="P558" s="290">
        <v>167.06067109543386</v>
      </c>
      <c r="Q558" s="290">
        <v>161.23410059376724</v>
      </c>
      <c r="R558" s="290">
        <v>163.49284738097259</v>
      </c>
      <c r="S558" s="289">
        <v>2933.5192848569091</v>
      </c>
      <c r="T558" s="291"/>
      <c r="U558" s="222">
        <v>0</v>
      </c>
      <c r="V558" s="229">
        <v>1</v>
      </c>
    </row>
    <row r="559" spans="1:22" customFormat="1" x14ac:dyDescent="0.25">
      <c r="A559" s="214">
        <v>36</v>
      </c>
      <c r="B559" s="215" t="s">
        <v>393</v>
      </c>
      <c r="C559" s="288" t="s">
        <v>319</v>
      </c>
      <c r="D559" s="287" t="s">
        <v>318</v>
      </c>
      <c r="E559" s="215" t="s">
        <v>392</v>
      </c>
      <c r="F559" s="216" t="s">
        <v>394</v>
      </c>
      <c r="G559" s="342">
        <v>267.79628637353176</v>
      </c>
      <c r="H559" s="342">
        <v>325.51188961847919</v>
      </c>
      <c r="I559" s="342">
        <v>480.26042827643806</v>
      </c>
      <c r="J559" s="342">
        <v>585.78883188465306</v>
      </c>
      <c r="K559" s="342">
        <v>576.0395753688548</v>
      </c>
      <c r="L559" s="342">
        <v>673.05992694471377</v>
      </c>
      <c r="M559" s="342">
        <v>641.18841505772684</v>
      </c>
      <c r="N559" s="342">
        <v>411.26934214651681</v>
      </c>
      <c r="O559" s="342">
        <v>265.38234310491163</v>
      </c>
      <c r="P559" s="342">
        <v>260.22273664788094</v>
      </c>
      <c r="Q559" s="342">
        <v>233.81595990800773</v>
      </c>
      <c r="R559" s="342">
        <v>228.15373201433511</v>
      </c>
      <c r="S559" s="341">
        <v>4948.4894673460503</v>
      </c>
      <c r="T559" s="291"/>
      <c r="U559" s="229">
        <v>1</v>
      </c>
      <c r="V559" s="229">
        <v>-1</v>
      </c>
    </row>
    <row r="560" spans="1:22" customFormat="1" x14ac:dyDescent="0.25">
      <c r="A560" s="214">
        <v>35</v>
      </c>
      <c r="B560" s="215" t="s">
        <v>247</v>
      </c>
      <c r="C560" s="288" t="s">
        <v>317</v>
      </c>
      <c r="D560" s="287" t="s">
        <v>245</v>
      </c>
      <c r="E560" s="215" t="s">
        <v>246</v>
      </c>
      <c r="F560" s="216" t="s">
        <v>248</v>
      </c>
      <c r="G560" s="290">
        <v>48.694918378261441</v>
      </c>
      <c r="H560" s="290">
        <v>58.249833828181394</v>
      </c>
      <c r="I560" s="290">
        <v>67.838781737684556</v>
      </c>
      <c r="J560" s="290">
        <v>70.357114264309416</v>
      </c>
      <c r="K560" s="290">
        <v>69.382996633435241</v>
      </c>
      <c r="L560" s="290">
        <v>83.389926140901579</v>
      </c>
      <c r="M560" s="290">
        <v>78.610552612358816</v>
      </c>
      <c r="N560" s="290">
        <v>54.113914209092506</v>
      </c>
      <c r="O560" s="290">
        <v>32.000135129873485</v>
      </c>
      <c r="P560" s="290">
        <v>11.716828610665461</v>
      </c>
      <c r="Q560" s="290">
        <v>11.700899136968628</v>
      </c>
      <c r="R560" s="290">
        <v>26.480241673026839</v>
      </c>
      <c r="S560" s="289">
        <v>612.53614235475936</v>
      </c>
      <c r="T560" s="291"/>
      <c r="U560" s="229">
        <v>1</v>
      </c>
      <c r="V560" s="229">
        <v>-1</v>
      </c>
    </row>
    <row r="561" spans="1:22" customFormat="1" x14ac:dyDescent="0.25">
      <c r="A561" s="214">
        <v>35</v>
      </c>
      <c r="B561" s="215" t="s">
        <v>332</v>
      </c>
      <c r="C561" s="288" t="s">
        <v>317</v>
      </c>
      <c r="D561" s="287" t="s">
        <v>245</v>
      </c>
      <c r="E561" s="215" t="s">
        <v>331</v>
      </c>
      <c r="F561" s="216" t="s">
        <v>333</v>
      </c>
      <c r="G561" s="290">
        <v>16.208668361318598</v>
      </c>
      <c r="H561" s="290">
        <v>27.857309039108074</v>
      </c>
      <c r="I561" s="290">
        <v>18.614088764360012</v>
      </c>
      <c r="J561" s="290">
        <v>20.671799569966083</v>
      </c>
      <c r="K561" s="290">
        <v>12.534248740453449</v>
      </c>
      <c r="L561" s="290">
        <v>3.6150072215695204</v>
      </c>
      <c r="M561" s="290">
        <v>17.833957801609564</v>
      </c>
      <c r="N561" s="290">
        <v>24.268247167048969</v>
      </c>
      <c r="O561" s="290">
        <v>8.1493572591436596</v>
      </c>
      <c r="P561" s="290">
        <v>9.3248627345430606</v>
      </c>
      <c r="Q561" s="290">
        <v>9.658064999714945</v>
      </c>
      <c r="R561" s="290">
        <v>17.632211186073548</v>
      </c>
      <c r="S561" s="289">
        <v>186.36782284490954</v>
      </c>
      <c r="T561" s="291"/>
      <c r="U561" s="222">
        <v>0</v>
      </c>
      <c r="V561" s="229">
        <v>-1</v>
      </c>
    </row>
    <row r="562" spans="1:22" customFormat="1" x14ac:dyDescent="0.25">
      <c r="A562" s="214">
        <v>35</v>
      </c>
      <c r="B562" s="215" t="s">
        <v>335</v>
      </c>
      <c r="C562" s="288" t="s">
        <v>317</v>
      </c>
      <c r="D562" s="287" t="s">
        <v>245</v>
      </c>
      <c r="E562" s="215" t="s">
        <v>334</v>
      </c>
      <c r="F562" s="216" t="s">
        <v>336</v>
      </c>
      <c r="G562" s="290">
        <v>35.632183018646856</v>
      </c>
      <c r="H562" s="290">
        <v>35.788408952816681</v>
      </c>
      <c r="I562" s="290">
        <v>37.953086094226073</v>
      </c>
      <c r="J562" s="290">
        <v>42.486243803698017</v>
      </c>
      <c r="K562" s="290">
        <v>45.396573959933079</v>
      </c>
      <c r="L562" s="290">
        <v>62.007027446515806</v>
      </c>
      <c r="M562" s="290">
        <v>65.806574703082916</v>
      </c>
      <c r="N562" s="290">
        <v>48.396207868708231</v>
      </c>
      <c r="O562" s="290">
        <v>31.025567611578545</v>
      </c>
      <c r="P562" s="290">
        <v>24.620758226144151</v>
      </c>
      <c r="Q562" s="290">
        <v>25.632027688794864</v>
      </c>
      <c r="R562" s="290">
        <v>32.061400029658401</v>
      </c>
      <c r="S562" s="289">
        <v>486.80605940380366</v>
      </c>
      <c r="T562" s="291"/>
      <c r="U562" s="222">
        <v>0</v>
      </c>
      <c r="V562" s="229">
        <v>1</v>
      </c>
    </row>
    <row r="563" spans="1:22" customFormat="1" x14ac:dyDescent="0.25">
      <c r="A563" s="214">
        <v>35</v>
      </c>
      <c r="B563" s="215" t="s">
        <v>351</v>
      </c>
      <c r="C563" s="288" t="s">
        <v>317</v>
      </c>
      <c r="D563" s="287" t="s">
        <v>245</v>
      </c>
      <c r="E563" s="215" t="s">
        <v>350</v>
      </c>
      <c r="F563" s="216" t="s">
        <v>352</v>
      </c>
      <c r="G563" s="290">
        <v>117.49143152884596</v>
      </c>
      <c r="H563" s="290">
        <v>121.60540232953456</v>
      </c>
      <c r="I563" s="290">
        <v>125.77134575711705</v>
      </c>
      <c r="J563" s="290">
        <v>135.28096178883888</v>
      </c>
      <c r="K563" s="290">
        <v>128.62016260525073</v>
      </c>
      <c r="L563" s="290">
        <v>150.88751130399555</v>
      </c>
      <c r="M563" s="290">
        <v>169.55781647211572</v>
      </c>
      <c r="N563" s="290">
        <v>122.68189226299386</v>
      </c>
      <c r="O563" s="290">
        <v>82.617745917315887</v>
      </c>
      <c r="P563" s="290">
        <v>62.391126334547472</v>
      </c>
      <c r="Q563" s="290">
        <v>64.152474493580428</v>
      </c>
      <c r="R563" s="290">
        <v>92.05082309699111</v>
      </c>
      <c r="S563" s="289">
        <v>1373.1088040011273</v>
      </c>
      <c r="T563" s="291"/>
      <c r="U563" s="229">
        <v>1</v>
      </c>
      <c r="V563" s="222">
        <v>0</v>
      </c>
    </row>
    <row r="564" spans="1:22" customFormat="1" x14ac:dyDescent="0.25">
      <c r="A564" s="214">
        <v>35</v>
      </c>
      <c r="B564" s="215" t="s">
        <v>351</v>
      </c>
      <c r="C564" s="288" t="s">
        <v>317</v>
      </c>
      <c r="D564" s="287" t="s">
        <v>245</v>
      </c>
      <c r="E564" s="215" t="s">
        <v>379</v>
      </c>
      <c r="F564" s="216" t="s">
        <v>16</v>
      </c>
      <c r="G564" s="290">
        <v>105.36556371896306</v>
      </c>
      <c r="H564" s="290">
        <v>111.22745383387087</v>
      </c>
      <c r="I564" s="290">
        <v>117.68219109533409</v>
      </c>
      <c r="J564" s="290">
        <v>128.14475563694194</v>
      </c>
      <c r="K564" s="290">
        <v>123.91477189063288</v>
      </c>
      <c r="L564" s="290">
        <v>145.15399628905737</v>
      </c>
      <c r="M564" s="290">
        <v>159.1026754043213</v>
      </c>
      <c r="N564" s="290">
        <v>118.87950957238517</v>
      </c>
      <c r="O564" s="290">
        <v>91.201813346081849</v>
      </c>
      <c r="P564" s="290">
        <v>82.322621364463402</v>
      </c>
      <c r="Q564" s="290">
        <v>83.183503920407489</v>
      </c>
      <c r="R564" s="290">
        <v>88.088428710351124</v>
      </c>
      <c r="S564" s="289">
        <v>1354.2672847828105</v>
      </c>
      <c r="T564" s="291"/>
      <c r="U564" s="222">
        <v>0</v>
      </c>
      <c r="V564" s="229">
        <v>-1</v>
      </c>
    </row>
    <row r="565" spans="1:22" customFormat="1" x14ac:dyDescent="0.25">
      <c r="A565" s="214">
        <v>35</v>
      </c>
      <c r="B565" s="215" t="s">
        <v>335</v>
      </c>
      <c r="C565" s="288" t="s">
        <v>317</v>
      </c>
      <c r="D565" s="287" t="s">
        <v>245</v>
      </c>
      <c r="E565" s="215" t="s">
        <v>348</v>
      </c>
      <c r="F565" s="216" t="s">
        <v>349</v>
      </c>
      <c r="G565" s="290">
        <v>5.3228621654855637</v>
      </c>
      <c r="H565" s="290">
        <v>6.754678449724576</v>
      </c>
      <c r="I565" s="290">
        <v>32.124610108015041</v>
      </c>
      <c r="J565" s="290">
        <v>34.36116841024122</v>
      </c>
      <c r="K565" s="290">
        <v>46.871624453681143</v>
      </c>
      <c r="L565" s="290">
        <v>76.551673514648769</v>
      </c>
      <c r="M565" s="290">
        <v>78.341833906458078</v>
      </c>
      <c r="N565" s="290">
        <v>32.20759027368792</v>
      </c>
      <c r="O565" s="290">
        <v>9.6475450572553285</v>
      </c>
      <c r="P565" s="290">
        <v>4.2583865873032849</v>
      </c>
      <c r="Q565" s="290">
        <v>3.2776862699741649</v>
      </c>
      <c r="R565" s="290">
        <v>3.7413116053805311</v>
      </c>
      <c r="S565" s="289">
        <v>333.46097080185558</v>
      </c>
      <c r="T565" s="291"/>
      <c r="U565" s="222">
        <v>0</v>
      </c>
      <c r="V565" s="229">
        <v>1</v>
      </c>
    </row>
    <row r="566" spans="1:22" customFormat="1" x14ac:dyDescent="0.25">
      <c r="A566" s="214">
        <v>35</v>
      </c>
      <c r="B566" s="215" t="s">
        <v>351</v>
      </c>
      <c r="C566" s="288" t="s">
        <v>317</v>
      </c>
      <c r="D566" s="287" t="s">
        <v>245</v>
      </c>
      <c r="E566" s="215" t="s">
        <v>380</v>
      </c>
      <c r="F566" s="216" t="s">
        <v>381</v>
      </c>
      <c r="G566" s="290">
        <v>113.554284564344</v>
      </c>
      <c r="H566" s="290">
        <v>142.3842881409609</v>
      </c>
      <c r="I566" s="290">
        <v>193.92476535479662</v>
      </c>
      <c r="J566" s="290">
        <v>207.20431935010109</v>
      </c>
      <c r="K566" s="290">
        <v>227.87185153204481</v>
      </c>
      <c r="L566" s="290">
        <v>333.14732869906362</v>
      </c>
      <c r="M566" s="290">
        <v>376.42083681045341</v>
      </c>
      <c r="N566" s="290">
        <v>225.78335940048251</v>
      </c>
      <c r="O566" s="290">
        <v>99.822008312073038</v>
      </c>
      <c r="P566" s="290">
        <v>55.791748951164323</v>
      </c>
      <c r="Q566" s="290">
        <v>53.997111951749616</v>
      </c>
      <c r="R566" s="290">
        <v>84.405305380623787</v>
      </c>
      <c r="S566" s="289">
        <v>2114.3072084478576</v>
      </c>
      <c r="T566" s="291"/>
      <c r="U566" s="229">
        <v>1</v>
      </c>
      <c r="V566" s="222">
        <v>0</v>
      </c>
    </row>
    <row r="567" spans="1:22" customFormat="1" x14ac:dyDescent="0.25">
      <c r="A567" s="214">
        <v>35</v>
      </c>
      <c r="B567" s="215" t="s">
        <v>351</v>
      </c>
      <c r="C567" s="288" t="s">
        <v>317</v>
      </c>
      <c r="D567" s="287" t="s">
        <v>245</v>
      </c>
      <c r="E567" s="215" t="s">
        <v>382</v>
      </c>
      <c r="F567" s="216" t="s">
        <v>383</v>
      </c>
      <c r="G567" s="290">
        <v>112.76426818259235</v>
      </c>
      <c r="H567" s="290">
        <v>118.6868444260861</v>
      </c>
      <c r="I567" s="290">
        <v>165.0885666585695</v>
      </c>
      <c r="J567" s="290">
        <v>188.52557419427472</v>
      </c>
      <c r="K567" s="290">
        <v>216.20099665523884</v>
      </c>
      <c r="L567" s="290">
        <v>311.85084244762299</v>
      </c>
      <c r="M567" s="290">
        <v>379.72651897045876</v>
      </c>
      <c r="N567" s="290">
        <v>233.52111215323924</v>
      </c>
      <c r="O567" s="290">
        <v>124.5459510180719</v>
      </c>
      <c r="P567" s="290">
        <v>110.13757585594365</v>
      </c>
      <c r="Q567" s="290">
        <v>110.2036961945529</v>
      </c>
      <c r="R567" s="290">
        <v>106.78368485704684</v>
      </c>
      <c r="S567" s="289">
        <v>2178.0356316136981</v>
      </c>
      <c r="T567" s="291"/>
      <c r="U567" s="222">
        <v>0</v>
      </c>
      <c r="V567" s="222">
        <v>0</v>
      </c>
    </row>
    <row r="568" spans="1:22" customFormat="1" x14ac:dyDescent="0.25">
      <c r="A568" s="214">
        <v>35</v>
      </c>
      <c r="B568" s="215" t="s">
        <v>351</v>
      </c>
      <c r="C568" s="288" t="s">
        <v>317</v>
      </c>
      <c r="D568" s="287" t="s">
        <v>245</v>
      </c>
      <c r="E568" s="215" t="s">
        <v>384</v>
      </c>
      <c r="F568" s="216" t="s">
        <v>385</v>
      </c>
      <c r="G568" s="290">
        <v>114.65513270184013</v>
      </c>
      <c r="H568" s="290">
        <v>117.97020475773846</v>
      </c>
      <c r="I568" s="290">
        <v>159.03698207340014</v>
      </c>
      <c r="J568" s="290">
        <v>180.47792365812202</v>
      </c>
      <c r="K568" s="290">
        <v>213.42535275211534</v>
      </c>
      <c r="L568" s="290">
        <v>305.5741083817291</v>
      </c>
      <c r="M568" s="290">
        <v>376.07671731055621</v>
      </c>
      <c r="N568" s="290">
        <v>233.08890949811584</v>
      </c>
      <c r="O568" s="290">
        <v>124.98919304315747</v>
      </c>
      <c r="P568" s="290">
        <v>113.20178689091311</v>
      </c>
      <c r="Q568" s="290">
        <v>113.51461088850883</v>
      </c>
      <c r="R568" s="290">
        <v>110.14859500629024</v>
      </c>
      <c r="S568" s="289">
        <v>2162.393506072543</v>
      </c>
      <c r="T568" s="291"/>
      <c r="U568" s="222">
        <v>0</v>
      </c>
      <c r="V568" s="229">
        <v>-1</v>
      </c>
    </row>
    <row r="569" spans="1:22" customFormat="1" x14ac:dyDescent="0.25">
      <c r="A569" s="214">
        <v>35</v>
      </c>
      <c r="B569" s="215" t="s">
        <v>351</v>
      </c>
      <c r="C569" s="383" t="s">
        <v>317</v>
      </c>
      <c r="D569" s="287" t="s">
        <v>245</v>
      </c>
      <c r="E569" s="215" t="s">
        <v>386</v>
      </c>
      <c r="F569" s="216" t="s">
        <v>387</v>
      </c>
      <c r="G569" s="342">
        <v>162.78283070846027</v>
      </c>
      <c r="H569" s="342">
        <v>185.36988389554381</v>
      </c>
      <c r="I569" s="342">
        <v>227.02453409773685</v>
      </c>
      <c r="J569" s="342">
        <v>282.5703052799048</v>
      </c>
      <c r="K569" s="342">
        <v>250.68184508105932</v>
      </c>
      <c r="L569" s="342">
        <v>263.91120673119809</v>
      </c>
      <c r="M569" s="342">
        <v>273.1490707282336</v>
      </c>
      <c r="N569" s="342">
        <v>173.67036093276664</v>
      </c>
      <c r="O569" s="342">
        <v>131.48336290175556</v>
      </c>
      <c r="P569" s="342">
        <v>170.85678699360409</v>
      </c>
      <c r="Q569" s="342">
        <v>166.86486822005799</v>
      </c>
      <c r="R569" s="342">
        <v>160.57069589654927</v>
      </c>
      <c r="S569" s="341">
        <v>2448.93575146687</v>
      </c>
      <c r="T569" s="384"/>
      <c r="U569" s="222">
        <v>0</v>
      </c>
      <c r="V569" s="229">
        <v>1</v>
      </c>
    </row>
    <row r="570" spans="1:22" customFormat="1" x14ac:dyDescent="0.25">
      <c r="A570" s="214">
        <v>35</v>
      </c>
      <c r="B570" s="215" t="s">
        <v>389</v>
      </c>
      <c r="C570" s="383" t="s">
        <v>317</v>
      </c>
      <c r="D570" s="287" t="s">
        <v>245</v>
      </c>
      <c r="E570" s="215" t="s">
        <v>388</v>
      </c>
      <c r="F570" s="216" t="s">
        <v>112</v>
      </c>
      <c r="G570" s="342">
        <v>14.873059469327115</v>
      </c>
      <c r="H570" s="342">
        <v>22.946168782003426</v>
      </c>
      <c r="I570" s="342">
        <v>48.404137031741037</v>
      </c>
      <c r="J570" s="342">
        <v>55.638421037827896</v>
      </c>
      <c r="K570" s="342">
        <v>67.658005615442406</v>
      </c>
      <c r="L570" s="342">
        <v>92.295418841619707</v>
      </c>
      <c r="M570" s="342">
        <v>98.593329642144269</v>
      </c>
      <c r="N570" s="342">
        <v>69.530170597748878</v>
      </c>
      <c r="O570" s="342">
        <v>33.034045228244679</v>
      </c>
      <c r="P570" s="290">
        <v>11.49709142269036</v>
      </c>
      <c r="Q570" s="290">
        <v>7.0199605328356078</v>
      </c>
      <c r="R570" s="290">
        <v>6.8220132976069792</v>
      </c>
      <c r="S570" s="341">
        <v>528.31182149923245</v>
      </c>
      <c r="T570" s="291"/>
      <c r="U570" s="229">
        <v>1</v>
      </c>
      <c r="V570" s="222">
        <v>0</v>
      </c>
    </row>
    <row r="571" spans="1:22" customFormat="1" x14ac:dyDescent="0.25">
      <c r="A571" s="214">
        <v>35</v>
      </c>
      <c r="B571" s="215" t="s">
        <v>351</v>
      </c>
      <c r="C571" s="288" t="s">
        <v>317</v>
      </c>
      <c r="D571" s="287" t="s">
        <v>245</v>
      </c>
      <c r="E571" s="215" t="s">
        <v>390</v>
      </c>
      <c r="F571" s="216" t="s">
        <v>391</v>
      </c>
      <c r="G571" s="290">
        <v>177.5083509695838</v>
      </c>
      <c r="H571" s="290">
        <v>208.15246963380918</v>
      </c>
      <c r="I571" s="290">
        <v>275.05489661959496</v>
      </c>
      <c r="J571" s="290">
        <v>337.67098985716359</v>
      </c>
      <c r="K571" s="290">
        <v>317.85510100004245</v>
      </c>
      <c r="L571" s="290">
        <v>355.44576179097953</v>
      </c>
      <c r="M571" s="290">
        <v>371.00779189989527</v>
      </c>
      <c r="N571" s="290">
        <v>242.70937745762276</v>
      </c>
      <c r="O571" s="290">
        <v>156.32692655804354</v>
      </c>
      <c r="P571" s="290">
        <v>167.06067109543386</v>
      </c>
      <c r="Q571" s="290">
        <v>161.23410059376724</v>
      </c>
      <c r="R571" s="290">
        <v>163.49284738097259</v>
      </c>
      <c r="S571" s="289">
        <v>2933.5192848569091</v>
      </c>
      <c r="T571" s="291"/>
      <c r="U571" s="222">
        <v>0</v>
      </c>
      <c r="V571" s="229">
        <v>-1</v>
      </c>
    </row>
    <row r="572" spans="1:22" customFormat="1" x14ac:dyDescent="0.25">
      <c r="A572" s="214">
        <v>35</v>
      </c>
      <c r="B572" s="215" t="s">
        <v>393</v>
      </c>
      <c r="C572" s="288" t="s">
        <v>317</v>
      </c>
      <c r="D572" s="287" t="s">
        <v>245</v>
      </c>
      <c r="E572" s="215" t="s">
        <v>392</v>
      </c>
      <c r="F572" s="216" t="s">
        <v>394</v>
      </c>
      <c r="G572" s="290">
        <v>267.79628637353176</v>
      </c>
      <c r="H572" s="290">
        <v>325.51188961847919</v>
      </c>
      <c r="I572" s="290">
        <v>480.26042827643806</v>
      </c>
      <c r="J572" s="290">
        <v>585.78883188465306</v>
      </c>
      <c r="K572" s="290">
        <v>576.0395753688548</v>
      </c>
      <c r="L572" s="290">
        <v>673.05992694471377</v>
      </c>
      <c r="M572" s="290">
        <v>641.18841505772684</v>
      </c>
      <c r="N572" s="290">
        <v>411.26934214651681</v>
      </c>
      <c r="O572" s="290">
        <v>265.38234310491163</v>
      </c>
      <c r="P572" s="290">
        <v>260.22273664788094</v>
      </c>
      <c r="Q572" s="290">
        <v>233.81595990800773</v>
      </c>
      <c r="R572" s="290">
        <v>228.15373201433511</v>
      </c>
      <c r="S572" s="289">
        <v>4948.4894673460503</v>
      </c>
      <c r="T572" s="291"/>
      <c r="U572" s="222">
        <v>0</v>
      </c>
      <c r="V572" s="229">
        <v>1</v>
      </c>
    </row>
    <row r="573" spans="1:22" customFormat="1" x14ac:dyDescent="0.25">
      <c r="A573" s="214">
        <v>22</v>
      </c>
      <c r="B573" s="215" t="s">
        <v>247</v>
      </c>
      <c r="C573" s="261" t="s">
        <v>292</v>
      </c>
      <c r="D573" s="260" t="s">
        <v>291</v>
      </c>
      <c r="E573" s="215" t="s">
        <v>246</v>
      </c>
      <c r="F573" s="216" t="s">
        <v>248</v>
      </c>
      <c r="G573" s="263">
        <v>0.89349051198319129</v>
      </c>
      <c r="H573" s="263">
        <v>0.80414146078487225</v>
      </c>
      <c r="I573" s="263">
        <v>0.7147924095865531</v>
      </c>
      <c r="J573" s="263">
        <v>0.72572693485121587</v>
      </c>
      <c r="K573" s="263">
        <v>0.77108486827941669</v>
      </c>
      <c r="L573" s="263">
        <v>0.81644280170761752</v>
      </c>
      <c r="M573" s="263">
        <v>0.86180073513581879</v>
      </c>
      <c r="N573" s="263">
        <v>0.95251660199222066</v>
      </c>
      <c r="O573" s="263">
        <v>1.1339483357050246</v>
      </c>
      <c r="P573" s="263">
        <v>1.0432324688486225</v>
      </c>
      <c r="Q573" s="263">
        <v>1.0885904022768236</v>
      </c>
      <c r="R573" s="263">
        <v>1.0432324688486225</v>
      </c>
      <c r="S573" s="262">
        <v>10.849</v>
      </c>
      <c r="T573" s="264"/>
      <c r="U573" s="222">
        <v>0</v>
      </c>
      <c r="V573" s="222">
        <v>0</v>
      </c>
    </row>
    <row r="574" spans="1:22" customFormat="1" x14ac:dyDescent="0.25">
      <c r="A574" s="214">
        <v>22</v>
      </c>
      <c r="B574" s="215" t="s">
        <v>332</v>
      </c>
      <c r="C574" s="261" t="s">
        <v>292</v>
      </c>
      <c r="D574" s="260" t="s">
        <v>291</v>
      </c>
      <c r="E574" s="215" t="s">
        <v>331</v>
      </c>
      <c r="F574" s="216" t="s">
        <v>333</v>
      </c>
      <c r="G574" s="263">
        <v>1.7679153908643355</v>
      </c>
      <c r="H574" s="263">
        <v>1.5911238517779021</v>
      </c>
      <c r="I574" s="263">
        <v>1.4143323126914684</v>
      </c>
      <c r="J574" s="263">
        <v>1.4359680382508642</v>
      </c>
      <c r="K574" s="263">
        <v>1.5257160406415429</v>
      </c>
      <c r="L574" s="263">
        <v>1.6154640430322216</v>
      </c>
      <c r="M574" s="263">
        <v>1.7052120454229007</v>
      </c>
      <c r="N574" s="263">
        <v>1.8847080502042588</v>
      </c>
      <c r="O574" s="263">
        <v>2.2437000597669745</v>
      </c>
      <c r="P574" s="263">
        <v>2.0642040549856167</v>
      </c>
      <c r="Q574" s="263">
        <v>2.153952057376296</v>
      </c>
      <c r="R574" s="263">
        <v>2.0642040549856167</v>
      </c>
      <c r="S574" s="262">
        <v>21.4665</v>
      </c>
      <c r="T574" s="264"/>
      <c r="U574" s="222">
        <v>0</v>
      </c>
      <c r="V574" s="222">
        <v>0</v>
      </c>
    </row>
    <row r="575" spans="1:22" customFormat="1" x14ac:dyDescent="0.25">
      <c r="A575" s="214">
        <v>22</v>
      </c>
      <c r="B575" s="215" t="s">
        <v>335</v>
      </c>
      <c r="C575" s="261" t="s">
        <v>292</v>
      </c>
      <c r="D575" s="260" t="s">
        <v>291</v>
      </c>
      <c r="E575" s="215" t="s">
        <v>334</v>
      </c>
      <c r="F575" s="216" t="s">
        <v>336</v>
      </c>
      <c r="G575" s="263">
        <v>8.8102049255245003</v>
      </c>
      <c r="H575" s="263">
        <v>7.933574114161428</v>
      </c>
      <c r="I575" s="263">
        <v>8.4065750526701546</v>
      </c>
      <c r="J575" s="263">
        <v>8.4100039098146802</v>
      </c>
      <c r="K575" s="263">
        <v>8.823966262062056</v>
      </c>
      <c r="L575" s="263">
        <v>10.556450729831985</v>
      </c>
      <c r="M575" s="263">
        <v>9.3206390584688386</v>
      </c>
      <c r="N575" s="263">
        <v>10.143785560506062</v>
      </c>
      <c r="O575" s="263">
        <v>10.499412536250496</v>
      </c>
      <c r="P575" s="263">
        <v>10.642848825430253</v>
      </c>
      <c r="Q575" s="263">
        <v>10.840158551003785</v>
      </c>
      <c r="R575" s="263">
        <v>9.8336017447651134</v>
      </c>
      <c r="S575" s="262">
        <v>114.22122127048935</v>
      </c>
      <c r="T575" s="264"/>
      <c r="U575" s="222">
        <v>0</v>
      </c>
      <c r="V575" s="229">
        <v>1</v>
      </c>
    </row>
    <row r="576" spans="1:22" customFormat="1" x14ac:dyDescent="0.25">
      <c r="A576" s="214">
        <v>22</v>
      </c>
      <c r="B576" s="215" t="s">
        <v>351</v>
      </c>
      <c r="C576" s="261" t="s">
        <v>292</v>
      </c>
      <c r="D576" s="260" t="s">
        <v>291</v>
      </c>
      <c r="E576" s="215" t="s">
        <v>350</v>
      </c>
      <c r="F576" s="216" t="s">
        <v>352</v>
      </c>
      <c r="G576" s="263">
        <v>0</v>
      </c>
      <c r="H576" s="263">
        <v>0</v>
      </c>
      <c r="I576" s="263">
        <v>0</v>
      </c>
      <c r="J576" s="263">
        <v>0</v>
      </c>
      <c r="K576" s="263">
        <v>0</v>
      </c>
      <c r="L576" s="263">
        <v>0</v>
      </c>
      <c r="M576" s="263">
        <v>0</v>
      </c>
      <c r="N576" s="263">
        <v>0</v>
      </c>
      <c r="O576" s="263">
        <v>0</v>
      </c>
      <c r="P576" s="263">
        <v>0</v>
      </c>
      <c r="Q576" s="263">
        <v>0</v>
      </c>
      <c r="R576" s="263">
        <v>0</v>
      </c>
      <c r="S576" s="262">
        <v>0</v>
      </c>
      <c r="T576" s="264"/>
      <c r="U576" s="222">
        <v>0</v>
      </c>
      <c r="V576" s="222">
        <v>0</v>
      </c>
    </row>
    <row r="577" spans="1:22" customFormat="1" x14ac:dyDescent="0.25">
      <c r="A577" s="214">
        <v>22</v>
      </c>
      <c r="B577" s="215" t="s">
        <v>351</v>
      </c>
      <c r="C577" s="261" t="s">
        <v>292</v>
      </c>
      <c r="D577" s="260" t="s">
        <v>291</v>
      </c>
      <c r="E577" s="215" t="s">
        <v>379</v>
      </c>
      <c r="F577" s="216" t="s">
        <v>16</v>
      </c>
      <c r="G577" s="263">
        <v>0</v>
      </c>
      <c r="H577" s="263">
        <v>0</v>
      </c>
      <c r="I577" s="263">
        <v>0</v>
      </c>
      <c r="J577" s="263">
        <v>0</v>
      </c>
      <c r="K577" s="263">
        <v>0</v>
      </c>
      <c r="L577" s="263">
        <v>0</v>
      </c>
      <c r="M577" s="263">
        <v>0</v>
      </c>
      <c r="N577" s="263">
        <v>0</v>
      </c>
      <c r="O577" s="263">
        <v>0</v>
      </c>
      <c r="P577" s="263">
        <v>0</v>
      </c>
      <c r="Q577" s="263">
        <v>0</v>
      </c>
      <c r="R577" s="263">
        <v>0</v>
      </c>
      <c r="S577" s="262">
        <v>0</v>
      </c>
      <c r="T577" s="264"/>
      <c r="U577" s="222">
        <v>0</v>
      </c>
      <c r="V577" s="222">
        <v>0</v>
      </c>
    </row>
    <row r="578" spans="1:22" customFormat="1" x14ac:dyDescent="0.25">
      <c r="A578" s="214">
        <v>22</v>
      </c>
      <c r="B578" s="215" t="s">
        <v>335</v>
      </c>
      <c r="C578" s="261" t="s">
        <v>292</v>
      </c>
      <c r="D578" s="260" t="s">
        <v>291</v>
      </c>
      <c r="E578" s="215" t="s">
        <v>348</v>
      </c>
      <c r="F578" s="216" t="s">
        <v>349</v>
      </c>
      <c r="G578" s="263">
        <v>0.2224872908215127</v>
      </c>
      <c r="H578" s="263">
        <v>0.20023856173936141</v>
      </c>
      <c r="I578" s="263">
        <v>0.17798983265721013</v>
      </c>
      <c r="J578" s="263">
        <v>0.18071262922855191</v>
      </c>
      <c r="K578" s="263">
        <v>0.19200716855533634</v>
      </c>
      <c r="L578" s="263">
        <v>0.20330170788212082</v>
      </c>
      <c r="M578" s="263">
        <v>0.21459624720890533</v>
      </c>
      <c r="N578" s="263">
        <v>0.23718532586247432</v>
      </c>
      <c r="O578" s="263">
        <v>0.28236348316961224</v>
      </c>
      <c r="P578" s="263">
        <v>0.25977440451604328</v>
      </c>
      <c r="Q578" s="263">
        <v>0.27106894384282781</v>
      </c>
      <c r="R578" s="263">
        <v>0.25977440451604328</v>
      </c>
      <c r="S578" s="262">
        <v>2.7014999999999998</v>
      </c>
      <c r="T578" s="264"/>
      <c r="U578" s="229">
        <v>1</v>
      </c>
      <c r="V578" s="222">
        <v>0</v>
      </c>
    </row>
    <row r="579" spans="1:22" customFormat="1" x14ac:dyDescent="0.25">
      <c r="A579" s="214">
        <v>22</v>
      </c>
      <c r="B579" s="215" t="s">
        <v>351</v>
      </c>
      <c r="C579" s="261" t="s">
        <v>292</v>
      </c>
      <c r="D579" s="260" t="s">
        <v>291</v>
      </c>
      <c r="E579" s="215" t="s">
        <v>380</v>
      </c>
      <c r="F579" s="216" t="s">
        <v>381</v>
      </c>
      <c r="G579" s="263">
        <v>5.8523782562385643E-3</v>
      </c>
      <c r="H579" s="263">
        <v>5.267140430614708E-3</v>
      </c>
      <c r="I579" s="263">
        <v>4.6819026049908516E-3</v>
      </c>
      <c r="J579" s="263">
        <v>4.7338772047268857E-3</v>
      </c>
      <c r="K579" s="263">
        <v>5.029744530022316E-3</v>
      </c>
      <c r="L579" s="263">
        <v>5.3256118553177464E-3</v>
      </c>
      <c r="M579" s="263">
        <v>5.6214791806131759E-3</v>
      </c>
      <c r="N579" s="263">
        <v>6.2132138312040383E-3</v>
      </c>
      <c r="O579" s="263">
        <v>6.8049484817948973E-3</v>
      </c>
      <c r="P579" s="263">
        <v>7.1008158070903285E-3</v>
      </c>
      <c r="Q579" s="263">
        <v>7.3966831323857589E-3</v>
      </c>
      <c r="R579" s="263">
        <v>6.8049484817948973E-3</v>
      </c>
      <c r="S579" s="262">
        <v>7.0832743796794162E-2</v>
      </c>
      <c r="T579" s="264"/>
      <c r="U579" s="222">
        <v>0</v>
      </c>
      <c r="V579" s="222">
        <v>0</v>
      </c>
    </row>
    <row r="580" spans="1:22" customFormat="1" x14ac:dyDescent="0.25">
      <c r="A580" s="214">
        <v>22</v>
      </c>
      <c r="B580" s="215" t="s">
        <v>351</v>
      </c>
      <c r="C580" s="261" t="s">
        <v>292</v>
      </c>
      <c r="D580" s="260" t="s">
        <v>291</v>
      </c>
      <c r="E580" s="215" t="s">
        <v>382</v>
      </c>
      <c r="F580" s="216" t="s">
        <v>383</v>
      </c>
      <c r="G580" s="263">
        <v>4.5028626101350423E-2</v>
      </c>
      <c r="H580" s="263">
        <v>4.052576349121538E-2</v>
      </c>
      <c r="I580" s="263">
        <v>3.6022900881080337E-2</v>
      </c>
      <c r="J580" s="263">
        <v>3.6507292386264559E-2</v>
      </c>
      <c r="K580" s="263">
        <v>3.8788998160406096E-2</v>
      </c>
      <c r="L580" s="263">
        <v>4.1070703934547634E-2</v>
      </c>
      <c r="M580" s="263">
        <v>4.3352409708689164E-2</v>
      </c>
      <c r="N580" s="263">
        <v>4.7915821256972239E-2</v>
      </c>
      <c r="O580" s="263">
        <v>5.2479232805255308E-2</v>
      </c>
      <c r="P580" s="263">
        <v>5.4760938579396845E-2</v>
      </c>
      <c r="Q580" s="263">
        <v>5.7042644353538376E-2</v>
      </c>
      <c r="R580" s="263">
        <v>5.2479232805255308E-2</v>
      </c>
      <c r="S580" s="262">
        <v>0.54597456446397175</v>
      </c>
      <c r="T580" s="264"/>
      <c r="U580" s="222">
        <v>0</v>
      </c>
      <c r="V580" s="222">
        <v>0</v>
      </c>
    </row>
    <row r="581" spans="1:22" customFormat="1" x14ac:dyDescent="0.25">
      <c r="A581" s="214">
        <v>22</v>
      </c>
      <c r="B581" s="215" t="s">
        <v>351</v>
      </c>
      <c r="C581" s="261" t="s">
        <v>292</v>
      </c>
      <c r="D581" s="260" t="s">
        <v>291</v>
      </c>
      <c r="E581" s="215" t="s">
        <v>384</v>
      </c>
      <c r="F581" s="216" t="s">
        <v>385</v>
      </c>
      <c r="G581" s="263">
        <v>1.9297982614864467E-2</v>
      </c>
      <c r="H581" s="263">
        <v>1.736818435337802E-2</v>
      </c>
      <c r="I581" s="263">
        <v>1.5438386091891574E-2</v>
      </c>
      <c r="J581" s="263">
        <v>1.564598245125624E-2</v>
      </c>
      <c r="K581" s="263">
        <v>1.6623856354459756E-2</v>
      </c>
      <c r="L581" s="263">
        <v>1.7601730257663272E-2</v>
      </c>
      <c r="M581" s="263">
        <v>1.8579604160866785E-2</v>
      </c>
      <c r="N581" s="263">
        <v>2.0535351967273817E-2</v>
      </c>
      <c r="O581" s="263">
        <v>2.2491099773680846E-2</v>
      </c>
      <c r="P581" s="263">
        <v>2.3468973676884362E-2</v>
      </c>
      <c r="Q581" s="263">
        <v>2.4446847580087874E-2</v>
      </c>
      <c r="R581" s="263">
        <v>2.2491099773680846E-2</v>
      </c>
      <c r="S581" s="262">
        <v>0</v>
      </c>
      <c r="T581" s="264"/>
      <c r="U581" s="222">
        <v>0</v>
      </c>
      <c r="V581" s="222">
        <v>0</v>
      </c>
    </row>
    <row r="582" spans="1:22" customFormat="1" x14ac:dyDescent="0.25">
      <c r="A582" s="214">
        <v>22</v>
      </c>
      <c r="B582" s="215" t="s">
        <v>351</v>
      </c>
      <c r="C582" s="363" t="s">
        <v>292</v>
      </c>
      <c r="D582" s="260" t="s">
        <v>291</v>
      </c>
      <c r="E582" s="215" t="s">
        <v>386</v>
      </c>
      <c r="F582" s="216" t="s">
        <v>387</v>
      </c>
      <c r="G582" s="365">
        <v>0.50622709142351274</v>
      </c>
      <c r="H582" s="365">
        <v>0.35742779715163847</v>
      </c>
      <c r="I582" s="365">
        <v>0.30946700835346225</v>
      </c>
      <c r="J582" s="365">
        <v>0.31528623170508002</v>
      </c>
      <c r="K582" s="365">
        <v>0.3402200751972036</v>
      </c>
      <c r="L582" s="365">
        <v>0.36546892988488383</v>
      </c>
      <c r="M582" s="365">
        <v>0.39903284409320566</v>
      </c>
      <c r="N582" s="365">
        <v>0.46837656611350614</v>
      </c>
      <c r="O582" s="365">
        <v>0.53731407596050207</v>
      </c>
      <c r="P582" s="365">
        <v>0.57256681863705994</v>
      </c>
      <c r="Q582" s="365">
        <v>0.6050519070166176</v>
      </c>
      <c r="R582" s="365">
        <v>0.70951933083219199</v>
      </c>
      <c r="S582" s="364">
        <v>5.485958676368865</v>
      </c>
      <c r="T582" s="366"/>
      <c r="U582" s="229">
        <v>1</v>
      </c>
      <c r="V582" s="222">
        <v>-1</v>
      </c>
    </row>
    <row r="583" spans="1:22" customFormat="1" x14ac:dyDescent="0.25">
      <c r="A583" s="214">
        <v>22</v>
      </c>
      <c r="B583" s="215" t="s">
        <v>389</v>
      </c>
      <c r="C583" s="363" t="s">
        <v>292</v>
      </c>
      <c r="D583" s="260" t="s">
        <v>291</v>
      </c>
      <c r="E583" s="215" t="s">
        <v>388</v>
      </c>
      <c r="F583" s="216" t="s">
        <v>112</v>
      </c>
      <c r="G583" s="365">
        <v>0.42148820724010128</v>
      </c>
      <c r="H583" s="365">
        <v>0.37933938651609117</v>
      </c>
      <c r="I583" s="365">
        <v>0.33719056579208101</v>
      </c>
      <c r="J583" s="365">
        <v>0.33719056579208107</v>
      </c>
      <c r="K583" s="365">
        <v>0.35826497615408615</v>
      </c>
      <c r="L583" s="365">
        <v>0.37933938651609117</v>
      </c>
      <c r="M583" s="365">
        <v>0.40041379687809625</v>
      </c>
      <c r="N583" s="365">
        <v>0.44256261760210636</v>
      </c>
      <c r="O583" s="365">
        <v>0.48471143832611641</v>
      </c>
      <c r="P583" s="263">
        <v>0.50578584868812149</v>
      </c>
      <c r="Q583" s="263">
        <v>0.52686025905012668</v>
      </c>
      <c r="R583" s="263">
        <v>0.48471143832611641</v>
      </c>
      <c r="S583" s="364">
        <v>5.0578584868812158</v>
      </c>
      <c r="T583" s="264"/>
      <c r="U583" s="222">
        <v>0</v>
      </c>
      <c r="V583" s="222">
        <v>0</v>
      </c>
    </row>
    <row r="584" spans="1:22" customFormat="1" x14ac:dyDescent="0.25">
      <c r="A584" s="214">
        <v>22</v>
      </c>
      <c r="B584" s="215" t="s">
        <v>351</v>
      </c>
      <c r="C584" s="261" t="s">
        <v>292</v>
      </c>
      <c r="D584" s="260" t="s">
        <v>291</v>
      </c>
      <c r="E584" s="215" t="s">
        <v>390</v>
      </c>
      <c r="F584" s="216" t="s">
        <v>391</v>
      </c>
      <c r="G584" s="263">
        <v>7.5986599465361848E-2</v>
      </c>
      <c r="H584" s="263">
        <v>6.8501098497031773E-2</v>
      </c>
      <c r="I584" s="263">
        <v>5.9621671385621897E-2</v>
      </c>
      <c r="J584" s="263">
        <v>6.0909217112497471E-2</v>
      </c>
      <c r="K584" s="263">
        <v>6.4752430114128193E-2</v>
      </c>
      <c r="L584" s="263">
        <v>6.8595643115758928E-2</v>
      </c>
      <c r="M584" s="263">
        <v>7.1856665203795453E-2</v>
      </c>
      <c r="N584" s="263">
        <v>7.9543091207056923E-2</v>
      </c>
      <c r="O584" s="263">
        <v>8.7811708123912563E-2</v>
      </c>
      <c r="P584" s="263">
        <v>9.1654921125543298E-2</v>
      </c>
      <c r="Q584" s="263">
        <v>9.7244706867956623E-2</v>
      </c>
      <c r="R584" s="263">
        <v>0.43913892551601424</v>
      </c>
      <c r="S584" s="262">
        <v>0.60438574558553737</v>
      </c>
      <c r="T584" s="264"/>
      <c r="U584" s="222">
        <v>0</v>
      </c>
      <c r="V584" s="222">
        <v>0</v>
      </c>
    </row>
    <row r="585" spans="1:22" customFormat="1" x14ac:dyDescent="0.25">
      <c r="A585" s="214">
        <v>22</v>
      </c>
      <c r="B585" s="215" t="s">
        <v>393</v>
      </c>
      <c r="C585" s="261" t="s">
        <v>292</v>
      </c>
      <c r="D585" s="260" t="s">
        <v>291</v>
      </c>
      <c r="E585" s="215" t="s">
        <v>392</v>
      </c>
      <c r="F585" s="216" t="s">
        <v>394</v>
      </c>
      <c r="G585" s="263">
        <v>0.13889748152203668</v>
      </c>
      <c r="H585" s="263">
        <v>0.12099470394009981</v>
      </c>
      <c r="I585" s="263">
        <v>0.11113587621164725</v>
      </c>
      <c r="J585" s="263">
        <v>0.11113587621164725</v>
      </c>
      <c r="K585" s="263">
        <v>0.10665459088053245</v>
      </c>
      <c r="L585" s="263">
        <v>0.12502786073810315</v>
      </c>
      <c r="M585" s="263">
        <v>0.12771663193677202</v>
      </c>
      <c r="N585" s="263">
        <v>0.14586583752778701</v>
      </c>
      <c r="O585" s="263">
        <v>0.15460434392346084</v>
      </c>
      <c r="P585" s="263">
        <v>0.16670381431747089</v>
      </c>
      <c r="Q585" s="263">
        <v>0.17364980658069884</v>
      </c>
      <c r="R585" s="263">
        <v>0.15460434392346084</v>
      </c>
      <c r="S585" s="262">
        <v>1.6367500000000001</v>
      </c>
      <c r="T585" s="264"/>
      <c r="U585" s="222">
        <v>0</v>
      </c>
      <c r="V585" s="222">
        <v>0</v>
      </c>
    </row>
    <row r="586" spans="1:22" customFormat="1" x14ac:dyDescent="0.25">
      <c r="A586" s="214">
        <v>24</v>
      </c>
      <c r="B586" s="215" t="s">
        <v>247</v>
      </c>
      <c r="C586" s="261" t="s">
        <v>296</v>
      </c>
      <c r="D586" s="260" t="s">
        <v>295</v>
      </c>
      <c r="E586" s="215" t="s">
        <v>246</v>
      </c>
      <c r="F586" s="216" t="s">
        <v>248</v>
      </c>
      <c r="G586" s="263">
        <v>-1.2844166666666665</v>
      </c>
      <c r="H586" s="263">
        <v>-1.2844166666666665</v>
      </c>
      <c r="I586" s="263">
        <v>-1.2844166666666665</v>
      </c>
      <c r="J586" s="263">
        <v>-1.2844166666666665</v>
      </c>
      <c r="K586" s="263">
        <v>-1.2844166666666665</v>
      </c>
      <c r="L586" s="263">
        <v>-1.2844166666666665</v>
      </c>
      <c r="M586" s="263">
        <v>-1.2844166666666665</v>
      </c>
      <c r="N586" s="263">
        <v>-1.2844166666666665</v>
      </c>
      <c r="O586" s="263">
        <v>-1.2844166666666665</v>
      </c>
      <c r="P586" s="263">
        <v>-1.2844166666666665</v>
      </c>
      <c r="Q586" s="263">
        <v>-1.2844166666666665</v>
      </c>
      <c r="R586" s="263">
        <v>-1.2844166666666665</v>
      </c>
      <c r="S586" s="409">
        <v>-15.413</v>
      </c>
      <c r="T586" s="264"/>
      <c r="U586" s="222">
        <v>0</v>
      </c>
      <c r="V586" s="222">
        <v>1</v>
      </c>
    </row>
    <row r="587" spans="1:22" x14ac:dyDescent="0.25">
      <c r="A587" s="214">
        <v>24</v>
      </c>
      <c r="B587" s="215" t="s">
        <v>332</v>
      </c>
      <c r="C587" s="261" t="s">
        <v>296</v>
      </c>
      <c r="D587" s="260" t="s">
        <v>295</v>
      </c>
      <c r="E587" s="215" t="s">
        <v>331</v>
      </c>
      <c r="F587" s="216" t="s">
        <v>333</v>
      </c>
      <c r="G587" s="263">
        <v>1.4194808362848201</v>
      </c>
      <c r="H587" s="263">
        <v>1.2795077526563383</v>
      </c>
      <c r="I587" s="263">
        <v>1.1395346690278565</v>
      </c>
      <c r="J587" s="263">
        <v>1.1650694474492174</v>
      </c>
      <c r="K587" s="263">
        <v>1.2366519129147935</v>
      </c>
      <c r="L587" s="263">
        <v>1.3082343783803696</v>
      </c>
      <c r="M587" s="263">
        <v>1.3798168438459457</v>
      </c>
      <c r="N587" s="263">
        <v>1.5219917650640056</v>
      </c>
      <c r="O587" s="263">
        <v>1.8040854346000064</v>
      </c>
      <c r="P587" s="263">
        <v>1.6630385998320059</v>
      </c>
      <c r="Q587" s="263">
        <v>1.7335620172160058</v>
      </c>
      <c r="R587" s="263">
        <v>1.6630385998320059</v>
      </c>
      <c r="S587" s="262">
        <v>17.314012257103371</v>
      </c>
      <c r="T587" s="264"/>
      <c r="U587" s="222">
        <v>0</v>
      </c>
      <c r="V587" s="222">
        <v>1</v>
      </c>
    </row>
    <row r="588" spans="1:22" x14ac:dyDescent="0.25">
      <c r="A588" s="214">
        <v>24</v>
      </c>
      <c r="B588" s="215" t="s">
        <v>335</v>
      </c>
      <c r="C588" s="261" t="s">
        <v>296</v>
      </c>
      <c r="D588" s="260" t="s">
        <v>295</v>
      </c>
      <c r="E588" s="215" t="s">
        <v>334</v>
      </c>
      <c r="F588" s="216" t="s">
        <v>336</v>
      </c>
      <c r="G588" s="263"/>
      <c r="H588" s="263"/>
      <c r="I588" s="263"/>
      <c r="J588" s="263"/>
      <c r="K588" s="263"/>
      <c r="L588" s="263"/>
      <c r="M588" s="263"/>
      <c r="N588" s="263"/>
      <c r="O588" s="263"/>
      <c r="P588" s="263"/>
      <c r="Q588" s="263"/>
      <c r="R588" s="263"/>
      <c r="S588" s="263"/>
      <c r="T588" s="264"/>
      <c r="U588" s="222">
        <v>0</v>
      </c>
      <c r="V588" s="222">
        <v>1</v>
      </c>
    </row>
    <row r="589" spans="1:22" x14ac:dyDescent="0.25">
      <c r="A589" s="214">
        <v>24</v>
      </c>
      <c r="B589" s="215" t="s">
        <v>351</v>
      </c>
      <c r="C589" s="261" t="s">
        <v>296</v>
      </c>
      <c r="D589" s="260" t="s">
        <v>295</v>
      </c>
      <c r="E589" s="215" t="s">
        <v>350</v>
      </c>
      <c r="F589" s="216" t="s">
        <v>352</v>
      </c>
      <c r="G589" s="263">
        <v>0</v>
      </c>
      <c r="H589" s="263">
        <v>0</v>
      </c>
      <c r="I589" s="263">
        <v>0</v>
      </c>
      <c r="J589" s="263">
        <v>0</v>
      </c>
      <c r="K589" s="263">
        <v>0</v>
      </c>
      <c r="L589" s="263">
        <v>0</v>
      </c>
      <c r="M589" s="263">
        <v>0</v>
      </c>
      <c r="N589" s="263">
        <v>0</v>
      </c>
      <c r="O589" s="263">
        <v>0</v>
      </c>
      <c r="P589" s="263">
        <v>0</v>
      </c>
      <c r="Q589" s="263">
        <v>0</v>
      </c>
      <c r="R589" s="263">
        <v>0</v>
      </c>
      <c r="S589" s="262">
        <v>0</v>
      </c>
      <c r="T589" s="264"/>
      <c r="U589" s="222">
        <v>0</v>
      </c>
      <c r="V589" s="222">
        <v>-1</v>
      </c>
    </row>
    <row r="590" spans="1:22" x14ac:dyDescent="0.25">
      <c r="A590" s="214">
        <v>24</v>
      </c>
      <c r="B590" s="215" t="s">
        <v>351</v>
      </c>
      <c r="C590" s="261" t="s">
        <v>296</v>
      </c>
      <c r="D590" s="260" t="s">
        <v>295</v>
      </c>
      <c r="E590" s="215" t="s">
        <v>379</v>
      </c>
      <c r="F590" s="216" t="s">
        <v>16</v>
      </c>
      <c r="G590" s="263">
        <v>0</v>
      </c>
      <c r="H590" s="263">
        <v>0</v>
      </c>
      <c r="I590" s="263">
        <v>0</v>
      </c>
      <c r="J590" s="263">
        <v>0</v>
      </c>
      <c r="K590" s="263">
        <v>0</v>
      </c>
      <c r="L590" s="263">
        <v>0</v>
      </c>
      <c r="M590" s="263">
        <v>0</v>
      </c>
      <c r="N590" s="263">
        <v>0</v>
      </c>
      <c r="O590" s="263">
        <v>0</v>
      </c>
      <c r="P590" s="263">
        <v>0</v>
      </c>
      <c r="Q590" s="263">
        <v>0</v>
      </c>
      <c r="R590" s="263">
        <v>0</v>
      </c>
      <c r="S590" s="262">
        <v>0</v>
      </c>
      <c r="T590" s="264"/>
    </row>
    <row r="591" spans="1:22" x14ac:dyDescent="0.25">
      <c r="A591" s="214">
        <v>24</v>
      </c>
      <c r="B591" s="215" t="s">
        <v>335</v>
      </c>
      <c r="C591" s="261" t="s">
        <v>296</v>
      </c>
      <c r="D591" s="260" t="s">
        <v>295</v>
      </c>
      <c r="E591" s="215" t="s">
        <v>348</v>
      </c>
      <c r="F591" s="216" t="s">
        <v>349</v>
      </c>
      <c r="G591" s="317">
        <v>-0.34783790842326601</v>
      </c>
      <c r="H591" s="317">
        <v>-0.30385411758093939</v>
      </c>
      <c r="I591" s="317">
        <v>-0.26044559097627407</v>
      </c>
      <c r="J591" s="317">
        <v>-0.26187640953435082</v>
      </c>
      <c r="K591" s="317">
        <v>-0.28353529232463331</v>
      </c>
      <c r="L591" s="317">
        <v>-0.30562560363784708</v>
      </c>
      <c r="M591" s="317">
        <v>-0.32771591495106078</v>
      </c>
      <c r="N591" s="317">
        <v>-0.37189653757748825</v>
      </c>
      <c r="O591" s="317">
        <v>-0.41607716020391572</v>
      </c>
      <c r="P591" s="317">
        <v>-0.43816747151712943</v>
      </c>
      <c r="Q591" s="317">
        <v>-0.46025778283034313</v>
      </c>
      <c r="R591" s="317">
        <v>-0.41607716020391572</v>
      </c>
      <c r="S591" s="317">
        <v>-4.1933669497611632</v>
      </c>
      <c r="T591" s="264"/>
    </row>
    <row r="592" spans="1:22" x14ac:dyDescent="0.25">
      <c r="A592" s="214">
        <v>24</v>
      </c>
      <c r="B592" s="215" t="s">
        <v>351</v>
      </c>
      <c r="C592" s="261" t="s">
        <v>296</v>
      </c>
      <c r="D592" s="260" t="s">
        <v>295</v>
      </c>
      <c r="E592" s="215" t="s">
        <v>380</v>
      </c>
      <c r="F592" s="216" t="s">
        <v>381</v>
      </c>
      <c r="G592" s="263">
        <v>5.8523782562385643E-3</v>
      </c>
      <c r="H592" s="263">
        <v>5.267140430614708E-3</v>
      </c>
      <c r="I592" s="263">
        <v>4.6819026049908516E-3</v>
      </c>
      <c r="J592" s="263">
        <v>4.7338772047268857E-3</v>
      </c>
      <c r="K592" s="263">
        <v>5.029744530022316E-3</v>
      </c>
      <c r="L592" s="263">
        <v>5.3256118553177464E-3</v>
      </c>
      <c r="M592" s="263">
        <v>5.6214791806131759E-3</v>
      </c>
      <c r="N592" s="263">
        <v>6.2132138312040383E-3</v>
      </c>
      <c r="O592" s="263">
        <v>6.8049484817948973E-3</v>
      </c>
      <c r="P592" s="263">
        <v>7.1008158070903285E-3</v>
      </c>
      <c r="Q592" s="263">
        <v>7.3966831323857589E-3</v>
      </c>
      <c r="R592" s="263">
        <v>6.8049484817948973E-3</v>
      </c>
      <c r="S592" s="262">
        <v>7.0832743796794176E-2</v>
      </c>
      <c r="T592" s="264"/>
    </row>
    <row r="593" spans="1:22" customFormat="1" x14ac:dyDescent="0.25">
      <c r="A593" s="214">
        <v>24</v>
      </c>
      <c r="B593" s="215" t="s">
        <v>351</v>
      </c>
      <c r="C593" s="261" t="s">
        <v>296</v>
      </c>
      <c r="D593" s="260" t="s">
        <v>295</v>
      </c>
      <c r="E593" s="215" t="s">
        <v>382</v>
      </c>
      <c r="F593" s="216" t="s">
        <v>383</v>
      </c>
      <c r="G593" s="263">
        <v>-5.7893947844593396E-2</v>
      </c>
      <c r="H593" s="263">
        <v>-5.2104553060134062E-2</v>
      </c>
      <c r="I593" s="263">
        <v>-4.6315158275674721E-2</v>
      </c>
      <c r="J593" s="263">
        <v>-4.6937947353768716E-2</v>
      </c>
      <c r="K593" s="263">
        <v>-4.9871569063379265E-2</v>
      </c>
      <c r="L593" s="263">
        <v>-5.2805190772989813E-2</v>
      </c>
      <c r="M593" s="263">
        <v>-5.5738812482600354E-2</v>
      </c>
      <c r="N593" s="263">
        <v>-6.1606055901821451E-2</v>
      </c>
      <c r="O593" s="263">
        <v>-6.747329932104254E-2</v>
      </c>
      <c r="P593" s="263">
        <v>-7.0406921030653088E-2</v>
      </c>
      <c r="Q593" s="263">
        <v>-7.3340542740263623E-2</v>
      </c>
      <c r="R593" s="263">
        <v>-6.747329932104254E-2</v>
      </c>
      <c r="S593" s="262">
        <v>-0.70196729716796347</v>
      </c>
      <c r="T593" s="264"/>
      <c r="U593" s="437"/>
      <c r="V593" s="437"/>
    </row>
    <row r="594" spans="1:22" x14ac:dyDescent="0.25">
      <c r="A594" s="214">
        <v>24</v>
      </c>
      <c r="B594" s="215" t="s">
        <v>351</v>
      </c>
      <c r="C594" s="261" t="s">
        <v>296</v>
      </c>
      <c r="D594" s="260" t="s">
        <v>295</v>
      </c>
      <c r="E594" s="215" t="s">
        <v>384</v>
      </c>
      <c r="F594" s="216" t="s">
        <v>385</v>
      </c>
      <c r="G594" s="263">
        <v>0</v>
      </c>
      <c r="H594" s="263">
        <v>0</v>
      </c>
      <c r="I594" s="263">
        <v>0</v>
      </c>
      <c r="J594" s="263">
        <v>0</v>
      </c>
      <c r="K594" s="263">
        <v>0</v>
      </c>
      <c r="L594" s="263">
        <v>0</v>
      </c>
      <c r="M594" s="263">
        <v>0</v>
      </c>
      <c r="N594" s="263">
        <v>0</v>
      </c>
      <c r="O594" s="263">
        <v>0</v>
      </c>
      <c r="P594" s="263">
        <v>0</v>
      </c>
      <c r="Q594" s="263">
        <v>0</v>
      </c>
      <c r="R594" s="263">
        <v>0</v>
      </c>
      <c r="S594" s="262">
        <v>0</v>
      </c>
      <c r="T594" s="264"/>
    </row>
    <row r="595" spans="1:22" x14ac:dyDescent="0.25">
      <c r="A595" s="214">
        <v>24</v>
      </c>
      <c r="B595" s="215" t="s">
        <v>351</v>
      </c>
      <c r="C595" s="363" t="s">
        <v>296</v>
      </c>
      <c r="D595" s="260" t="s">
        <v>295</v>
      </c>
      <c r="E595" s="215" t="s">
        <v>386</v>
      </c>
      <c r="F595" s="216" t="s">
        <v>387</v>
      </c>
      <c r="G595" s="365">
        <v>6.3021692783619784E-2</v>
      </c>
      <c r="H595" s="365">
        <v>0.12327275347938857</v>
      </c>
      <c r="I595" s="365">
        <v>0.13457070770870139</v>
      </c>
      <c r="J595" s="365">
        <v>0.13044067822558938</v>
      </c>
      <c r="K595" s="365">
        <v>0.12197637060548427</v>
      </c>
      <c r="L595" s="365">
        <v>0.11351206298537912</v>
      </c>
      <c r="M595" s="365">
        <v>8.0102576803349479E-2</v>
      </c>
      <c r="N595" s="365">
        <v>5.4741602955045423E-3</v>
      </c>
      <c r="O595" s="365">
        <v>-6.6773856359611833E-2</v>
      </c>
      <c r="P595" s="365">
        <v>-0.10408806461353438</v>
      </c>
      <c r="Q595" s="365">
        <v>-0.13426107330927137</v>
      </c>
      <c r="R595" s="365">
        <v>-0.57874256764342102</v>
      </c>
      <c r="S595" s="409">
        <v>-0.11149455903882247</v>
      </c>
      <c r="T595" s="366"/>
    </row>
    <row r="596" spans="1:22" x14ac:dyDescent="0.25">
      <c r="A596" s="214">
        <v>24</v>
      </c>
      <c r="B596" s="215" t="s">
        <v>389</v>
      </c>
      <c r="C596" s="363" t="s">
        <v>296</v>
      </c>
      <c r="D596" s="260" t="s">
        <v>295</v>
      </c>
      <c r="E596" s="215" t="s">
        <v>388</v>
      </c>
      <c r="F596" s="216" t="s">
        <v>112</v>
      </c>
      <c r="G596" s="365">
        <v>-3.6169022988519928E-2</v>
      </c>
      <c r="H596" s="365">
        <v>-3.255212068966791E-2</v>
      </c>
      <c r="I596" s="365">
        <v>-2.8935218390815934E-2</v>
      </c>
      <c r="J596" s="365">
        <v>-3.2371697376243083E-2</v>
      </c>
      <c r="K596" s="365">
        <v>-3.4394928462258278E-2</v>
      </c>
      <c r="L596" s="365">
        <v>-3.6418159548273474E-2</v>
      </c>
      <c r="M596" s="365">
        <v>-3.8441390634288641E-2</v>
      </c>
      <c r="N596" s="365">
        <v>-4.248785280631906E-2</v>
      </c>
      <c r="O596" s="365">
        <v>-4.6534314978349423E-2</v>
      </c>
      <c r="P596" s="263">
        <v>-4.8557546064364632E-2</v>
      </c>
      <c r="Q596" s="263">
        <v>-5.0580777150379813E-2</v>
      </c>
      <c r="R596" s="263">
        <v>-4.6534314978349423E-2</v>
      </c>
      <c r="S596" s="364">
        <v>-0.47397734406782921</v>
      </c>
      <c r="T596" s="264"/>
    </row>
    <row r="597" spans="1:22" x14ac:dyDescent="0.25">
      <c r="A597" s="214">
        <v>24</v>
      </c>
      <c r="B597" s="215" t="s">
        <v>351</v>
      </c>
      <c r="C597" s="261" t="s">
        <v>296</v>
      </c>
      <c r="D597" s="260" t="s">
        <v>295</v>
      </c>
      <c r="E597" s="215" t="s">
        <v>390</v>
      </c>
      <c r="F597" s="216" t="s">
        <v>391</v>
      </c>
      <c r="G597" s="263">
        <v>7.1460240337117661E-2</v>
      </c>
      <c r="H597" s="263">
        <v>6.3974739368787586E-2</v>
      </c>
      <c r="I597" s="263">
        <v>6.0671016829696924E-2</v>
      </c>
      <c r="J597" s="263">
        <v>6.3237980766874258E-2</v>
      </c>
      <c r="K597" s="263">
        <v>6.7081193768504993E-2</v>
      </c>
      <c r="L597" s="263">
        <v>7.0924406770135714E-2</v>
      </c>
      <c r="M597" s="263">
        <v>7.651419251254904E-2</v>
      </c>
      <c r="N597" s="263">
        <v>8.4200618515810496E-2</v>
      </c>
      <c r="O597" s="263">
        <v>9.0140471778289349E-2</v>
      </c>
      <c r="P597" s="263">
        <v>9.3983684779920085E-2</v>
      </c>
      <c r="Q597" s="263">
        <v>9.2587179559203037E-2</v>
      </c>
      <c r="R597" s="263">
        <v>-0.96384118039801558</v>
      </c>
      <c r="S597" s="262">
        <v>-0.12906545541112635</v>
      </c>
      <c r="T597" s="264"/>
    </row>
    <row r="598" spans="1:22" x14ac:dyDescent="0.25">
      <c r="A598" s="214">
        <v>24</v>
      </c>
      <c r="B598" s="215" t="s">
        <v>393</v>
      </c>
      <c r="C598" s="261" t="s">
        <v>296</v>
      </c>
      <c r="D598" s="260" t="s">
        <v>295</v>
      </c>
      <c r="E598" s="215" t="s">
        <v>392</v>
      </c>
      <c r="F598" s="216" t="s">
        <v>394</v>
      </c>
      <c r="G598" s="263"/>
      <c r="H598" s="263"/>
      <c r="I598" s="263"/>
      <c r="J598" s="263"/>
      <c r="K598" s="263"/>
      <c r="L598" s="263"/>
      <c r="M598" s="263"/>
      <c r="N598" s="263"/>
      <c r="O598" s="263"/>
      <c r="P598" s="263"/>
      <c r="Q598" s="263"/>
      <c r="R598" s="263"/>
      <c r="S598" s="262"/>
      <c r="T598" s="264"/>
    </row>
    <row r="599" spans="1:22" x14ac:dyDescent="0.25">
      <c r="A599" s="214">
        <v>23</v>
      </c>
      <c r="B599" s="215" t="s">
        <v>247</v>
      </c>
      <c r="C599" s="261" t="s">
        <v>294</v>
      </c>
      <c r="D599" s="260" t="s">
        <v>293</v>
      </c>
      <c r="E599" s="215" t="s">
        <v>246</v>
      </c>
      <c r="F599" s="216" t="s">
        <v>248</v>
      </c>
      <c r="G599" s="263">
        <v>-1.4945315071397336</v>
      </c>
      <c r="H599" s="263">
        <v>-1.3450783564257605</v>
      </c>
      <c r="I599" s="263">
        <v>-1.1956252057117871</v>
      </c>
      <c r="J599" s="263">
        <v>-1.2139152628578684</v>
      </c>
      <c r="K599" s="263">
        <v>-1.2897849667864849</v>
      </c>
      <c r="L599" s="263">
        <v>-1.3656546707151014</v>
      </c>
      <c r="M599" s="263">
        <v>-1.4415243746437183</v>
      </c>
      <c r="N599" s="263">
        <v>-1.5932637825009519</v>
      </c>
      <c r="O599" s="263">
        <v>-1.8967425982154191</v>
      </c>
      <c r="P599" s="263">
        <v>-1.7450031903581849</v>
      </c>
      <c r="Q599" s="263">
        <v>-1.8208728942868022</v>
      </c>
      <c r="R599" s="263">
        <v>-1.7450031903581849</v>
      </c>
      <c r="S599" s="262">
        <v>-18.146999999999998</v>
      </c>
      <c r="T599" s="264"/>
      <c r="U599" s="222">
        <v>0</v>
      </c>
      <c r="V599" s="222">
        <v>1</v>
      </c>
    </row>
    <row r="600" spans="1:22" x14ac:dyDescent="0.25">
      <c r="A600" s="214">
        <v>23</v>
      </c>
      <c r="B600" s="215" t="s">
        <v>332</v>
      </c>
      <c r="C600" s="261" t="s">
        <v>294</v>
      </c>
      <c r="D600" s="260" t="s">
        <v>293</v>
      </c>
      <c r="E600" s="215" t="s">
        <v>331</v>
      </c>
      <c r="F600" s="216" t="s">
        <v>333</v>
      </c>
      <c r="G600" s="263">
        <v>1.131543265682833</v>
      </c>
      <c r="H600" s="263">
        <v>1.0183889391145498</v>
      </c>
      <c r="I600" s="263">
        <v>0.90523461254626647</v>
      </c>
      <c r="J600" s="263">
        <v>0.9190824243145248</v>
      </c>
      <c r="K600" s="263">
        <v>0.97652507583418247</v>
      </c>
      <c r="L600" s="263">
        <v>1.0339677273538399</v>
      </c>
      <c r="M600" s="263">
        <v>1.0914103788734979</v>
      </c>
      <c r="N600" s="263">
        <v>1.2062956819128137</v>
      </c>
      <c r="O600" s="263">
        <v>1.4360662879914445</v>
      </c>
      <c r="P600" s="263">
        <v>1.3211809849521292</v>
      </c>
      <c r="Q600" s="263">
        <v>1.378623636471787</v>
      </c>
      <c r="R600" s="263">
        <v>1.3211809849521292</v>
      </c>
      <c r="S600" s="262">
        <v>13.7395</v>
      </c>
      <c r="T600" s="264"/>
      <c r="U600" s="222">
        <v>0</v>
      </c>
      <c r="V600" s="229">
        <v>1</v>
      </c>
    </row>
    <row r="601" spans="1:22" x14ac:dyDescent="0.25">
      <c r="A601" s="214">
        <v>23</v>
      </c>
      <c r="B601" s="215" t="s">
        <v>335</v>
      </c>
      <c r="C601" s="261" t="s">
        <v>294</v>
      </c>
      <c r="D601" s="260" t="s">
        <v>293</v>
      </c>
      <c r="E601" s="215" t="s">
        <v>334</v>
      </c>
      <c r="F601" s="216" t="s">
        <v>336</v>
      </c>
      <c r="G601" s="263">
        <v>-12.189502645574411</v>
      </c>
      <c r="H601" s="263">
        <v>-10.360462843827595</v>
      </c>
      <c r="I601" s="263">
        <v>-8.2896275777474386</v>
      </c>
      <c r="J601" s="263">
        <v>-8.2878718067803785</v>
      </c>
      <c r="K601" s="263">
        <v>-7.1326382717432697</v>
      </c>
      <c r="L601" s="263">
        <v>-7.5524909381066898</v>
      </c>
      <c r="M601" s="263">
        <v>-7.6153258789877878</v>
      </c>
      <c r="N601" s="263">
        <v>-10.014686595371113</v>
      </c>
      <c r="O601" s="263">
        <v>-12.789446626313893</v>
      </c>
      <c r="P601" s="263">
        <v>-14.55236969471361</v>
      </c>
      <c r="Q601" s="263">
        <v>-15.405149915581108</v>
      </c>
      <c r="R601" s="263">
        <v>-13.544517207378746</v>
      </c>
      <c r="S601" s="262">
        <v>-127.73409000212604</v>
      </c>
      <c r="T601" s="264"/>
      <c r="U601" s="222">
        <v>0</v>
      </c>
      <c r="V601" s="229">
        <v>1</v>
      </c>
    </row>
    <row r="602" spans="1:22" x14ac:dyDescent="0.25">
      <c r="A602" s="214">
        <v>23</v>
      </c>
      <c r="B602" s="215" t="s">
        <v>351</v>
      </c>
      <c r="C602" s="261" t="s">
        <v>294</v>
      </c>
      <c r="D602" s="260" t="s">
        <v>293</v>
      </c>
      <c r="E602" s="215" t="s">
        <v>350</v>
      </c>
      <c r="F602" s="216" t="s">
        <v>352</v>
      </c>
      <c r="G602" s="263">
        <v>0</v>
      </c>
      <c r="H602" s="263">
        <v>0</v>
      </c>
      <c r="I602" s="263">
        <v>0</v>
      </c>
      <c r="J602" s="263">
        <v>0</v>
      </c>
      <c r="K602" s="263">
        <v>0</v>
      </c>
      <c r="L602" s="263">
        <v>0</v>
      </c>
      <c r="M602" s="263">
        <v>0</v>
      </c>
      <c r="N602" s="263">
        <v>0</v>
      </c>
      <c r="O602" s="263">
        <v>0</v>
      </c>
      <c r="P602" s="263">
        <v>0</v>
      </c>
      <c r="Q602" s="263">
        <v>0</v>
      </c>
      <c r="R602" s="263">
        <v>0</v>
      </c>
      <c r="S602" s="262">
        <v>0</v>
      </c>
      <c r="T602" s="264"/>
      <c r="U602" s="229">
        <v>1</v>
      </c>
      <c r="V602" s="229">
        <v>-1</v>
      </c>
    </row>
    <row r="603" spans="1:22" x14ac:dyDescent="0.25">
      <c r="A603" s="214">
        <v>23</v>
      </c>
      <c r="B603" s="215" t="s">
        <v>351</v>
      </c>
      <c r="C603" s="261" t="s">
        <v>294</v>
      </c>
      <c r="D603" s="260" t="s">
        <v>293</v>
      </c>
      <c r="E603" s="215" t="s">
        <v>379</v>
      </c>
      <c r="F603" s="216" t="s">
        <v>16</v>
      </c>
      <c r="G603" s="263">
        <v>0</v>
      </c>
      <c r="H603" s="263">
        <v>0</v>
      </c>
      <c r="I603" s="263">
        <v>0</v>
      </c>
      <c r="J603" s="263">
        <v>0</v>
      </c>
      <c r="K603" s="263">
        <v>0</v>
      </c>
      <c r="L603" s="263">
        <v>0</v>
      </c>
      <c r="M603" s="263">
        <v>0</v>
      </c>
      <c r="N603" s="263">
        <v>0</v>
      </c>
      <c r="O603" s="263">
        <v>0</v>
      </c>
      <c r="P603" s="263">
        <v>0</v>
      </c>
      <c r="Q603" s="263">
        <v>0</v>
      </c>
      <c r="R603" s="263">
        <v>0</v>
      </c>
      <c r="S603" s="262">
        <v>0</v>
      </c>
      <c r="T603" s="264"/>
      <c r="U603" s="229">
        <v>1</v>
      </c>
      <c r="V603" s="229">
        <v>-1</v>
      </c>
    </row>
    <row r="604" spans="1:22" x14ac:dyDescent="0.25">
      <c r="A604" s="214">
        <v>23</v>
      </c>
      <c r="B604" s="215" t="s">
        <v>335</v>
      </c>
      <c r="C604" s="261" t="s">
        <v>294</v>
      </c>
      <c r="D604" s="260" t="s">
        <v>293</v>
      </c>
      <c r="E604" s="215" t="s">
        <v>348</v>
      </c>
      <c r="F604" s="216" t="s">
        <v>349</v>
      </c>
      <c r="G604" s="263">
        <v>-0.30782019844977632</v>
      </c>
      <c r="H604" s="263">
        <v>-0.27703928971590974</v>
      </c>
      <c r="I604" s="263">
        <v>-0.2462583809820432</v>
      </c>
      <c r="J604" s="263">
        <v>-0.25002534458944276</v>
      </c>
      <c r="K604" s="263">
        <v>-0.26565123418183839</v>
      </c>
      <c r="L604" s="263">
        <v>-0.28127712377423414</v>
      </c>
      <c r="M604" s="263">
        <v>-0.29690301336662983</v>
      </c>
      <c r="N604" s="263">
        <v>-0.32815479255142127</v>
      </c>
      <c r="O604" s="263">
        <v>-0.39065835092100415</v>
      </c>
      <c r="P604" s="263">
        <v>-0.35940657173621265</v>
      </c>
      <c r="Q604" s="263">
        <v>-0.37503246132860851</v>
      </c>
      <c r="R604" s="263">
        <v>-0.35940657173621265</v>
      </c>
      <c r="S604" s="262">
        <v>-3.7375111111111115</v>
      </c>
      <c r="T604" s="264"/>
      <c r="U604" s="222">
        <v>0</v>
      </c>
      <c r="V604" s="229">
        <v>-1</v>
      </c>
    </row>
    <row r="605" spans="1:22" x14ac:dyDescent="0.25">
      <c r="A605" s="214">
        <v>23</v>
      </c>
      <c r="B605" s="215" t="s">
        <v>351</v>
      </c>
      <c r="C605" s="261" t="s">
        <v>294</v>
      </c>
      <c r="D605" s="260" t="s">
        <v>293</v>
      </c>
      <c r="E605" s="215" t="s">
        <v>380</v>
      </c>
      <c r="F605" s="216" t="s">
        <v>381</v>
      </c>
      <c r="G605" s="263">
        <v>5.8523782562385643E-3</v>
      </c>
      <c r="H605" s="263">
        <v>5.267140430614708E-3</v>
      </c>
      <c r="I605" s="263">
        <v>4.6819026049908516E-3</v>
      </c>
      <c r="J605" s="263">
        <v>4.7338772047268857E-3</v>
      </c>
      <c r="K605" s="263">
        <v>5.029744530022316E-3</v>
      </c>
      <c r="L605" s="263">
        <v>5.3256118553177464E-3</v>
      </c>
      <c r="M605" s="263">
        <v>5.6214791806131759E-3</v>
      </c>
      <c r="N605" s="263">
        <v>6.2132138312040383E-3</v>
      </c>
      <c r="O605" s="263">
        <v>6.8049484817948973E-3</v>
      </c>
      <c r="P605" s="263">
        <v>7.1008158070903285E-3</v>
      </c>
      <c r="Q605" s="263">
        <v>7.3966831323857589E-3</v>
      </c>
      <c r="R605" s="263">
        <v>6.8049484817948973E-3</v>
      </c>
      <c r="S605" s="262">
        <v>7.0832743796794162E-2</v>
      </c>
      <c r="T605" s="264"/>
      <c r="U605" s="222">
        <v>0</v>
      </c>
      <c r="V605" s="229">
        <v>1</v>
      </c>
    </row>
    <row r="606" spans="1:22" x14ac:dyDescent="0.25">
      <c r="A606" s="214">
        <v>23</v>
      </c>
      <c r="B606" s="215" t="s">
        <v>351</v>
      </c>
      <c r="C606" s="261" t="s">
        <v>294</v>
      </c>
      <c r="D606" s="260" t="s">
        <v>293</v>
      </c>
      <c r="E606" s="215" t="s">
        <v>382</v>
      </c>
      <c r="F606" s="216" t="s">
        <v>383</v>
      </c>
      <c r="G606" s="263">
        <v>-5.7893947844593396E-2</v>
      </c>
      <c r="H606" s="263">
        <v>-5.2104553060134062E-2</v>
      </c>
      <c r="I606" s="263">
        <v>-4.6315158275674721E-2</v>
      </c>
      <c r="J606" s="263">
        <v>-4.6937947353768716E-2</v>
      </c>
      <c r="K606" s="263">
        <v>-4.9871569063379265E-2</v>
      </c>
      <c r="L606" s="263">
        <v>-5.2805190772989813E-2</v>
      </c>
      <c r="M606" s="263">
        <v>-5.5738812482600354E-2</v>
      </c>
      <c r="N606" s="263">
        <v>-6.1606055901821451E-2</v>
      </c>
      <c r="O606" s="263">
        <v>-6.747329932104254E-2</v>
      </c>
      <c r="P606" s="263">
        <v>-7.0406921030653088E-2</v>
      </c>
      <c r="Q606" s="263">
        <v>-7.3340542740263623E-2</v>
      </c>
      <c r="R606" s="263">
        <v>-6.747329932104254E-2</v>
      </c>
      <c r="S606" s="262">
        <v>-0.70196729716796358</v>
      </c>
      <c r="T606" s="264"/>
      <c r="U606" s="229">
        <v>1</v>
      </c>
      <c r="V606" s="222">
        <v>0</v>
      </c>
    </row>
    <row r="607" spans="1:22" x14ac:dyDescent="0.25">
      <c r="A607" s="214">
        <v>23</v>
      </c>
      <c r="B607" s="215" t="s">
        <v>351</v>
      </c>
      <c r="C607" s="261" t="s">
        <v>294</v>
      </c>
      <c r="D607" s="260" t="s">
        <v>293</v>
      </c>
      <c r="E607" s="215" t="s">
        <v>384</v>
      </c>
      <c r="F607" s="216" t="s">
        <v>385</v>
      </c>
      <c r="G607" s="263">
        <v>1.9297982614864467E-2</v>
      </c>
      <c r="H607" s="263">
        <v>1.736818435337802E-2</v>
      </c>
      <c r="I607" s="263">
        <v>1.5438386091891574E-2</v>
      </c>
      <c r="J607" s="263">
        <v>1.564598245125624E-2</v>
      </c>
      <c r="K607" s="263">
        <v>1.6623856354459756E-2</v>
      </c>
      <c r="L607" s="263">
        <v>1.7601730257663272E-2</v>
      </c>
      <c r="M607" s="263">
        <v>1.8579604160866785E-2</v>
      </c>
      <c r="N607" s="263">
        <v>2.0535351967273817E-2</v>
      </c>
      <c r="O607" s="263">
        <v>2.2491099773680846E-2</v>
      </c>
      <c r="P607" s="263">
        <v>2.3468973676884362E-2</v>
      </c>
      <c r="Q607" s="263">
        <v>2.4446847580087874E-2</v>
      </c>
      <c r="R607" s="263">
        <v>2.2491099773680846E-2</v>
      </c>
      <c r="S607" s="262">
        <v>0</v>
      </c>
      <c r="T607" s="264"/>
      <c r="U607" s="222">
        <v>0</v>
      </c>
      <c r="V607" s="229">
        <v>-1</v>
      </c>
    </row>
    <row r="608" spans="1:22" x14ac:dyDescent="0.25">
      <c r="A608" s="214">
        <v>23</v>
      </c>
      <c r="B608" s="215" t="s">
        <v>351</v>
      </c>
      <c r="C608" s="363" t="s">
        <v>294</v>
      </c>
      <c r="D608" s="260" t="s">
        <v>293</v>
      </c>
      <c r="E608" s="215" t="s">
        <v>386</v>
      </c>
      <c r="F608" s="216" t="s">
        <v>387</v>
      </c>
      <c r="G608" s="365">
        <v>6.3021692783619798E-2</v>
      </c>
      <c r="H608" s="365">
        <v>0.12327275347938857</v>
      </c>
      <c r="I608" s="365">
        <v>0.13457070770870139</v>
      </c>
      <c r="J608" s="365">
        <v>0.13044067822558938</v>
      </c>
      <c r="K608" s="365">
        <v>0.12197637060548427</v>
      </c>
      <c r="L608" s="365">
        <v>0.11351206298537914</v>
      </c>
      <c r="M608" s="365">
        <v>8.0102576803349479E-2</v>
      </c>
      <c r="N608" s="365">
        <v>5.4741602955045154E-3</v>
      </c>
      <c r="O608" s="365">
        <v>-6.6773856359611861E-2</v>
      </c>
      <c r="P608" s="365">
        <v>-0.10408806461353443</v>
      </c>
      <c r="Q608" s="365">
        <v>-0.13426107330927139</v>
      </c>
      <c r="R608" s="365">
        <v>-0.57874256764342102</v>
      </c>
      <c r="S608" s="364">
        <v>-0.11149455903882277</v>
      </c>
      <c r="T608" s="366"/>
      <c r="U608" s="222">
        <v>0</v>
      </c>
      <c r="V608" s="229">
        <v>1</v>
      </c>
    </row>
    <row r="609" spans="1:22" x14ac:dyDescent="0.25">
      <c r="A609" s="214">
        <v>23</v>
      </c>
      <c r="B609" s="215" t="s">
        <v>389</v>
      </c>
      <c r="C609" s="363" t="s">
        <v>294</v>
      </c>
      <c r="D609" s="260" t="s">
        <v>293</v>
      </c>
      <c r="E609" s="215" t="s">
        <v>388</v>
      </c>
      <c r="F609" s="216" t="s">
        <v>112</v>
      </c>
      <c r="G609" s="365">
        <v>0.29795278757240962</v>
      </c>
      <c r="H609" s="365">
        <v>0.26815750881516864</v>
      </c>
      <c r="I609" s="365">
        <v>0.23836223005792767</v>
      </c>
      <c r="J609" s="365">
        <v>0.23685040519877074</v>
      </c>
      <c r="K609" s="365">
        <v>0.25165355552369395</v>
      </c>
      <c r="L609" s="365">
        <v>0.26645670584861708</v>
      </c>
      <c r="M609" s="365">
        <v>0.28125985617354021</v>
      </c>
      <c r="N609" s="365">
        <v>0.31086615682338653</v>
      </c>
      <c r="O609" s="365">
        <v>0.32792993739906906</v>
      </c>
      <c r="P609" s="263">
        <v>0.36154686783523793</v>
      </c>
      <c r="Q609" s="263">
        <v>0.37635001816016111</v>
      </c>
      <c r="R609" s="263">
        <v>0.34047245747323285</v>
      </c>
      <c r="S609" s="364">
        <v>3.5578584868812158</v>
      </c>
      <c r="T609" s="264"/>
      <c r="U609" s="229">
        <v>1</v>
      </c>
      <c r="V609" s="222">
        <v>0</v>
      </c>
    </row>
    <row r="610" spans="1:22" x14ac:dyDescent="0.25">
      <c r="A610" s="214">
        <v>23</v>
      </c>
      <c r="B610" s="215" t="s">
        <v>351</v>
      </c>
      <c r="C610" s="261" t="s">
        <v>294</v>
      </c>
      <c r="D610" s="260" t="s">
        <v>293</v>
      </c>
      <c r="E610" s="215" t="s">
        <v>390</v>
      </c>
      <c r="F610" s="216" t="s">
        <v>391</v>
      </c>
      <c r="G610" s="263">
        <v>7.1460240337117661E-2</v>
      </c>
      <c r="H610" s="263">
        <v>6.3974739368787586E-2</v>
      </c>
      <c r="I610" s="263">
        <v>6.0671016829696924E-2</v>
      </c>
      <c r="J610" s="263">
        <v>6.3237980766874258E-2</v>
      </c>
      <c r="K610" s="263">
        <v>6.7081193768504993E-2</v>
      </c>
      <c r="L610" s="263">
        <v>7.0924406770135714E-2</v>
      </c>
      <c r="M610" s="263">
        <v>7.651419251254904E-2</v>
      </c>
      <c r="N610" s="263">
        <v>8.4200618515810496E-2</v>
      </c>
      <c r="O610" s="263">
        <v>9.0140471778289349E-2</v>
      </c>
      <c r="P610" s="263">
        <v>9.3983684779920085E-2</v>
      </c>
      <c r="Q610" s="263">
        <v>9.2587179559203037E-2</v>
      </c>
      <c r="R610" s="263">
        <v>-0.9638411803980157</v>
      </c>
      <c r="S610" s="262">
        <v>-0.1290654554111263</v>
      </c>
      <c r="T610" s="264"/>
      <c r="U610" s="222">
        <v>0</v>
      </c>
      <c r="V610" s="222">
        <v>0</v>
      </c>
    </row>
    <row r="611" spans="1:22" x14ac:dyDescent="0.25">
      <c r="A611" s="214">
        <v>23</v>
      </c>
      <c r="B611" s="215" t="s">
        <v>393</v>
      </c>
      <c r="C611" s="261" t="s">
        <v>294</v>
      </c>
      <c r="D611" s="260" t="s">
        <v>293</v>
      </c>
      <c r="E611" s="215" t="s">
        <v>392</v>
      </c>
      <c r="F611" s="216" t="s">
        <v>394</v>
      </c>
      <c r="G611" s="263">
        <v>8.6658280865042417E-2</v>
      </c>
      <c r="H611" s="263">
        <v>7.5488719610515786E-2</v>
      </c>
      <c r="I611" s="263">
        <v>6.9337786901510809E-2</v>
      </c>
      <c r="J611" s="263">
        <v>6.9337786901510809E-2</v>
      </c>
      <c r="K611" s="263">
        <v>6.6541908397417637E-2</v>
      </c>
      <c r="L611" s="263">
        <v>7.8005010264199662E-2</v>
      </c>
      <c r="M611" s="263">
        <v>7.9682537366655551E-2</v>
      </c>
      <c r="N611" s="263">
        <v>9.1005845308232941E-2</v>
      </c>
      <c r="O611" s="263">
        <v>9.6457808391214608E-2</v>
      </c>
      <c r="P611" s="263">
        <v>0.10400668035226621</v>
      </c>
      <c r="Q611" s="263">
        <v>0.10834029203361065</v>
      </c>
      <c r="R611" s="263">
        <v>9.6457808391214608E-2</v>
      </c>
      <c r="S611" s="262">
        <v>1.0211700000000001</v>
      </c>
      <c r="T611" s="264"/>
      <c r="U611" s="222">
        <v>0</v>
      </c>
      <c r="V611" s="229">
        <v>-1</v>
      </c>
    </row>
    <row r="612" spans="1:22" x14ac:dyDescent="0.25">
      <c r="A612" s="214">
        <v>25</v>
      </c>
      <c r="B612" s="215" t="s">
        <v>247</v>
      </c>
      <c r="C612" s="268" t="s">
        <v>298</v>
      </c>
      <c r="D612" s="265" t="s">
        <v>297</v>
      </c>
      <c r="E612" s="215" t="s">
        <v>246</v>
      </c>
      <c r="F612" s="216" t="s">
        <v>248</v>
      </c>
      <c r="G612" s="266">
        <v>3.5739620479327652</v>
      </c>
      <c r="H612" s="266">
        <v>3.2165658431394886</v>
      </c>
      <c r="I612" s="266">
        <v>2.8591696383462124</v>
      </c>
      <c r="J612" s="266">
        <v>2.9029077394048635</v>
      </c>
      <c r="K612" s="266">
        <v>3.0843394731176668</v>
      </c>
      <c r="L612" s="266">
        <v>3.2657712068304705</v>
      </c>
      <c r="M612" s="266">
        <v>3.4472029405432747</v>
      </c>
      <c r="N612" s="266">
        <v>3.8100664079688826</v>
      </c>
      <c r="O612" s="266">
        <v>4.5357933428200985</v>
      </c>
      <c r="P612" s="266">
        <v>4.1729298753944901</v>
      </c>
      <c r="Q612" s="266">
        <v>4.3543616091072943</v>
      </c>
      <c r="R612" s="266">
        <v>4.1729298753944901</v>
      </c>
      <c r="S612" s="433">
        <v>43.396000000000001</v>
      </c>
      <c r="T612" s="267"/>
      <c r="U612" s="222">
        <v>0</v>
      </c>
      <c r="V612" s="229">
        <v>1</v>
      </c>
    </row>
    <row r="613" spans="1:22" x14ac:dyDescent="0.25">
      <c r="A613" s="214">
        <v>25</v>
      </c>
      <c r="B613" s="215" t="s">
        <v>332</v>
      </c>
      <c r="C613" s="268" t="s">
        <v>298</v>
      </c>
      <c r="D613" s="265" t="s">
        <v>297</v>
      </c>
      <c r="E613" s="215" t="s">
        <v>331</v>
      </c>
      <c r="F613" s="216" t="s">
        <v>333</v>
      </c>
      <c r="G613" s="269">
        <v>7.0716615634573419</v>
      </c>
      <c r="H613" s="269">
        <v>6.3644954071116082</v>
      </c>
      <c r="I613" s="269">
        <v>5.6573292507658737</v>
      </c>
      <c r="J613" s="269">
        <v>5.7438721530034567</v>
      </c>
      <c r="K613" s="269">
        <v>6.1028641625661715</v>
      </c>
      <c r="L613" s="269">
        <v>6.4618561721288863</v>
      </c>
      <c r="M613" s="269">
        <v>6.8208481816916038</v>
      </c>
      <c r="N613" s="269">
        <v>7.5388322008170361</v>
      </c>
      <c r="O613" s="269">
        <v>8.9748002390678998</v>
      </c>
      <c r="P613" s="269">
        <v>8.2568162199424666</v>
      </c>
      <c r="Q613" s="269">
        <v>8.6158082295051841</v>
      </c>
      <c r="R613" s="269">
        <v>8.2568162199424666</v>
      </c>
      <c r="S613" s="408">
        <v>85.866</v>
      </c>
      <c r="T613" s="267"/>
      <c r="U613" s="229">
        <v>1</v>
      </c>
      <c r="V613" s="222">
        <v>0</v>
      </c>
    </row>
    <row r="614" spans="1:22" x14ac:dyDescent="0.25">
      <c r="A614" s="214">
        <v>25</v>
      </c>
      <c r="B614" s="215" t="s">
        <v>335</v>
      </c>
      <c r="C614" s="268" t="s">
        <v>298</v>
      </c>
      <c r="D614" s="265" t="s">
        <v>297</v>
      </c>
      <c r="E614" s="215" t="s">
        <v>334</v>
      </c>
      <c r="F614" s="216" t="s">
        <v>336</v>
      </c>
      <c r="G614" s="269">
        <v>34.358165059657075</v>
      </c>
      <c r="H614" s="269">
        <v>30.922348553691368</v>
      </c>
      <c r="I614" s="269">
        <v>27.48653204772566</v>
      </c>
      <c r="J614" s="269">
        <v>27.907006824853841</v>
      </c>
      <c r="K614" s="269">
        <v>29.6511947514072</v>
      </c>
      <c r="L614" s="269">
        <v>31.395382677960562</v>
      </c>
      <c r="M614" s="269">
        <v>33.139570604513928</v>
      </c>
      <c r="N614" s="269">
        <v>36.627946457620659</v>
      </c>
      <c r="O614" s="269">
        <v>43.604698163834115</v>
      </c>
      <c r="P614" s="269">
        <v>40.116322310727384</v>
      </c>
      <c r="Q614" s="269">
        <v>41.860510237280756</v>
      </c>
      <c r="R614" s="269">
        <v>40.116322310727384</v>
      </c>
      <c r="S614" s="408">
        <v>417.18599999999998</v>
      </c>
      <c r="T614" s="267"/>
      <c r="U614" s="222">
        <v>0</v>
      </c>
      <c r="V614" s="229">
        <v>-1</v>
      </c>
    </row>
    <row r="615" spans="1:22" x14ac:dyDescent="0.25">
      <c r="A615" s="214">
        <v>25</v>
      </c>
      <c r="B615" s="215" t="s">
        <v>351</v>
      </c>
      <c r="C615" s="268" t="s">
        <v>298</v>
      </c>
      <c r="D615" s="265" t="s">
        <v>297</v>
      </c>
      <c r="E615" s="215" t="s">
        <v>350</v>
      </c>
      <c r="F615" s="216" t="s">
        <v>352</v>
      </c>
      <c r="G615" s="269">
        <v>0</v>
      </c>
      <c r="H615" s="269">
        <v>0</v>
      </c>
      <c r="I615" s="269">
        <v>0</v>
      </c>
      <c r="J615" s="269">
        <v>0</v>
      </c>
      <c r="K615" s="269">
        <v>0</v>
      </c>
      <c r="L615" s="269">
        <v>0</v>
      </c>
      <c r="M615" s="269">
        <v>0</v>
      </c>
      <c r="N615" s="269">
        <v>0</v>
      </c>
      <c r="O615" s="269">
        <v>0</v>
      </c>
      <c r="P615" s="269">
        <v>0</v>
      </c>
      <c r="Q615" s="269">
        <v>0</v>
      </c>
      <c r="R615" s="269">
        <v>0</v>
      </c>
      <c r="S615" s="408">
        <v>0</v>
      </c>
      <c r="T615" s="267"/>
      <c r="U615" s="222">
        <v>0</v>
      </c>
      <c r="V615" s="229">
        <v>1</v>
      </c>
    </row>
    <row r="616" spans="1:22" x14ac:dyDescent="0.25">
      <c r="A616" s="214">
        <v>25</v>
      </c>
      <c r="B616" s="215" t="s">
        <v>351</v>
      </c>
      <c r="C616" s="268" t="s">
        <v>298</v>
      </c>
      <c r="D616" s="265" t="s">
        <v>297</v>
      </c>
      <c r="E616" s="215" t="s">
        <v>379</v>
      </c>
      <c r="F616" s="216" t="s">
        <v>16</v>
      </c>
      <c r="G616" s="269">
        <v>0</v>
      </c>
      <c r="H616" s="269">
        <v>0</v>
      </c>
      <c r="I616" s="269">
        <v>0</v>
      </c>
      <c r="J616" s="269">
        <v>0</v>
      </c>
      <c r="K616" s="269">
        <v>0</v>
      </c>
      <c r="L616" s="269">
        <v>0</v>
      </c>
      <c r="M616" s="269">
        <v>0</v>
      </c>
      <c r="N616" s="269">
        <v>0</v>
      </c>
      <c r="O616" s="269">
        <v>0</v>
      </c>
      <c r="P616" s="269">
        <v>0</v>
      </c>
      <c r="Q616" s="269">
        <v>0</v>
      </c>
      <c r="R616" s="269">
        <v>0</v>
      </c>
      <c r="S616" s="408">
        <v>0</v>
      </c>
      <c r="T616" s="267"/>
      <c r="U616" s="222">
        <v>0</v>
      </c>
      <c r="V616" s="222">
        <v>0</v>
      </c>
    </row>
    <row r="617" spans="1:22" x14ac:dyDescent="0.25">
      <c r="A617" s="214">
        <v>25</v>
      </c>
      <c r="B617" s="215" t="s">
        <v>335</v>
      </c>
      <c r="C617" s="268" t="s">
        <v>298</v>
      </c>
      <c r="D617" s="265" t="s">
        <v>297</v>
      </c>
      <c r="E617" s="215" t="s">
        <v>348</v>
      </c>
      <c r="F617" s="216" t="s">
        <v>349</v>
      </c>
      <c r="G617" s="269">
        <v>0.88994916328605078</v>
      </c>
      <c r="H617" s="269">
        <v>0.80095424695744566</v>
      </c>
      <c r="I617" s="269">
        <v>0.71195933062884065</v>
      </c>
      <c r="J617" s="269">
        <v>0.72285051691420765</v>
      </c>
      <c r="K617" s="269">
        <v>0.76802867422134535</v>
      </c>
      <c r="L617" s="269">
        <v>0.81320683152848328</v>
      </c>
      <c r="M617" s="269">
        <v>0.85838498883562131</v>
      </c>
      <c r="N617" s="269">
        <v>0.94874130344989727</v>
      </c>
      <c r="O617" s="269">
        <v>1.1294539326784492</v>
      </c>
      <c r="P617" s="269">
        <v>1.0390976180641731</v>
      </c>
      <c r="Q617" s="269">
        <v>1.0842757753713113</v>
      </c>
      <c r="R617" s="269">
        <v>1.0390976180641731</v>
      </c>
      <c r="S617" s="408">
        <v>10.805999999999999</v>
      </c>
      <c r="T617" s="267"/>
      <c r="U617" s="222">
        <v>0</v>
      </c>
      <c r="V617" s="222">
        <v>0</v>
      </c>
    </row>
    <row r="618" spans="1:22" x14ac:dyDescent="0.25">
      <c r="A618" s="214">
        <v>25</v>
      </c>
      <c r="B618" s="215" t="s">
        <v>351</v>
      </c>
      <c r="C618" s="268" t="s">
        <v>298</v>
      </c>
      <c r="D618" s="265" t="s">
        <v>297</v>
      </c>
      <c r="E618" s="215" t="s">
        <v>380</v>
      </c>
      <c r="F618" s="216" t="s">
        <v>381</v>
      </c>
      <c r="G618" s="269">
        <v>0</v>
      </c>
      <c r="H618" s="269">
        <v>0</v>
      </c>
      <c r="I618" s="269">
        <v>0</v>
      </c>
      <c r="J618" s="269">
        <v>0</v>
      </c>
      <c r="K618" s="269">
        <v>0</v>
      </c>
      <c r="L618" s="269">
        <v>0</v>
      </c>
      <c r="M618" s="269">
        <v>0</v>
      </c>
      <c r="N618" s="269">
        <v>0</v>
      </c>
      <c r="O618" s="269">
        <v>0</v>
      </c>
      <c r="P618" s="269">
        <v>0</v>
      </c>
      <c r="Q618" s="269">
        <v>0</v>
      </c>
      <c r="R618" s="269">
        <v>0</v>
      </c>
      <c r="S618" s="408">
        <v>0</v>
      </c>
      <c r="T618" s="267"/>
      <c r="U618" s="222">
        <v>0</v>
      </c>
      <c r="V618" s="229">
        <v>1</v>
      </c>
    </row>
    <row r="619" spans="1:22" x14ac:dyDescent="0.25">
      <c r="A619" s="214">
        <v>25</v>
      </c>
      <c r="B619" s="215" t="s">
        <v>351</v>
      </c>
      <c r="C619" s="268" t="s">
        <v>298</v>
      </c>
      <c r="D619" s="265" t="s">
        <v>297</v>
      </c>
      <c r="E619" s="215" t="s">
        <v>382</v>
      </c>
      <c r="F619" s="216" t="s">
        <v>383</v>
      </c>
      <c r="G619" s="269">
        <v>0.17985919186384514</v>
      </c>
      <c r="H619" s="269">
        <v>0.16187327267746063</v>
      </c>
      <c r="I619" s="269">
        <v>0.14388735349107612</v>
      </c>
      <c r="J619" s="269">
        <v>0.14608846794180691</v>
      </c>
      <c r="K619" s="269">
        <v>0.15521899718816981</v>
      </c>
      <c r="L619" s="269">
        <v>0.16434952643453271</v>
      </c>
      <c r="M619" s="269">
        <v>0.17348005568089567</v>
      </c>
      <c r="N619" s="269">
        <v>0.19174111417362152</v>
      </c>
      <c r="O619" s="269">
        <v>0.22826323115907324</v>
      </c>
      <c r="P619" s="269">
        <v>0.21000217266634738</v>
      </c>
      <c r="Q619" s="269">
        <v>0.21913270191271031</v>
      </c>
      <c r="R619" s="269">
        <v>0.21000217266634738</v>
      </c>
      <c r="S619" s="433">
        <v>2.183898257855887</v>
      </c>
      <c r="T619" s="267"/>
      <c r="U619" s="222">
        <v>0</v>
      </c>
      <c r="V619" s="222">
        <v>0</v>
      </c>
    </row>
    <row r="620" spans="1:22" x14ac:dyDescent="0.25">
      <c r="A620" s="214">
        <v>25</v>
      </c>
      <c r="B620" s="215" t="s">
        <v>351</v>
      </c>
      <c r="C620" s="268" t="s">
        <v>298</v>
      </c>
      <c r="D620" s="265" t="s">
        <v>297</v>
      </c>
      <c r="E620" s="215" t="s">
        <v>384</v>
      </c>
      <c r="F620" s="216" t="s">
        <v>385</v>
      </c>
      <c r="G620" s="269">
        <v>0</v>
      </c>
      <c r="H620" s="269">
        <v>0</v>
      </c>
      <c r="I620" s="269">
        <v>0</v>
      </c>
      <c r="J620" s="269">
        <v>0</v>
      </c>
      <c r="K620" s="269">
        <v>0</v>
      </c>
      <c r="L620" s="269">
        <v>0</v>
      </c>
      <c r="M620" s="269">
        <v>0</v>
      </c>
      <c r="N620" s="269">
        <v>0</v>
      </c>
      <c r="O620" s="269">
        <v>0</v>
      </c>
      <c r="P620" s="269">
        <v>0</v>
      </c>
      <c r="Q620" s="269">
        <v>0</v>
      </c>
      <c r="R620" s="269">
        <v>0</v>
      </c>
      <c r="S620" s="408">
        <v>0</v>
      </c>
      <c r="T620" s="267"/>
      <c r="U620" s="222">
        <v>0</v>
      </c>
      <c r="V620" s="222">
        <v>0</v>
      </c>
    </row>
    <row r="621" spans="1:22" x14ac:dyDescent="0.25">
      <c r="A621" s="214">
        <v>25</v>
      </c>
      <c r="B621" s="215" t="s">
        <v>351</v>
      </c>
      <c r="C621" s="369" t="s">
        <v>298</v>
      </c>
      <c r="D621" s="265" t="s">
        <v>297</v>
      </c>
      <c r="E621" s="215" t="s">
        <v>386</v>
      </c>
      <c r="F621" s="216" t="s">
        <v>387</v>
      </c>
      <c r="G621" s="367">
        <v>2.024908365694051</v>
      </c>
      <c r="H621" s="367">
        <v>1.4297111886065539</v>
      </c>
      <c r="I621" s="367">
        <v>1.237868033413849</v>
      </c>
      <c r="J621" s="367">
        <v>1.2611449268203201</v>
      </c>
      <c r="K621" s="367">
        <v>1.3608803007888144</v>
      </c>
      <c r="L621" s="367">
        <v>1.4618757195395353</v>
      </c>
      <c r="M621" s="367">
        <v>1.5961313763728227</v>
      </c>
      <c r="N621" s="367">
        <v>1.8735062644540246</v>
      </c>
      <c r="O621" s="367">
        <v>2.1492563038420083</v>
      </c>
      <c r="P621" s="367">
        <v>2.2902672745482398</v>
      </c>
      <c r="Q621" s="367">
        <v>2.4202076280664704</v>
      </c>
      <c r="R621" s="367">
        <v>2.8380773233287679</v>
      </c>
      <c r="S621" s="422">
        <v>21.94383470547546</v>
      </c>
      <c r="T621" s="368"/>
      <c r="U621" s="229">
        <v>1</v>
      </c>
      <c r="V621" s="222">
        <v>0</v>
      </c>
    </row>
    <row r="622" spans="1:22" x14ac:dyDescent="0.25">
      <c r="A622" s="214">
        <v>25</v>
      </c>
      <c r="B622" s="215" t="s">
        <v>389</v>
      </c>
      <c r="C622" s="369" t="s">
        <v>298</v>
      </c>
      <c r="D622" s="265" t="s">
        <v>297</v>
      </c>
      <c r="E622" s="215" t="s">
        <v>388</v>
      </c>
      <c r="F622" s="216" t="s">
        <v>112</v>
      </c>
      <c r="G622" s="367">
        <v>2.2672043786879228</v>
      </c>
      <c r="H622" s="367">
        <v>2.0404839408191306</v>
      </c>
      <c r="I622" s="367">
        <v>1.8137635029503381</v>
      </c>
      <c r="J622" s="367">
        <v>1.8415095206488268</v>
      </c>
      <c r="K622" s="367">
        <v>1.9566038656893781</v>
      </c>
      <c r="L622" s="367">
        <v>2.0716982107299295</v>
      </c>
      <c r="M622" s="367">
        <v>2.1867925557704813</v>
      </c>
      <c r="N622" s="367">
        <v>2.4169812458515847</v>
      </c>
      <c r="O622" s="367">
        <v>2.8773586260137911</v>
      </c>
      <c r="P622" s="269">
        <v>2.6471699359326877</v>
      </c>
      <c r="Q622" s="269">
        <v>2.7622642809732398</v>
      </c>
      <c r="R622" s="269">
        <v>2.6471699359326877</v>
      </c>
      <c r="S622" s="422">
        <v>27.529</v>
      </c>
      <c r="T622" s="267"/>
      <c r="U622" s="222">
        <v>0</v>
      </c>
      <c r="V622" s="222">
        <v>0</v>
      </c>
    </row>
    <row r="623" spans="1:22" x14ac:dyDescent="0.25">
      <c r="A623" s="214">
        <v>25</v>
      </c>
      <c r="B623" s="215" t="s">
        <v>351</v>
      </c>
      <c r="C623" s="268" t="s">
        <v>298</v>
      </c>
      <c r="D623" s="265" t="s">
        <v>297</v>
      </c>
      <c r="E623" s="215" t="s">
        <v>390</v>
      </c>
      <c r="F623" s="216" t="s">
        <v>391</v>
      </c>
      <c r="G623" s="269">
        <v>0.30394639786144739</v>
      </c>
      <c r="H623" s="269">
        <v>0.27400439398812709</v>
      </c>
      <c r="I623" s="269">
        <v>0.23848668554248759</v>
      </c>
      <c r="J623" s="269">
        <v>0.24363686844998989</v>
      </c>
      <c r="K623" s="269">
        <v>0.25900972045651277</v>
      </c>
      <c r="L623" s="269">
        <v>0.27438257246303571</v>
      </c>
      <c r="M623" s="269">
        <v>0.28742666081518181</v>
      </c>
      <c r="N623" s="269">
        <v>0.31817236482822769</v>
      </c>
      <c r="O623" s="269">
        <v>0.35124683249565025</v>
      </c>
      <c r="P623" s="269">
        <v>0.36661968450217319</v>
      </c>
      <c r="Q623" s="269">
        <v>0.38897882747182649</v>
      </c>
      <c r="R623" s="269">
        <v>1.756555702064057</v>
      </c>
      <c r="S623" s="408">
        <v>2.4175429823421495</v>
      </c>
      <c r="T623" s="267"/>
      <c r="U623" s="222">
        <v>0</v>
      </c>
      <c r="V623" s="222">
        <v>0</v>
      </c>
    </row>
    <row r="624" spans="1:22" x14ac:dyDescent="0.25">
      <c r="A624" s="214">
        <v>25</v>
      </c>
      <c r="B624" s="215" t="s">
        <v>393</v>
      </c>
      <c r="C624" s="268" t="s">
        <v>298</v>
      </c>
      <c r="D624" s="265" t="s">
        <v>297</v>
      </c>
      <c r="E624" s="215" t="s">
        <v>392</v>
      </c>
      <c r="F624" s="216" t="s">
        <v>394</v>
      </c>
      <c r="G624" s="367">
        <v>8.0022127013408415</v>
      </c>
      <c r="H624" s="367">
        <v>7.201991431206757</v>
      </c>
      <c r="I624" s="367">
        <v>6.4017701610726734</v>
      </c>
      <c r="J624" s="367">
        <v>6.499701136032666</v>
      </c>
      <c r="K624" s="367">
        <v>6.905932457034706</v>
      </c>
      <c r="L624" s="367">
        <v>7.312163778036747</v>
      </c>
      <c r="M624" s="367">
        <v>7.7183950990387897</v>
      </c>
      <c r="N624" s="367">
        <v>8.5308577410428725</v>
      </c>
      <c r="O624" s="367">
        <v>10.155783025051038</v>
      </c>
      <c r="P624" s="367">
        <v>9.3433203830469544</v>
      </c>
      <c r="Q624" s="367">
        <v>9.7495517040489972</v>
      </c>
      <c r="R624" s="367">
        <v>9.3433203830469544</v>
      </c>
      <c r="S624" s="433">
        <v>97.165000000000006</v>
      </c>
      <c r="T624" s="267"/>
      <c r="U624" s="222">
        <v>0</v>
      </c>
      <c r="V624" s="222">
        <v>0</v>
      </c>
    </row>
    <row r="625" spans="1:22" x14ac:dyDescent="0.25">
      <c r="A625" s="3"/>
      <c r="B625" s="3"/>
      <c r="C625" s="3"/>
      <c r="D625" s="3"/>
      <c r="E625" s="3"/>
      <c r="F625" s="3"/>
      <c r="G625" s="410"/>
      <c r="H625" s="410"/>
      <c r="I625" s="410"/>
      <c r="J625" s="410"/>
      <c r="K625" s="410"/>
      <c r="L625" s="410"/>
      <c r="M625" s="410"/>
      <c r="N625" s="410"/>
      <c r="O625" s="410"/>
      <c r="P625" s="410"/>
      <c r="Q625" s="410"/>
      <c r="R625" s="410"/>
      <c r="S625" s="410"/>
      <c r="T625" s="429"/>
      <c r="U625" s="229">
        <v>1</v>
      </c>
      <c r="V625" s="222">
        <v>-1</v>
      </c>
    </row>
    <row r="626" spans="1:22" x14ac:dyDescent="0.25">
      <c r="A626" s="3"/>
      <c r="B626" s="3"/>
      <c r="C626" s="3"/>
      <c r="D626" s="3"/>
      <c r="E626" s="3"/>
      <c r="F626" s="3"/>
      <c r="G626" s="410"/>
      <c r="H626" s="410"/>
      <c r="I626" s="410"/>
      <c r="J626" s="410"/>
      <c r="K626" s="410"/>
      <c r="L626" s="410"/>
      <c r="M626" s="410"/>
      <c r="N626" s="410"/>
      <c r="O626" s="410"/>
      <c r="P626" s="410"/>
      <c r="Q626" s="410"/>
      <c r="R626" s="410"/>
      <c r="S626" s="410"/>
      <c r="T626" s="429"/>
      <c r="U626" s="222">
        <v>0</v>
      </c>
      <c r="V626" s="222">
        <v>0</v>
      </c>
    </row>
    <row r="627" spans="1:22" x14ac:dyDescent="0.25">
      <c r="A627" s="3"/>
      <c r="B627" s="3"/>
      <c r="C627" s="3"/>
      <c r="D627" s="3"/>
      <c r="E627" s="3"/>
      <c r="F627" s="3"/>
      <c r="G627" s="410"/>
      <c r="H627" s="410"/>
      <c r="I627" s="410"/>
      <c r="J627" s="410"/>
      <c r="K627" s="410"/>
      <c r="L627" s="410"/>
      <c r="M627" s="410"/>
      <c r="N627" s="410"/>
      <c r="O627" s="410"/>
      <c r="P627" s="410"/>
      <c r="Q627" s="410"/>
      <c r="R627" s="410"/>
      <c r="S627" s="410"/>
      <c r="T627" s="429"/>
      <c r="U627" s="222">
        <v>0</v>
      </c>
      <c r="V627" s="222">
        <v>0</v>
      </c>
    </row>
    <row r="628" spans="1:22" x14ac:dyDescent="0.25">
      <c r="A628" s="3"/>
      <c r="B628" s="3"/>
      <c r="C628" s="3"/>
      <c r="D628" s="3"/>
      <c r="E628" s="3"/>
      <c r="F628" s="3"/>
      <c r="G628" s="3"/>
      <c r="H628" s="3"/>
      <c r="I628" s="3"/>
      <c r="J628" s="3"/>
      <c r="K628" s="3"/>
      <c r="L628" s="3"/>
      <c r="M628" s="3"/>
      <c r="N628" s="3"/>
      <c r="O628" s="3"/>
      <c r="P628" s="3"/>
      <c r="Q628" s="3"/>
      <c r="R628" s="3"/>
      <c r="S628" s="3"/>
      <c r="T628" s="432"/>
      <c r="U628" s="222">
        <v>0</v>
      </c>
      <c r="V628" s="222">
        <v>0</v>
      </c>
    </row>
    <row r="629" spans="1:22" x14ac:dyDescent="0.25">
      <c r="A629" s="3"/>
      <c r="B629" s="3"/>
      <c r="C629" s="3"/>
      <c r="D629" s="3"/>
      <c r="E629" s="3"/>
      <c r="F629" s="3"/>
      <c r="G629" s="410"/>
      <c r="H629" s="410"/>
      <c r="I629" s="410"/>
      <c r="J629" s="410"/>
      <c r="K629" s="410"/>
      <c r="L629" s="410"/>
      <c r="M629" s="410"/>
      <c r="N629" s="410"/>
      <c r="O629" s="410"/>
      <c r="P629" s="410"/>
      <c r="Q629" s="410"/>
      <c r="R629" s="410"/>
      <c r="S629" s="410"/>
      <c r="T629" s="429"/>
      <c r="U629" s="222">
        <v>0</v>
      </c>
      <c r="V629" s="222">
        <v>1</v>
      </c>
    </row>
    <row r="630" spans="1:22" x14ac:dyDescent="0.25">
      <c r="A630" s="3"/>
      <c r="B630" s="3"/>
      <c r="C630" s="3"/>
      <c r="D630" s="3"/>
      <c r="E630" s="3"/>
      <c r="F630" s="3"/>
      <c r="G630" s="410"/>
      <c r="H630" s="410"/>
      <c r="I630" s="410"/>
      <c r="J630" s="410"/>
      <c r="K630" s="410"/>
      <c r="L630" s="410"/>
      <c r="M630" s="410"/>
      <c r="N630" s="410"/>
      <c r="O630" s="410"/>
      <c r="P630" s="410"/>
      <c r="Q630" s="410"/>
      <c r="R630" s="410"/>
      <c r="S630" s="410"/>
      <c r="T630" s="429"/>
      <c r="U630" s="222">
        <v>0</v>
      </c>
      <c r="V630" s="222">
        <v>1</v>
      </c>
    </row>
    <row r="631" spans="1:22" x14ac:dyDescent="0.25">
      <c r="A631" s="3"/>
      <c r="B631" s="3"/>
      <c r="C631" s="3"/>
      <c r="D631" s="3"/>
      <c r="E631" s="3"/>
      <c r="F631" s="3"/>
      <c r="G631" s="410"/>
      <c r="H631" s="410"/>
      <c r="I631" s="410"/>
      <c r="J631" s="410"/>
      <c r="K631" s="410"/>
      <c r="L631" s="410"/>
      <c r="M631" s="410"/>
      <c r="N631" s="410"/>
      <c r="O631" s="410"/>
      <c r="P631" s="410"/>
      <c r="Q631" s="410"/>
      <c r="R631" s="410"/>
      <c r="S631" s="410"/>
      <c r="T631" s="429"/>
      <c r="U631" s="222">
        <v>0</v>
      </c>
      <c r="V631" s="222">
        <v>1</v>
      </c>
    </row>
    <row r="632" spans="1:22" x14ac:dyDescent="0.25">
      <c r="A632" s="3"/>
      <c r="B632" s="3"/>
      <c r="C632" s="3"/>
      <c r="D632" s="3"/>
      <c r="E632" s="3"/>
      <c r="F632" s="3"/>
      <c r="G632" s="410"/>
      <c r="H632" s="410"/>
      <c r="I632" s="410"/>
      <c r="J632" s="410"/>
      <c r="K632" s="410"/>
      <c r="L632" s="410"/>
      <c r="M632" s="410"/>
      <c r="N632" s="410"/>
      <c r="O632" s="410"/>
      <c r="P632" s="410"/>
      <c r="Q632" s="410"/>
      <c r="R632" s="410"/>
      <c r="S632" s="410"/>
      <c r="T632" s="429"/>
      <c r="U632" s="222">
        <v>0</v>
      </c>
      <c r="V632" s="222">
        <v>-1</v>
      </c>
    </row>
    <row r="633" spans="1:22" x14ac:dyDescent="0.25">
      <c r="A633" s="3"/>
      <c r="B633" s="3"/>
      <c r="C633" s="3"/>
      <c r="D633" s="3"/>
      <c r="E633" s="3"/>
      <c r="F633" s="3"/>
      <c r="G633" s="410"/>
      <c r="H633" s="410"/>
      <c r="I633" s="410"/>
      <c r="J633" s="410"/>
      <c r="K633" s="410"/>
      <c r="L633" s="410"/>
      <c r="M633" s="410"/>
      <c r="N633" s="410"/>
      <c r="O633" s="410"/>
      <c r="P633" s="410"/>
      <c r="Q633" s="410"/>
      <c r="R633" s="410"/>
      <c r="S633" s="410"/>
      <c r="T633" s="429"/>
    </row>
    <row r="634" spans="1:22" x14ac:dyDescent="0.25">
      <c r="A634" s="3"/>
      <c r="B634" s="3"/>
      <c r="C634" s="3"/>
      <c r="D634" s="3"/>
      <c r="E634" s="3"/>
      <c r="F634" s="3"/>
      <c r="G634" s="3"/>
      <c r="H634" s="3"/>
      <c r="I634" s="3"/>
      <c r="J634" s="3"/>
      <c r="K634" s="3"/>
      <c r="L634" s="3"/>
      <c r="M634" s="3"/>
      <c r="N634" s="3"/>
      <c r="O634" s="3"/>
      <c r="P634" s="3"/>
      <c r="Q634" s="3"/>
      <c r="R634" s="3"/>
      <c r="S634" s="3"/>
      <c r="T634" s="3"/>
    </row>
    <row r="635" spans="1:22" x14ac:dyDescent="0.25">
      <c r="A635" s="3"/>
      <c r="B635" s="3"/>
      <c r="C635" s="3"/>
      <c r="D635" s="3"/>
      <c r="E635" s="3"/>
      <c r="F635" s="3"/>
      <c r="G635" s="410"/>
      <c r="H635" s="410"/>
      <c r="I635" s="410"/>
      <c r="J635" s="410"/>
      <c r="K635" s="410"/>
      <c r="L635" s="410"/>
      <c r="M635" s="410"/>
      <c r="N635" s="410"/>
      <c r="O635" s="410"/>
      <c r="P635" s="410"/>
      <c r="Q635" s="410"/>
      <c r="R635" s="410"/>
      <c r="S635" s="410"/>
      <c r="T635" s="429"/>
    </row>
    <row r="636" spans="1:22" customFormat="1" x14ac:dyDescent="0.25">
      <c r="A636" s="3"/>
      <c r="B636" s="3"/>
      <c r="C636" s="3"/>
      <c r="D636" s="3"/>
      <c r="E636" s="3"/>
      <c r="F636" s="3"/>
      <c r="G636" s="3"/>
      <c r="H636" s="3"/>
      <c r="I636" s="3"/>
      <c r="J636" s="3"/>
      <c r="K636" s="3"/>
      <c r="L636" s="3"/>
      <c r="M636" s="3"/>
      <c r="N636" s="3"/>
      <c r="O636" s="3"/>
      <c r="P636" s="3"/>
      <c r="Q636" s="3"/>
      <c r="R636" s="3"/>
      <c r="S636" s="3"/>
      <c r="T636" s="3"/>
      <c r="U636" s="437"/>
      <c r="V636" s="437"/>
    </row>
    <row r="637" spans="1:22" x14ac:dyDescent="0.25">
      <c r="A637" s="3"/>
      <c r="B637" s="3"/>
      <c r="C637" s="3"/>
      <c r="D637" s="3"/>
      <c r="E637" s="3"/>
      <c r="F637" s="3"/>
      <c r="G637" s="410"/>
      <c r="H637" s="410"/>
      <c r="I637" s="410"/>
      <c r="J637" s="410"/>
      <c r="K637" s="410"/>
      <c r="L637" s="410"/>
      <c r="M637" s="410"/>
      <c r="N637" s="410"/>
      <c r="O637" s="410"/>
      <c r="P637" s="410"/>
      <c r="Q637" s="410"/>
      <c r="R637" s="410"/>
      <c r="S637" s="410"/>
      <c r="T637" s="429"/>
    </row>
    <row r="638" spans="1:22" x14ac:dyDescent="0.25">
      <c r="A638" s="3"/>
      <c r="B638" s="3"/>
      <c r="C638" s="3"/>
      <c r="D638" s="3"/>
      <c r="E638" s="3"/>
      <c r="F638" s="3"/>
      <c r="G638" s="3"/>
      <c r="H638" s="3"/>
      <c r="I638" s="3"/>
      <c r="J638" s="3"/>
      <c r="K638" s="3"/>
      <c r="L638" s="3"/>
      <c r="M638" s="3"/>
      <c r="N638" s="3"/>
      <c r="O638" s="3"/>
      <c r="P638" s="3"/>
      <c r="Q638" s="3"/>
      <c r="R638" s="3"/>
      <c r="S638" s="3"/>
      <c r="T638" s="3"/>
    </row>
    <row r="639" spans="1:22" x14ac:dyDescent="0.25">
      <c r="A639" s="3"/>
      <c r="B639" s="3"/>
      <c r="C639" s="3"/>
      <c r="D639" s="3"/>
      <c r="E639" s="3"/>
      <c r="F639" s="3"/>
      <c r="G639" s="410"/>
      <c r="H639" s="410"/>
      <c r="I639" s="410"/>
      <c r="J639" s="410"/>
      <c r="K639" s="410"/>
      <c r="L639" s="410"/>
      <c r="M639" s="410"/>
      <c r="N639" s="410"/>
      <c r="O639" s="410"/>
      <c r="P639" s="410"/>
      <c r="Q639" s="410"/>
      <c r="R639" s="410"/>
      <c r="S639" s="410"/>
      <c r="T639" s="429"/>
    </row>
    <row r="640" spans="1:22" x14ac:dyDescent="0.25">
      <c r="A640" s="3"/>
      <c r="B640" s="3"/>
      <c r="C640" s="3"/>
      <c r="D640" s="3"/>
      <c r="E640" s="3"/>
      <c r="F640" s="3"/>
      <c r="G640" s="416"/>
      <c r="H640" s="416"/>
      <c r="I640" s="416"/>
      <c r="J640" s="416"/>
      <c r="K640" s="416"/>
      <c r="L640" s="416"/>
      <c r="M640" s="416"/>
      <c r="N640" s="416"/>
      <c r="O640" s="416"/>
      <c r="P640" s="416"/>
      <c r="Q640" s="416"/>
      <c r="R640" s="416"/>
      <c r="S640" s="416"/>
      <c r="T640" s="429"/>
    </row>
    <row r="641" spans="1:20" x14ac:dyDescent="0.25">
      <c r="A641" s="3"/>
      <c r="B641" s="3"/>
      <c r="C641" s="3"/>
      <c r="D641" s="3"/>
      <c r="E641" s="3"/>
      <c r="F641" s="3"/>
      <c r="G641" s="410"/>
      <c r="H641" s="410"/>
      <c r="I641" s="410"/>
      <c r="J641" s="410"/>
      <c r="K641" s="410"/>
      <c r="L641" s="410"/>
      <c r="M641" s="410"/>
      <c r="N641" s="410"/>
      <c r="O641" s="410"/>
      <c r="P641" s="410"/>
      <c r="Q641" s="410"/>
      <c r="R641" s="410"/>
      <c r="S641" s="410"/>
      <c r="T641" s="429"/>
    </row>
    <row r="642" spans="1:20" x14ac:dyDescent="0.25">
      <c r="G642" s="397"/>
      <c r="H642" s="397"/>
      <c r="I642" s="397"/>
      <c r="J642" s="397"/>
      <c r="K642" s="397"/>
      <c r="L642" s="397"/>
      <c r="M642" s="397"/>
      <c r="N642" s="397"/>
      <c r="O642" s="397"/>
      <c r="P642" s="397"/>
      <c r="Q642" s="397"/>
      <c r="R642" s="397"/>
    </row>
  </sheetData>
  <autoFilter ref="A1:T643" xr:uid="{99EF736D-81F1-4CCD-AE7C-F344B069DD01}"/>
  <conditionalFormatting sqref="U45:V81 U83:V86">
    <cfRule type="colorScale" priority="12">
      <colorScale>
        <cfvo type="min"/>
        <cfvo type="percentile" val="50"/>
        <cfvo type="max"/>
        <color rgb="FFFFA7A7"/>
        <color theme="0" tint="-0.14999847407452621"/>
        <color rgb="FFBCE292"/>
      </colorScale>
    </cfRule>
  </conditionalFormatting>
  <conditionalFormatting sqref="U88:V124 U126:V129">
    <cfRule type="colorScale" priority="11">
      <colorScale>
        <cfvo type="min"/>
        <cfvo type="percentile" val="50"/>
        <cfvo type="max"/>
        <color rgb="FFFFA7A7"/>
        <color theme="0" tint="-0.14999847407452621"/>
        <color rgb="FFBCE292"/>
      </colorScale>
    </cfRule>
  </conditionalFormatting>
  <conditionalFormatting sqref="U142:V178 U180:V183">
    <cfRule type="colorScale" priority="10">
      <colorScale>
        <cfvo type="min"/>
        <cfvo type="percentile" val="50"/>
        <cfvo type="max"/>
        <color rgb="FFFFA7A7"/>
        <color theme="0" tint="-0.14999847407452621"/>
        <color rgb="FFBCE292"/>
      </colorScale>
    </cfRule>
  </conditionalFormatting>
  <conditionalFormatting sqref="U185:V221 U223:V226">
    <cfRule type="colorScale" priority="9">
      <colorScale>
        <cfvo type="min"/>
        <cfvo type="percentile" val="50"/>
        <cfvo type="max"/>
        <color rgb="FFFFA7A7"/>
        <color theme="0" tint="-0.14999847407452621"/>
        <color rgb="FFBCE292"/>
      </colorScale>
    </cfRule>
  </conditionalFormatting>
  <conditionalFormatting sqref="U242:V278 U280:V283">
    <cfRule type="colorScale" priority="4">
      <colorScale>
        <cfvo type="min"/>
        <cfvo type="percentile" val="50"/>
        <cfvo type="max"/>
        <color rgb="FFFFA7A7"/>
        <color theme="0" tint="-0.14999847407452621"/>
        <color rgb="FFBCE292"/>
      </colorScale>
    </cfRule>
  </conditionalFormatting>
  <conditionalFormatting sqref="U299:V335 U337:V340">
    <cfRule type="colorScale" priority="3">
      <colorScale>
        <cfvo type="min"/>
        <cfvo type="percentile" val="50"/>
        <cfvo type="max"/>
        <color rgb="FFFFA7A7"/>
        <color theme="0" tint="-0.14999847407452621"/>
        <color rgb="FFBCE292"/>
      </colorScale>
    </cfRule>
  </conditionalFormatting>
  <conditionalFormatting sqref="U356:V392 U394:V397">
    <cfRule type="colorScale" priority="2">
      <colorScale>
        <cfvo type="min"/>
        <cfvo type="percentile" val="50"/>
        <cfvo type="max"/>
        <color rgb="FFFFA7A7"/>
        <color theme="0" tint="-0.14999847407452621"/>
        <color rgb="FFBCE292"/>
      </colorScale>
    </cfRule>
  </conditionalFormatting>
  <conditionalFormatting sqref="U413:V449 U451:V454">
    <cfRule type="colorScale" priority="1">
      <colorScale>
        <cfvo type="min"/>
        <cfvo type="percentile" val="50"/>
        <cfvo type="max"/>
        <color rgb="FFFFA7A7"/>
        <color theme="0" tint="-0.14999847407452621"/>
        <color rgb="FFBCE292"/>
      </colorScale>
    </cfRule>
  </conditionalFormatting>
  <conditionalFormatting sqref="U470:V506 U508:V511">
    <cfRule type="colorScale" priority="8">
      <colorScale>
        <cfvo type="min"/>
        <cfvo type="percentile" val="50"/>
        <cfvo type="max"/>
        <color rgb="FFFFA7A7"/>
        <color theme="0" tint="-0.14999847407452621"/>
        <color rgb="FFBCE292"/>
      </colorScale>
    </cfRule>
  </conditionalFormatting>
  <conditionalFormatting sqref="U513:V549 U551:V554">
    <cfRule type="colorScale" priority="7">
      <colorScale>
        <cfvo type="min"/>
        <cfvo type="percentile" val="50"/>
        <cfvo type="max"/>
        <color rgb="FFFFA7A7"/>
        <color theme="0" tint="-0.14999847407452621"/>
        <color rgb="FFBCE292"/>
      </colorScale>
    </cfRule>
  </conditionalFormatting>
  <conditionalFormatting sqref="U556:V592 U594:V597">
    <cfRule type="colorScale" priority="6">
      <colorScale>
        <cfvo type="min"/>
        <cfvo type="percentile" val="50"/>
        <cfvo type="max"/>
        <color rgb="FFFFA7A7"/>
        <color theme="0" tint="-0.14999847407452621"/>
        <color rgb="FFBCE292"/>
      </colorScale>
    </cfRule>
  </conditionalFormatting>
  <conditionalFormatting sqref="U599:V635 U637:V640">
    <cfRule type="colorScale" priority="5">
      <colorScale>
        <cfvo type="min"/>
        <cfvo type="percentile" val="50"/>
        <cfvo type="max"/>
        <color rgb="FFFFA7A7"/>
        <color theme="0" tint="-0.14999847407452621"/>
        <color rgb="FFBCE292"/>
      </colorScale>
    </cfRule>
  </conditionalFormatting>
  <conditionalFormatting sqref="U641:V1048576 U598:V598 U1:V38 U40:V43">
    <cfRule type="colorScale" priority="13">
      <colorScale>
        <cfvo type="min"/>
        <cfvo type="percentile" val="50"/>
        <cfvo type="max"/>
        <color rgb="FFFFA7A7"/>
        <color theme="0" tint="-0.14999847407452621"/>
        <color rgb="FFBCE292"/>
      </colorScale>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35B5-EFB7-4ED9-8D00-A938EDFA5081}">
  <sheetPr codeName="Sheet11">
    <tabColor theme="1" tint="0.14999847407452621"/>
  </sheetPr>
  <dimension ref="A1:F2"/>
  <sheetViews>
    <sheetView zoomScaleNormal="100" workbookViewId="0">
      <selection activeCell="B8" sqref="B8"/>
    </sheetView>
  </sheetViews>
  <sheetFormatPr defaultRowHeight="15" x14ac:dyDescent="0.25"/>
  <cols>
    <col min="1" max="1" width="23.88671875" customWidth="1"/>
    <col min="2" max="5" width="15.44140625" customWidth="1"/>
    <col min="6" max="6" width="43.88671875" customWidth="1"/>
  </cols>
  <sheetData>
    <row r="1" spans="1:6" x14ac:dyDescent="0.25">
      <c r="A1" s="41">
        <v>0.1</v>
      </c>
      <c r="B1" s="3" t="s">
        <v>113</v>
      </c>
      <c r="C1" s="3" t="s">
        <v>114</v>
      </c>
      <c r="D1" s="3" t="s">
        <v>115</v>
      </c>
      <c r="E1" s="3" t="s">
        <v>158</v>
      </c>
      <c r="F1" s="3" t="s">
        <v>116</v>
      </c>
    </row>
    <row r="2" spans="1:6" x14ac:dyDescent="0.25">
      <c r="A2" s="65" t="s">
        <v>202</v>
      </c>
      <c r="B2" s="193">
        <v>1.3000000000000003</v>
      </c>
      <c r="C2" s="193">
        <v>1</v>
      </c>
      <c r="D2" s="193">
        <v>1.8000000000000007</v>
      </c>
      <c r="E2" s="66">
        <v>9.9999999999999995E-7</v>
      </c>
      <c r="F2" s="67" t="str">
        <f t="shared" ref="F2" si="0">B2&amp;" "&amp;C2&amp;" "&amp;D2&amp;" "&amp;E2</f>
        <v>1.3 1 1.8 0.000001</v>
      </c>
    </row>
  </sheetData>
  <phoneticPr fontId="14" type="noConversion"/>
  <conditionalFormatting sqref="F1">
    <cfRule type="duplicateValues" dxfId="4" priority="6"/>
  </conditionalFormatting>
  <conditionalFormatting sqref="F2">
    <cfRule type="duplicateValues" dxfId="3" priority="15"/>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A706-B006-4CEA-9538-67D7A2A7931F}">
  <sheetPr codeName="Sheet3">
    <tabColor rgb="FF92D050"/>
  </sheetPr>
  <dimension ref="A1:M14"/>
  <sheetViews>
    <sheetView workbookViewId="0">
      <selection activeCell="S36" sqref="S36"/>
    </sheetView>
  </sheetViews>
  <sheetFormatPr defaultRowHeight="15" x14ac:dyDescent="0.25"/>
  <cols>
    <col min="1" max="1" width="22.5546875" customWidth="1"/>
    <col min="2" max="13" width="9.6640625" customWidth="1"/>
  </cols>
  <sheetData>
    <row r="1" spans="1:13" x14ac:dyDescent="0.25">
      <c r="A1" s="79" t="s">
        <v>185</v>
      </c>
      <c r="B1" s="80" t="s">
        <v>1</v>
      </c>
      <c r="C1" s="80" t="s">
        <v>2</v>
      </c>
      <c r="D1" s="80" t="s">
        <v>3</v>
      </c>
      <c r="E1" s="80" t="s">
        <v>4</v>
      </c>
      <c r="F1" s="80" t="s">
        <v>5</v>
      </c>
      <c r="G1" s="80" t="s">
        <v>6</v>
      </c>
      <c r="H1" s="80" t="s">
        <v>7</v>
      </c>
      <c r="I1" s="80" t="s">
        <v>8</v>
      </c>
      <c r="J1" s="80" t="s">
        <v>9</v>
      </c>
      <c r="K1" s="80" t="s">
        <v>10</v>
      </c>
      <c r="L1" s="80" t="s">
        <v>11</v>
      </c>
      <c r="M1" s="80" t="s">
        <v>12</v>
      </c>
    </row>
    <row r="2" spans="1:13" x14ac:dyDescent="0.25">
      <c r="A2" s="80" t="s">
        <v>72</v>
      </c>
      <c r="B2" s="86">
        <v>62.527943830521835</v>
      </c>
      <c r="C2" s="86">
        <v>71.057918299249579</v>
      </c>
      <c r="D2" s="86">
        <v>85.467505635250831</v>
      </c>
      <c r="E2" s="86">
        <v>90.288872169027258</v>
      </c>
      <c r="F2" s="86">
        <v>92.961838135638899</v>
      </c>
      <c r="G2" s="86">
        <v>111.57645295467177</v>
      </c>
      <c r="H2" s="86">
        <v>104.31037456132718</v>
      </c>
      <c r="I2" s="86">
        <v>93.561788557938499</v>
      </c>
      <c r="J2" s="86">
        <v>89.790349711390576</v>
      </c>
      <c r="K2" s="86">
        <v>65.542476502025664</v>
      </c>
      <c r="L2" s="86">
        <v>58.473100114267176</v>
      </c>
      <c r="M2" s="86">
        <v>53.425223669383392</v>
      </c>
    </row>
    <row r="3" spans="1:13" x14ac:dyDescent="0.25">
      <c r="A3" s="80" t="s">
        <v>73</v>
      </c>
      <c r="B3" s="86">
        <v>29.307271791094792</v>
      </c>
      <c r="C3" s="86">
        <v>41.543402465058783</v>
      </c>
      <c r="D3" s="86">
        <v>40.563148145247013</v>
      </c>
      <c r="E3" s="86">
        <v>41.663895445362805</v>
      </c>
      <c r="F3" s="86">
        <v>45.977497970882766</v>
      </c>
      <c r="G3" s="86">
        <v>50.808757149003767</v>
      </c>
      <c r="H3" s="86">
        <v>52.971507885629471</v>
      </c>
      <c r="I3" s="86">
        <v>56.606691212723561</v>
      </c>
      <c r="J3" s="86">
        <v>36.831747448704867</v>
      </c>
      <c r="K3" s="86">
        <v>31.523526052208219</v>
      </c>
      <c r="L3" s="86">
        <v>29.899797663106675</v>
      </c>
      <c r="M3" s="86">
        <v>30.156098088261061</v>
      </c>
    </row>
    <row r="4" spans="1:13" x14ac:dyDescent="0.25">
      <c r="A4" s="80" t="s">
        <v>74</v>
      </c>
      <c r="B4" s="86">
        <v>13.184141802638532</v>
      </c>
      <c r="C4" s="86">
        <v>16.826514346760916</v>
      </c>
      <c r="D4" s="86">
        <v>29.15711036859344</v>
      </c>
      <c r="E4" s="86">
        <v>33.052751281035228</v>
      </c>
      <c r="F4" s="86">
        <v>41.240791771743559</v>
      </c>
      <c r="G4" s="86">
        <v>69.30136165665904</v>
      </c>
      <c r="H4" s="86">
        <v>66.125237737199555</v>
      </c>
      <c r="I4" s="86">
        <v>43.959055344749245</v>
      </c>
      <c r="J4" s="86">
        <v>23.818728748737094</v>
      </c>
      <c r="K4" s="86">
        <v>8.7296848931652669</v>
      </c>
      <c r="L4" s="86">
        <v>4.8446021620574795</v>
      </c>
      <c r="M4" s="86">
        <v>7.4030996903167328</v>
      </c>
    </row>
    <row r="5" spans="1:13" x14ac:dyDescent="0.25">
      <c r="A5" s="81" t="s">
        <v>75</v>
      </c>
      <c r="B5" s="86">
        <v>16.955671780619056</v>
      </c>
      <c r="C5" s="86">
        <v>-0.29013948057158245</v>
      </c>
      <c r="D5" s="86">
        <v>1.3653991708463877</v>
      </c>
      <c r="E5" s="86">
        <v>1.765814160865375</v>
      </c>
      <c r="F5" s="86">
        <v>1.3063532814289545</v>
      </c>
      <c r="G5" s="86">
        <v>1.8755605050086785</v>
      </c>
      <c r="H5" s="86">
        <v>7.3067413650644539</v>
      </c>
      <c r="I5" s="86">
        <v>-4.0964669718558753</v>
      </c>
      <c r="J5" s="86">
        <v>11.442695926720177</v>
      </c>
      <c r="K5" s="86">
        <v>16.728686773194809</v>
      </c>
      <c r="L5" s="86">
        <v>17.161492678101965</v>
      </c>
      <c r="M5" s="86">
        <v>15.876980218232305</v>
      </c>
    </row>
    <row r="6" spans="1:13" x14ac:dyDescent="0.25">
      <c r="A6" s="81" t="s">
        <v>76</v>
      </c>
      <c r="B6" s="86">
        <v>0.14683992279880442</v>
      </c>
      <c r="C6" s="86">
        <v>0.15546271544599222</v>
      </c>
      <c r="D6" s="86">
        <v>0.18846689003200368</v>
      </c>
      <c r="E6" s="86">
        <v>0.20076805745139836</v>
      </c>
      <c r="F6" s="86">
        <v>0.21848292274435721</v>
      </c>
      <c r="G6" s="86">
        <v>0.28117431653123504</v>
      </c>
      <c r="H6" s="86">
        <v>0.27774541920049955</v>
      </c>
      <c r="I6" s="86">
        <v>0.22876934367201329</v>
      </c>
      <c r="J6" s="86">
        <v>0.19488385453718138</v>
      </c>
      <c r="K6" s="86">
        <v>0.14750125307455164</v>
      </c>
      <c r="L6" s="86">
        <v>0.13288000716394777</v>
      </c>
      <c r="M6" s="86">
        <v>0.12864534711015096</v>
      </c>
    </row>
    <row r="7" spans="1:13" x14ac:dyDescent="0.25">
      <c r="A7" s="80" t="s">
        <v>77</v>
      </c>
      <c r="B7" s="86">
        <v>23.81048692611186</v>
      </c>
      <c r="C7" s="86">
        <v>23.3641681687198</v>
      </c>
      <c r="D7" s="86">
        <v>50.335189827392298</v>
      </c>
      <c r="E7" s="86">
        <v>52.668607990812639</v>
      </c>
      <c r="F7" s="86">
        <v>65.821354620534123</v>
      </c>
      <c r="G7" s="86">
        <v>106.99173025017549</v>
      </c>
      <c r="H7" s="86">
        <v>112.58273629432922</v>
      </c>
      <c r="I7" s="86">
        <v>57.192820556416791</v>
      </c>
      <c r="J7" s="86">
        <v>32.74378013487371</v>
      </c>
      <c r="K7" s="86">
        <v>26.276006691130881</v>
      </c>
      <c r="L7" s="86">
        <v>26.112632918987241</v>
      </c>
      <c r="M7" s="86">
        <v>23.843305348548899</v>
      </c>
    </row>
    <row r="8" spans="1:13" x14ac:dyDescent="0.25">
      <c r="A8" s="81" t="s">
        <v>78</v>
      </c>
      <c r="B8" s="86">
        <v>-6.9200785319951201</v>
      </c>
      <c r="C8" s="86">
        <v>16.049272537236721</v>
      </c>
      <c r="D8" s="86">
        <v>38.641194930462795</v>
      </c>
      <c r="E8" s="86">
        <v>40.177758152752283</v>
      </c>
      <c r="F8" s="86">
        <v>55.143730219073475</v>
      </c>
      <c r="G8" s="86">
        <v>110.22422138677574</v>
      </c>
      <c r="H8" s="86">
        <v>134.57878320327734</v>
      </c>
      <c r="I8" s="86">
        <v>75.471246997364176</v>
      </c>
      <c r="J8" s="86">
        <v>12.701695516978081</v>
      </c>
      <c r="K8" s="86">
        <v>-6.3268806514853946</v>
      </c>
      <c r="L8" s="86">
        <v>-9.52434292873399</v>
      </c>
      <c r="M8" s="86">
        <v>-8.6249788932998221</v>
      </c>
    </row>
    <row r="9" spans="1:13" x14ac:dyDescent="0.25">
      <c r="A9" s="81" t="s">
        <v>79</v>
      </c>
      <c r="B9" s="86">
        <v>7.0026965062547362</v>
      </c>
      <c r="C9" s="86">
        <v>5.9147678248741178</v>
      </c>
      <c r="D9" s="86">
        <v>8.5817164592871205</v>
      </c>
      <c r="E9" s="86">
        <v>11.211950021578158</v>
      </c>
      <c r="F9" s="86">
        <v>17.435155639914989</v>
      </c>
      <c r="G9" s="86">
        <v>27.757083338613146</v>
      </c>
      <c r="H9" s="86">
        <v>27.290377503255442</v>
      </c>
      <c r="I9" s="86">
        <v>19.818951805295111</v>
      </c>
      <c r="J9" s="86">
        <v>15.011840592592053</v>
      </c>
      <c r="K9" s="86">
        <v>9.9199039662164754</v>
      </c>
      <c r="L9" s="86">
        <v>8.1319526074712378</v>
      </c>
      <c r="M9" s="86">
        <v>5.9284192293630671</v>
      </c>
    </row>
    <row r="10" spans="1:13" x14ac:dyDescent="0.25">
      <c r="A10" s="81" t="s">
        <v>80</v>
      </c>
      <c r="B10" s="86">
        <v>0.64340757348998068</v>
      </c>
      <c r="C10" s="86">
        <v>0.76946019193960069</v>
      </c>
      <c r="D10" s="86">
        <v>1.1205588620329934</v>
      </c>
      <c r="E10" s="86">
        <v>1.1942817802362811</v>
      </c>
      <c r="F10" s="86">
        <v>1.4105273400875262</v>
      </c>
      <c r="G10" s="86">
        <v>2.1098799114234907</v>
      </c>
      <c r="H10" s="86">
        <v>2.2272111513898949</v>
      </c>
      <c r="I10" s="86">
        <v>1.5102790061254723</v>
      </c>
      <c r="J10" s="86">
        <v>0.98059236607630851</v>
      </c>
      <c r="K10" s="86">
        <v>0.67216375927097261</v>
      </c>
      <c r="L10" s="86">
        <v>0.59589345334168797</v>
      </c>
      <c r="M10" s="86">
        <v>0.56462827469133003</v>
      </c>
    </row>
    <row r="11" spans="1:13" x14ac:dyDescent="0.25">
      <c r="A11" s="80" t="s">
        <v>81</v>
      </c>
      <c r="B11" s="86">
        <v>50.737799967117411</v>
      </c>
      <c r="C11" s="86">
        <v>43.598518354926483</v>
      </c>
      <c r="D11" s="86">
        <v>33.433653540942515</v>
      </c>
      <c r="E11" s="86">
        <v>72.648676375344678</v>
      </c>
      <c r="F11" s="86">
        <v>19.246983721261245</v>
      </c>
      <c r="G11" s="86">
        <v>-56.85496358668712</v>
      </c>
      <c r="H11" s="86">
        <v>-103.03508684796753</v>
      </c>
      <c r="I11" s="86">
        <v>-38.655118384950981</v>
      </c>
      <c r="J11" s="86">
        <v>40.891373425747332</v>
      </c>
      <c r="K11" s="86">
        <v>119.35792719028063</v>
      </c>
      <c r="L11" s="86">
        <v>117.66611551515382</v>
      </c>
      <c r="M11" s="86">
        <v>76.058052351458031</v>
      </c>
    </row>
    <row r="12" spans="1:13" x14ac:dyDescent="0.25">
      <c r="A12" s="80" t="s">
        <v>82</v>
      </c>
      <c r="B12" s="86">
        <v>18.032250845858346</v>
      </c>
      <c r="C12" s="86">
        <v>26.504547286353571</v>
      </c>
      <c r="D12" s="86">
        <v>54.90066272430991</v>
      </c>
      <c r="E12" s="86">
        <v>64.264576855644748</v>
      </c>
      <c r="F12" s="86">
        <v>77.162890730479631</v>
      </c>
      <c r="G12" s="86">
        <v>108.9324487949075</v>
      </c>
      <c r="H12" s="86">
        <v>120.89369774394639</v>
      </c>
      <c r="I12" s="86">
        <v>84.234095899193349</v>
      </c>
      <c r="J12" s="86">
        <v>44.901987885135945</v>
      </c>
      <c r="K12" s="86">
        <v>23.490770851844669</v>
      </c>
      <c r="L12" s="86">
        <v>16.145777963578077</v>
      </c>
      <c r="M12" s="86">
        <v>10.119919409788936</v>
      </c>
    </row>
    <row r="13" spans="1:13" x14ac:dyDescent="0.25">
      <c r="A13" s="80" t="s">
        <v>83</v>
      </c>
      <c r="B13" s="86">
        <v>1.9939008239257783</v>
      </c>
      <c r="C13" s="86">
        <v>2.2120135901377838</v>
      </c>
      <c r="D13" s="86">
        <v>2.9177166043443199</v>
      </c>
      <c r="E13" s="86">
        <v>3.4835694488329945</v>
      </c>
      <c r="F13" s="86">
        <v>3.4420476325586886</v>
      </c>
      <c r="G13" s="86">
        <v>4.2835480594159154</v>
      </c>
      <c r="H13" s="86">
        <v>4.0872285684111711</v>
      </c>
      <c r="I13" s="86">
        <v>3.0868486612876596</v>
      </c>
      <c r="J13" s="86">
        <v>2.6707847245086631</v>
      </c>
      <c r="K13" s="86">
        <v>2.753242388172549</v>
      </c>
      <c r="L13" s="86">
        <v>2.5605467089991665</v>
      </c>
      <c r="M13" s="86">
        <v>2.0682775083238925</v>
      </c>
    </row>
    <row r="14" spans="1:13" x14ac:dyDescent="0.25">
      <c r="A14" s="80" t="s">
        <v>84</v>
      </c>
      <c r="B14" s="86">
        <v>102.29923816411304</v>
      </c>
      <c r="C14" s="86">
        <v>136.38971131943762</v>
      </c>
      <c r="D14" s="86">
        <v>227.56763951074225</v>
      </c>
      <c r="E14" s="86">
        <v>273.66463093473578</v>
      </c>
      <c r="F14" s="86">
        <v>280.12588610500143</v>
      </c>
      <c r="G14" s="86">
        <v>338.44775213312994</v>
      </c>
      <c r="H14" s="86">
        <v>284.77649558114376</v>
      </c>
      <c r="I14" s="86">
        <v>190.45090013486271</v>
      </c>
      <c r="J14" s="86">
        <v>136.6009274320154</v>
      </c>
      <c r="K14" s="86">
        <v>126.26184397215889</v>
      </c>
      <c r="L14" s="86">
        <v>101.86521484333889</v>
      </c>
      <c r="M14" s="86">
        <v>82.40431477966888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7D7B9-926E-4BFF-8A09-222E8E3B64E0}">
  <sheetPr codeName="Sheet10">
    <tabColor theme="8" tint="-0.499984740745262"/>
  </sheetPr>
  <dimension ref="A1:M14"/>
  <sheetViews>
    <sheetView zoomScale="85" zoomScaleNormal="85" workbookViewId="0">
      <selection activeCell="B1" sqref="B1:M1"/>
    </sheetView>
  </sheetViews>
  <sheetFormatPr defaultRowHeight="15" x14ac:dyDescent="0.25"/>
  <cols>
    <col min="1" max="1" width="47.6640625" customWidth="1"/>
    <col min="2" max="13" width="9.6640625" customWidth="1"/>
  </cols>
  <sheetData>
    <row r="1" spans="1:13" x14ac:dyDescent="0.25">
      <c r="A1" s="82" t="s">
        <v>170</v>
      </c>
      <c r="B1" s="83" t="s">
        <v>140</v>
      </c>
      <c r="C1" s="83" t="s">
        <v>139</v>
      </c>
      <c r="D1" s="83" t="s">
        <v>138</v>
      </c>
      <c r="E1" s="83" t="s">
        <v>137</v>
      </c>
      <c r="F1" s="83" t="s">
        <v>136</v>
      </c>
      <c r="G1" s="83" t="s">
        <v>135</v>
      </c>
      <c r="H1" s="83" t="s">
        <v>134</v>
      </c>
      <c r="I1" s="83" t="s">
        <v>133</v>
      </c>
      <c r="J1" s="83" t="s">
        <v>132</v>
      </c>
      <c r="K1" s="83" t="s">
        <v>131</v>
      </c>
      <c r="L1" s="83" t="s">
        <v>130</v>
      </c>
      <c r="M1" s="83" t="s">
        <v>129</v>
      </c>
    </row>
    <row r="2" spans="1:13" x14ac:dyDescent="0.25">
      <c r="A2" s="83" t="s">
        <v>72</v>
      </c>
      <c r="B2" s="84">
        <v>50.409095039999997</v>
      </c>
      <c r="C2" s="84">
        <v>58.1344128</v>
      </c>
      <c r="D2" s="84">
        <v>71.0874144</v>
      </c>
      <c r="E2" s="84">
        <v>75.228756480000001</v>
      </c>
      <c r="F2" s="84">
        <v>76.853387519999998</v>
      </c>
      <c r="G2" s="84">
        <v>91.321119359999997</v>
      </c>
      <c r="H2" s="84">
        <v>84.469132799999997</v>
      </c>
      <c r="I2" s="84">
        <v>77.2088976</v>
      </c>
      <c r="J2" s="84">
        <v>74.5967232</v>
      </c>
      <c r="K2" s="84">
        <v>52.544047679999998</v>
      </c>
      <c r="L2" s="84">
        <v>46.121512319999994</v>
      </c>
      <c r="M2" s="84">
        <v>42.247526399999998</v>
      </c>
    </row>
    <row r="3" spans="1:13" x14ac:dyDescent="0.25">
      <c r="A3" s="83" t="s">
        <v>73</v>
      </c>
      <c r="B3" s="84">
        <v>21.167475551999999</v>
      </c>
      <c r="C3" s="84">
        <v>29.827180800000001</v>
      </c>
      <c r="D3" s="84">
        <v>31.000337279999997</v>
      </c>
      <c r="E3" s="84">
        <v>32.338733759999997</v>
      </c>
      <c r="F3" s="84">
        <v>36.505244160000004</v>
      </c>
      <c r="G3" s="84">
        <v>40.662665279999999</v>
      </c>
      <c r="H3" s="84">
        <v>42.007247999999997</v>
      </c>
      <c r="I3" s="84">
        <v>41.50341504</v>
      </c>
      <c r="J3" s="84">
        <v>28.033257600000002</v>
      </c>
      <c r="K3" s="84">
        <v>23.989705632</v>
      </c>
      <c r="L3" s="84">
        <v>22.775211935999998</v>
      </c>
      <c r="M3" s="84">
        <v>21.72723264</v>
      </c>
    </row>
    <row r="4" spans="1:13" x14ac:dyDescent="0.25">
      <c r="A4" s="83" t="s">
        <v>74</v>
      </c>
      <c r="B4" s="84">
        <v>6.0858069119999998</v>
      </c>
      <c r="C4" s="84">
        <v>8.7886944000000007</v>
      </c>
      <c r="D4" s="84">
        <v>15.951827231999999</v>
      </c>
      <c r="E4" s="84">
        <v>18.214673472000001</v>
      </c>
      <c r="F4" s="84">
        <v>21.892961664000001</v>
      </c>
      <c r="G4" s="84">
        <v>34.848662399999995</v>
      </c>
      <c r="H4" s="84">
        <v>35.003923200000003</v>
      </c>
      <c r="I4" s="84">
        <v>23.307758208000003</v>
      </c>
      <c r="J4" s="84">
        <v>13.12710624</v>
      </c>
      <c r="K4" s="84">
        <v>3.596475168</v>
      </c>
      <c r="L4" s="84">
        <v>1.5618768192000001</v>
      </c>
      <c r="M4" s="84">
        <v>2.7205632000000004</v>
      </c>
    </row>
    <row r="5" spans="1:13" x14ac:dyDescent="0.25">
      <c r="A5" s="85" t="s">
        <v>75</v>
      </c>
      <c r="B5" s="84">
        <v>95.529957120000006</v>
      </c>
      <c r="C5" s="84">
        <v>104.79196800000001</v>
      </c>
      <c r="D5" s="84">
        <v>129.09191616000001</v>
      </c>
      <c r="E5" s="84">
        <v>137.32397856</v>
      </c>
      <c r="F5" s="84">
        <v>142.69215743999999</v>
      </c>
      <c r="G5" s="84">
        <v>176.10533568000002</v>
      </c>
      <c r="H5" s="84">
        <v>173.38069439999998</v>
      </c>
      <c r="I5" s="84">
        <v>151.37915040000001</v>
      </c>
      <c r="J5" s="84">
        <v>132.7961952</v>
      </c>
      <c r="K5" s="84">
        <v>97.186279679999998</v>
      </c>
      <c r="L5" s="84">
        <v>84.099081600000005</v>
      </c>
      <c r="M5" s="84">
        <v>81.754012799999998</v>
      </c>
    </row>
    <row r="6" spans="1:13" x14ac:dyDescent="0.25">
      <c r="A6" s="85" t="s">
        <v>76</v>
      </c>
      <c r="B6" s="84">
        <v>95.643253439999995</v>
      </c>
      <c r="C6" s="84">
        <v>104.91612480000001</v>
      </c>
      <c r="D6" s="84">
        <v>129.24619200000001</v>
      </c>
      <c r="E6" s="84">
        <v>137.49030719999999</v>
      </c>
      <c r="F6" s="84">
        <v>142.86125952</v>
      </c>
      <c r="G6" s="84">
        <v>176.31692927999998</v>
      </c>
      <c r="H6" s="84">
        <v>173.5906464</v>
      </c>
      <c r="I6" s="84">
        <v>151.56074591999999</v>
      </c>
      <c r="J6" s="84">
        <v>132.954048</v>
      </c>
      <c r="K6" s="84">
        <v>97.305736319999994</v>
      </c>
      <c r="L6" s="84">
        <v>84.197914560000001</v>
      </c>
      <c r="M6" s="84">
        <v>81.849398399999998</v>
      </c>
    </row>
    <row r="7" spans="1:13" x14ac:dyDescent="0.25">
      <c r="A7" s="83" t="s">
        <v>77</v>
      </c>
      <c r="B7" s="84">
        <v>11.485193471999999</v>
      </c>
      <c r="C7" s="84">
        <v>11.025123840000001</v>
      </c>
      <c r="D7" s="84">
        <v>26.028878688000002</v>
      </c>
      <c r="E7" s="84">
        <v>28.279082879999997</v>
      </c>
      <c r="F7" s="84">
        <v>33.635831039999999</v>
      </c>
      <c r="G7" s="84">
        <v>51.545540160000002</v>
      </c>
      <c r="H7" s="84">
        <v>52.852176</v>
      </c>
      <c r="I7" s="84">
        <v>32.112408959999996</v>
      </c>
      <c r="J7" s="84">
        <v>18.496667519999999</v>
      </c>
      <c r="K7" s="84">
        <v>15.017708447999999</v>
      </c>
      <c r="L7" s="84">
        <v>15.253193375999999</v>
      </c>
      <c r="M7" s="84">
        <v>12.984649919999999</v>
      </c>
    </row>
    <row r="8" spans="1:13" x14ac:dyDescent="0.25">
      <c r="A8" s="85" t="s">
        <v>78</v>
      </c>
      <c r="B8" s="84">
        <v>105.57476063999999</v>
      </c>
      <c r="C8" s="84">
        <v>128.1723264</v>
      </c>
      <c r="D8" s="84">
        <v>174.74176224000001</v>
      </c>
      <c r="E8" s="84">
        <v>184.05911232</v>
      </c>
      <c r="F8" s="84">
        <v>199.66117247999998</v>
      </c>
      <c r="G8" s="84">
        <v>267.44279327999999</v>
      </c>
      <c r="H8" s="84">
        <v>284.65862400000003</v>
      </c>
      <c r="I8" s="84">
        <v>215.51424192000002</v>
      </c>
      <c r="J8" s="84">
        <v>156.18096</v>
      </c>
      <c r="K8" s="84">
        <v>107.81443872</v>
      </c>
      <c r="L8" s="84">
        <v>96.138757440000006</v>
      </c>
      <c r="M8" s="84">
        <v>93.857875199999995</v>
      </c>
    </row>
    <row r="9" spans="1:13" x14ac:dyDescent="0.25">
      <c r="A9" s="85" t="s">
        <v>79</v>
      </c>
      <c r="B9" s="84">
        <v>111.82748544</v>
      </c>
      <c r="C9" s="84">
        <v>133.34932800000001</v>
      </c>
      <c r="D9" s="84">
        <v>181.21813343999997</v>
      </c>
      <c r="E9" s="84">
        <v>191.91941279999998</v>
      </c>
      <c r="F9" s="84">
        <v>210.23815679999998</v>
      </c>
      <c r="G9" s="84">
        <v>283.43900159999998</v>
      </c>
      <c r="H9" s="84">
        <v>304.68182400000001</v>
      </c>
      <c r="I9" s="84">
        <v>227.62034208</v>
      </c>
      <c r="J9" s="84">
        <v>166.4896032</v>
      </c>
      <c r="K9" s="84">
        <v>116.47772352</v>
      </c>
      <c r="L9" s="84">
        <v>102.78199296</v>
      </c>
      <c r="M9" s="84">
        <v>99.190915199999992</v>
      </c>
    </row>
    <row r="10" spans="1:13" x14ac:dyDescent="0.25">
      <c r="A10" s="85" t="s">
        <v>80</v>
      </c>
      <c r="B10" s="84">
        <v>112.31281152</v>
      </c>
      <c r="C10" s="84">
        <v>133.93563839999999</v>
      </c>
      <c r="D10" s="84">
        <v>182.01817152000001</v>
      </c>
      <c r="E10" s="84">
        <v>192.76605504</v>
      </c>
      <c r="F10" s="84">
        <v>211.16543616000001</v>
      </c>
      <c r="G10" s="84">
        <v>284.68981439999999</v>
      </c>
      <c r="H10" s="84">
        <v>306.02188799999999</v>
      </c>
      <c r="I10" s="84">
        <v>228.62259935999998</v>
      </c>
      <c r="J10" s="84">
        <v>167.22391680000001</v>
      </c>
      <c r="K10" s="84">
        <v>116.98635168</v>
      </c>
      <c r="L10" s="84">
        <v>103.22633952</v>
      </c>
      <c r="M10" s="84">
        <v>99.615484800000004</v>
      </c>
    </row>
    <row r="11" spans="1:13" x14ac:dyDescent="0.25">
      <c r="A11" s="83" t="s">
        <v>81</v>
      </c>
      <c r="B11" s="84">
        <v>142.85112479999998</v>
      </c>
      <c r="C11" s="84">
        <v>155.8250784</v>
      </c>
      <c r="D11" s="84">
        <v>219.16918655999999</v>
      </c>
      <c r="E11" s="84">
        <v>260.97151104</v>
      </c>
      <c r="F11" s="84">
        <v>251.02586879999998</v>
      </c>
      <c r="G11" s="84">
        <v>312.13537919999999</v>
      </c>
      <c r="H11" s="84">
        <v>291.89289600000001</v>
      </c>
      <c r="I11" s="84">
        <v>227.79363455999999</v>
      </c>
      <c r="J11" s="84">
        <v>199.42951679999999</v>
      </c>
      <c r="K11" s="84">
        <v>208.32380928000001</v>
      </c>
      <c r="L11" s="84">
        <v>195.04430207999999</v>
      </c>
      <c r="M11" s="84">
        <v>139.64374079999999</v>
      </c>
    </row>
    <row r="12" spans="1:13" x14ac:dyDescent="0.25">
      <c r="A12" s="83" t="s">
        <v>82</v>
      </c>
      <c r="B12" s="84">
        <v>9.7824006719999996</v>
      </c>
      <c r="C12" s="84">
        <v>14.524064640000001</v>
      </c>
      <c r="D12" s="84">
        <v>30.475906559999995</v>
      </c>
      <c r="E12" s="84">
        <v>35.357826240000001</v>
      </c>
      <c r="F12" s="84">
        <v>43.631481600000001</v>
      </c>
      <c r="G12" s="84">
        <v>62.114774399999995</v>
      </c>
      <c r="H12" s="84">
        <v>68.906246400000001</v>
      </c>
      <c r="I12" s="84">
        <v>46.721473919999994</v>
      </c>
      <c r="J12" s="84">
        <v>24.538075200000002</v>
      </c>
      <c r="K12" s="84">
        <v>12.861141119999999</v>
      </c>
      <c r="L12" s="84">
        <v>8.7512434559999992</v>
      </c>
      <c r="M12" s="84">
        <v>5.27941152</v>
      </c>
    </row>
    <row r="13" spans="1:13" x14ac:dyDescent="0.25">
      <c r="A13" s="83" t="s">
        <v>83</v>
      </c>
      <c r="B13" s="84">
        <v>152.86137696</v>
      </c>
      <c r="C13" s="84">
        <v>177.0825888</v>
      </c>
      <c r="D13" s="84">
        <v>261.61111296000001</v>
      </c>
      <c r="E13" s="84">
        <v>306.03934079999999</v>
      </c>
      <c r="F13" s="84">
        <v>305.59092479999998</v>
      </c>
      <c r="G13" s="84">
        <v>383.12369280000001</v>
      </c>
      <c r="H13" s="84">
        <v>373.86748800000004</v>
      </c>
      <c r="I13" s="84">
        <v>288.94043519999997</v>
      </c>
      <c r="J13" s="84">
        <v>234.451584</v>
      </c>
      <c r="K13" s="84">
        <v>225.13505472</v>
      </c>
      <c r="L13" s="84">
        <v>203.437872</v>
      </c>
      <c r="M13" s="84">
        <v>143.92028160000001</v>
      </c>
    </row>
    <row r="14" spans="1:13" x14ac:dyDescent="0.25">
      <c r="A14" s="83" t="s">
        <v>84</v>
      </c>
      <c r="B14" s="84">
        <v>224.70517151999999</v>
      </c>
      <c r="C14" s="84">
        <v>280.1952</v>
      </c>
      <c r="D14" s="84">
        <v>427.85832959999999</v>
      </c>
      <c r="E14" s="84">
        <v>491.85334079999996</v>
      </c>
      <c r="F14" s="84">
        <v>496.88432640000002</v>
      </c>
      <c r="G14" s="84">
        <v>612.37330559999998</v>
      </c>
      <c r="H14" s="84">
        <v>564.48057600000004</v>
      </c>
      <c r="I14" s="84">
        <v>420.53826239999995</v>
      </c>
      <c r="J14" s="84">
        <v>331.20576</v>
      </c>
      <c r="K14" s="84">
        <v>311.54077439999998</v>
      </c>
      <c r="L14" s="84">
        <v>269.54346239999995</v>
      </c>
      <c r="M14" s="84">
        <v>201.2364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60532-4DB3-4B9F-8813-5FF420E9BE71}">
  <sheetPr codeName="Sheet12">
    <tabColor theme="8" tint="-0.499984740745262"/>
  </sheetPr>
  <dimension ref="A1:M14"/>
  <sheetViews>
    <sheetView zoomScale="85" zoomScaleNormal="85" workbookViewId="0">
      <selection activeCell="P31" sqref="P31"/>
    </sheetView>
  </sheetViews>
  <sheetFormatPr defaultRowHeight="15" x14ac:dyDescent="0.25"/>
  <cols>
    <col min="1" max="1" width="47.6640625" customWidth="1"/>
    <col min="2" max="13" width="9.6640625" customWidth="1"/>
  </cols>
  <sheetData>
    <row r="1" spans="1:13" x14ac:dyDescent="0.25">
      <c r="A1" s="82" t="s">
        <v>170</v>
      </c>
      <c r="B1" s="83" t="s">
        <v>140</v>
      </c>
      <c r="C1" s="83" t="s">
        <v>139</v>
      </c>
      <c r="D1" s="83" t="s">
        <v>138</v>
      </c>
      <c r="E1" s="83" t="s">
        <v>137</v>
      </c>
      <c r="F1" s="83" t="s">
        <v>136</v>
      </c>
      <c r="G1" s="83" t="s">
        <v>135</v>
      </c>
      <c r="H1" s="83" t="s">
        <v>134</v>
      </c>
      <c r="I1" s="83" t="s">
        <v>133</v>
      </c>
      <c r="J1" s="83" t="s">
        <v>132</v>
      </c>
      <c r="K1" s="83" t="s">
        <v>131</v>
      </c>
      <c r="L1" s="83" t="s">
        <v>130</v>
      </c>
      <c r="M1" s="83" t="s">
        <v>129</v>
      </c>
    </row>
    <row r="2" spans="1:13" x14ac:dyDescent="0.25">
      <c r="A2" s="83" t="s">
        <v>72</v>
      </c>
      <c r="B2" s="84">
        <v>45.267370559999996</v>
      </c>
      <c r="C2" s="84">
        <v>52.223097600000003</v>
      </c>
      <c r="D2" s="84">
        <v>64.342667519999992</v>
      </c>
      <c r="E2" s="84">
        <v>68.474903040000001</v>
      </c>
      <c r="F2" s="84">
        <v>70.437427200000002</v>
      </c>
      <c r="G2" s="84">
        <v>83.616969600000004</v>
      </c>
      <c r="H2" s="84">
        <v>76.964515200000008</v>
      </c>
      <c r="I2" s="84">
        <v>70.250146560000005</v>
      </c>
      <c r="J2" s="84">
        <v>68.182559999999995</v>
      </c>
      <c r="K2" s="84">
        <v>46.836377279999994</v>
      </c>
      <c r="L2" s="84">
        <v>41.415563519999999</v>
      </c>
      <c r="M2" s="84">
        <v>38.558851199999999</v>
      </c>
    </row>
    <row r="3" spans="1:13" x14ac:dyDescent="0.25">
      <c r="A3" s="83" t="s">
        <v>73</v>
      </c>
      <c r="B3" s="84">
        <v>18.374654304</v>
      </c>
      <c r="C3" s="84">
        <v>25.993612800000001</v>
      </c>
      <c r="D3" s="84">
        <v>26.833014719999998</v>
      </c>
      <c r="E3" s="84">
        <v>28.11891456</v>
      </c>
      <c r="F3" s="84">
        <v>32.592188159999999</v>
      </c>
      <c r="G3" s="84">
        <v>36.105099840000001</v>
      </c>
      <c r="H3" s="84">
        <v>37.513756799999996</v>
      </c>
      <c r="I3" s="84">
        <v>36.36758304</v>
      </c>
      <c r="J3" s="84">
        <v>24.701345280000002</v>
      </c>
      <c r="K3" s="84">
        <v>20.843255232000001</v>
      </c>
      <c r="L3" s="84">
        <v>19.447701695999999</v>
      </c>
      <c r="M3" s="84">
        <v>18.964860480000002</v>
      </c>
    </row>
    <row r="4" spans="1:13" x14ac:dyDescent="0.25">
      <c r="A4" s="83" t="s">
        <v>74</v>
      </c>
      <c r="B4" s="84">
        <v>3.6957366719999993</v>
      </c>
      <c r="C4" s="84">
        <v>5.9390496000000006</v>
      </c>
      <c r="D4" s="84">
        <v>11.524940927999999</v>
      </c>
      <c r="E4" s="84">
        <v>13.569042239999998</v>
      </c>
      <c r="F4" s="84">
        <v>16.16485248</v>
      </c>
      <c r="G4" s="84">
        <v>25.702703135999997</v>
      </c>
      <c r="H4" s="84">
        <v>24.736104000000001</v>
      </c>
      <c r="I4" s="84">
        <v>17.170231392000002</v>
      </c>
      <c r="J4" s="84">
        <v>9.6076627200000004</v>
      </c>
      <c r="K4" s="84">
        <v>2.0042520767999998</v>
      </c>
      <c r="L4" s="84">
        <v>0.79760609279999994</v>
      </c>
      <c r="M4" s="84">
        <v>1.448295552</v>
      </c>
    </row>
    <row r="5" spans="1:13" x14ac:dyDescent="0.25">
      <c r="A5" s="85" t="s">
        <v>75</v>
      </c>
      <c r="B5" s="84">
        <v>83.277080639999994</v>
      </c>
      <c r="C5" s="84">
        <v>91.391846400000006</v>
      </c>
      <c r="D5" s="84">
        <v>116.58244895999999</v>
      </c>
      <c r="E5" s="84">
        <v>124.67737727999999</v>
      </c>
      <c r="F5" s="84">
        <v>129.44340864</v>
      </c>
      <c r="G5" s="84">
        <v>158.30120735999998</v>
      </c>
      <c r="H5" s="84">
        <v>154.86966720000001</v>
      </c>
      <c r="I5" s="84">
        <v>137.28701663999999</v>
      </c>
      <c r="J5" s="84">
        <v>121.02955200000001</v>
      </c>
      <c r="K5" s="84">
        <v>84.367725120000003</v>
      </c>
      <c r="L5" s="84">
        <v>72.923457600000006</v>
      </c>
      <c r="M5" s="84">
        <v>72.048268800000002</v>
      </c>
    </row>
    <row r="6" spans="1:13" x14ac:dyDescent="0.25">
      <c r="A6" s="85" t="s">
        <v>76</v>
      </c>
      <c r="B6" s="84">
        <v>83.377788479999992</v>
      </c>
      <c r="C6" s="84">
        <v>91.501747200000011</v>
      </c>
      <c r="D6" s="84">
        <v>116.72172575999998</v>
      </c>
      <c r="E6" s="84">
        <v>124.82924256</v>
      </c>
      <c r="F6" s="84">
        <v>129.59606016000001</v>
      </c>
      <c r="G6" s="84">
        <v>158.48976671999998</v>
      </c>
      <c r="H6" s="84">
        <v>155.05680960000001</v>
      </c>
      <c r="I6" s="84">
        <v>137.45173824</v>
      </c>
      <c r="J6" s="84">
        <v>121.17470399999999</v>
      </c>
      <c r="K6" s="84">
        <v>84.473789760000003</v>
      </c>
      <c r="L6" s="84">
        <v>73.007291519999995</v>
      </c>
      <c r="M6" s="84">
        <v>72.129916800000004</v>
      </c>
    </row>
    <row r="7" spans="1:13" x14ac:dyDescent="0.25">
      <c r="A7" s="83" t="s">
        <v>77</v>
      </c>
      <c r="B7" s="84">
        <v>7.8755941439999999</v>
      </c>
      <c r="C7" s="84">
        <v>6.9518735999999999</v>
      </c>
      <c r="D7" s="84">
        <v>18.827598527999999</v>
      </c>
      <c r="E7" s="84">
        <v>20.5781472</v>
      </c>
      <c r="F7" s="84">
        <v>25.018882559999998</v>
      </c>
      <c r="G7" s="84">
        <v>39.409709759999998</v>
      </c>
      <c r="H7" s="84">
        <v>39.379478400000004</v>
      </c>
      <c r="I7" s="84">
        <v>23.910264288</v>
      </c>
      <c r="J7" s="84">
        <v>12.931306559999999</v>
      </c>
      <c r="K7" s="84">
        <v>10.576465919999999</v>
      </c>
      <c r="L7" s="84">
        <v>10.953022175999999</v>
      </c>
      <c r="M7" s="84">
        <v>9.2100239999999989</v>
      </c>
    </row>
    <row r="8" spans="1:13" x14ac:dyDescent="0.25">
      <c r="A8" s="85" t="s">
        <v>78</v>
      </c>
      <c r="B8" s="84">
        <v>93.309027839999999</v>
      </c>
      <c r="C8" s="84">
        <v>110.6721792</v>
      </c>
      <c r="D8" s="84">
        <v>150.93533951999999</v>
      </c>
      <c r="E8" s="84">
        <v>159.44113440000001</v>
      </c>
      <c r="F8" s="84">
        <v>169.82542079999999</v>
      </c>
      <c r="G8" s="84">
        <v>222.61682303999999</v>
      </c>
      <c r="H8" s="84">
        <v>227.81476799999999</v>
      </c>
      <c r="I8" s="84">
        <v>184.65934175999999</v>
      </c>
      <c r="J8" s="84">
        <v>136.89311039999998</v>
      </c>
      <c r="K8" s="84">
        <v>93.853546559999998</v>
      </c>
      <c r="L8" s="84">
        <v>86.629633920000003</v>
      </c>
      <c r="M8" s="84">
        <v>84.502310399999999</v>
      </c>
    </row>
    <row r="9" spans="1:13" x14ac:dyDescent="0.25">
      <c r="A9" s="85" t="s">
        <v>79</v>
      </c>
      <c r="B9" s="84">
        <v>99.188383679999987</v>
      </c>
      <c r="C9" s="84">
        <v>116.03243519999999</v>
      </c>
      <c r="D9" s="84">
        <v>157.10235551999997</v>
      </c>
      <c r="E9" s="84">
        <v>166.18855968</v>
      </c>
      <c r="F9" s="84">
        <v>178.07513471999999</v>
      </c>
      <c r="G9" s="84">
        <v>234.26545247999996</v>
      </c>
      <c r="H9" s="84">
        <v>242.1941472</v>
      </c>
      <c r="I9" s="84">
        <v>194.55254784000002</v>
      </c>
      <c r="J9" s="84">
        <v>146.42856</v>
      </c>
      <c r="K9" s="84">
        <v>101.89410336</v>
      </c>
      <c r="L9" s="84">
        <v>92.016967680000008</v>
      </c>
      <c r="M9" s="84">
        <v>89.1215136</v>
      </c>
    </row>
    <row r="10" spans="1:13" x14ac:dyDescent="0.25">
      <c r="A10" s="85" t="s">
        <v>80</v>
      </c>
      <c r="B10" s="84">
        <v>99.612106560000001</v>
      </c>
      <c r="C10" s="84">
        <v>116.54020800000001</v>
      </c>
      <c r="D10" s="84">
        <v>157.79445407999998</v>
      </c>
      <c r="E10" s="84">
        <v>166.92110208</v>
      </c>
      <c r="F10" s="84">
        <v>178.86113280000001</v>
      </c>
      <c r="G10" s="84">
        <v>235.29636863999997</v>
      </c>
      <c r="H10" s="84">
        <v>243.25945920000001</v>
      </c>
      <c r="I10" s="84">
        <v>195.40990367999999</v>
      </c>
      <c r="J10" s="84">
        <v>147.07500480000002</v>
      </c>
      <c r="K10" s="84">
        <v>102.33336095999999</v>
      </c>
      <c r="L10" s="84">
        <v>92.405335679999993</v>
      </c>
      <c r="M10" s="84">
        <v>89.495020800000006</v>
      </c>
    </row>
    <row r="11" spans="1:13" x14ac:dyDescent="0.25">
      <c r="A11" s="83" t="s">
        <v>81</v>
      </c>
      <c r="B11" s="84">
        <v>119.85331103999999</v>
      </c>
      <c r="C11" s="84">
        <v>130.18656960000001</v>
      </c>
      <c r="D11" s="84">
        <v>188.80255871999998</v>
      </c>
      <c r="E11" s="84">
        <v>230.58934848000001</v>
      </c>
      <c r="F11" s="84">
        <v>217.78049664</v>
      </c>
      <c r="G11" s="84">
        <v>271.84420799999998</v>
      </c>
      <c r="H11" s="84">
        <v>252.61528319999999</v>
      </c>
      <c r="I11" s="84">
        <v>195.58132127999997</v>
      </c>
      <c r="J11" s="84">
        <v>170.04504960000003</v>
      </c>
      <c r="K11" s="84">
        <v>177.85192031999998</v>
      </c>
      <c r="L11" s="84">
        <v>166.82467968</v>
      </c>
      <c r="M11" s="84">
        <v>114.21181440000001</v>
      </c>
    </row>
    <row r="12" spans="1:13" x14ac:dyDescent="0.25">
      <c r="A12" s="83" t="s">
        <v>82</v>
      </c>
      <c r="B12" s="84">
        <v>7.0482631680000001</v>
      </c>
      <c r="C12" s="84">
        <v>10.777536000000001</v>
      </c>
      <c r="D12" s="84">
        <v>22.546155168000002</v>
      </c>
      <c r="E12" s="84">
        <v>26.301995136000002</v>
      </c>
      <c r="F12" s="84">
        <v>32.230033919999997</v>
      </c>
      <c r="G12" s="84">
        <v>46.09231776</v>
      </c>
      <c r="H12" s="84">
        <v>51.537513599999997</v>
      </c>
      <c r="I12" s="84">
        <v>34.782238079999999</v>
      </c>
      <c r="J12" s="84">
        <v>18.11349216</v>
      </c>
      <c r="K12" s="84">
        <v>9.5107573439999999</v>
      </c>
      <c r="L12" s="84">
        <v>6.0855122879999994</v>
      </c>
      <c r="M12" s="84">
        <v>3.9654748799999999</v>
      </c>
    </row>
    <row r="13" spans="1:13" x14ac:dyDescent="0.25">
      <c r="A13" s="83" t="s">
        <v>83</v>
      </c>
      <c r="B13" s="84">
        <v>125.40456288</v>
      </c>
      <c r="C13" s="84">
        <v>145.3894272</v>
      </c>
      <c r="D13" s="84">
        <v>226.49327135999999</v>
      </c>
      <c r="E13" s="84">
        <v>267.93106560000001</v>
      </c>
      <c r="F13" s="84">
        <v>264.007296</v>
      </c>
      <c r="G13" s="84">
        <v>331.84840319999995</v>
      </c>
      <c r="H13" s="84">
        <v>319.300704</v>
      </c>
      <c r="I13" s="84">
        <v>249.84195551999997</v>
      </c>
      <c r="J13" s="84">
        <v>199.85019840000001</v>
      </c>
      <c r="K13" s="84">
        <v>190.11229631999998</v>
      </c>
      <c r="L13" s="84">
        <v>169.8895728</v>
      </c>
      <c r="M13" s="84">
        <v>115.65711360000002</v>
      </c>
    </row>
    <row r="14" spans="1:13" x14ac:dyDescent="0.25">
      <c r="A14" s="83" t="s">
        <v>84</v>
      </c>
      <c r="B14" s="84">
        <v>188.28053856</v>
      </c>
      <c r="C14" s="84">
        <v>232.83184320000001</v>
      </c>
      <c r="D14" s="84">
        <v>367.88359680000002</v>
      </c>
      <c r="E14" s="84">
        <v>423.89161919999998</v>
      </c>
      <c r="F14" s="84">
        <v>422.54714879999995</v>
      </c>
      <c r="G14" s="84">
        <v>517.97845439999992</v>
      </c>
      <c r="H14" s="84">
        <v>476.13225600000004</v>
      </c>
      <c r="I14" s="84">
        <v>358.81721279999999</v>
      </c>
      <c r="J14" s="84">
        <v>279.886752</v>
      </c>
      <c r="K14" s="84">
        <v>259.75953503999995</v>
      </c>
      <c r="L14" s="84">
        <v>220.90184352</v>
      </c>
      <c r="M14" s="84">
        <v>164.2034592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43CBB-3543-4272-B286-B2C4EC7D4250}">
  <sheetPr codeName="Sheet45">
    <tabColor theme="8" tint="-0.499984740745262"/>
  </sheetPr>
  <dimension ref="A1:M14"/>
  <sheetViews>
    <sheetView zoomScale="85" zoomScaleNormal="85" workbookViewId="0">
      <selection activeCell="O26" sqref="O26"/>
    </sheetView>
  </sheetViews>
  <sheetFormatPr defaultRowHeight="15" x14ac:dyDescent="0.25"/>
  <cols>
    <col min="1" max="1" width="47.6640625" customWidth="1"/>
    <col min="2" max="13" width="9.6640625" customWidth="1"/>
  </cols>
  <sheetData>
    <row r="1" spans="1:13" x14ac:dyDescent="0.25">
      <c r="A1" s="82" t="s">
        <v>170</v>
      </c>
      <c r="B1" s="83" t="s">
        <v>140</v>
      </c>
      <c r="C1" s="83" t="s">
        <v>139</v>
      </c>
      <c r="D1" s="83" t="s">
        <v>138</v>
      </c>
      <c r="E1" s="83" t="s">
        <v>137</v>
      </c>
      <c r="F1" s="83" t="s">
        <v>136</v>
      </c>
      <c r="G1" s="83" t="s">
        <v>135</v>
      </c>
      <c r="H1" s="83" t="s">
        <v>134</v>
      </c>
      <c r="I1" s="83" t="s">
        <v>133</v>
      </c>
      <c r="J1" s="83" t="s">
        <v>132</v>
      </c>
      <c r="K1" s="83" t="s">
        <v>131</v>
      </c>
      <c r="L1" s="83" t="s">
        <v>130</v>
      </c>
      <c r="M1" s="83" t="s">
        <v>129</v>
      </c>
    </row>
    <row r="2" spans="1:13" x14ac:dyDescent="0.25">
      <c r="A2" s="83" t="s">
        <v>72</v>
      </c>
      <c r="B2" s="87">
        <v>41.366548799999997</v>
      </c>
      <c r="C2" s="87">
        <v>46.907164800000004</v>
      </c>
      <c r="D2" s="87">
        <v>58.276627199999993</v>
      </c>
      <c r="E2" s="87">
        <v>62.267978880000001</v>
      </c>
      <c r="F2" s="87">
        <v>64.205326079999992</v>
      </c>
      <c r="G2" s="87">
        <v>76.447964159999998</v>
      </c>
      <c r="H2" s="87">
        <v>69.633043200000003</v>
      </c>
      <c r="I2" s="87">
        <v>63.632355839999995</v>
      </c>
      <c r="J2" s="87">
        <v>61.909660799999997</v>
      </c>
      <c r="K2" s="87">
        <v>42.166051199999998</v>
      </c>
      <c r="L2" s="87">
        <v>38.442003839999998</v>
      </c>
      <c r="M2" s="87">
        <v>36.184060799999997</v>
      </c>
    </row>
    <row r="3" spans="1:13" x14ac:dyDescent="0.25">
      <c r="A3" s="83" t="s">
        <v>73</v>
      </c>
      <c r="B3" s="87">
        <v>16.247442239999998</v>
      </c>
      <c r="C3" s="87">
        <v>22.72196448</v>
      </c>
      <c r="D3" s="87">
        <v>23.034507839999996</v>
      </c>
      <c r="E3" s="87">
        <v>23.942860415999998</v>
      </c>
      <c r="F3" s="87">
        <v>28.844605439999999</v>
      </c>
      <c r="G3" s="87">
        <v>31.55637312</v>
      </c>
      <c r="H3" s="87">
        <v>33.159455999999999</v>
      </c>
      <c r="I3" s="87">
        <v>31.733683200000002</v>
      </c>
      <c r="J3" s="87">
        <v>21.536850240000003</v>
      </c>
      <c r="K3" s="87">
        <v>17.440348031999999</v>
      </c>
      <c r="L3" s="87">
        <v>16.623677088000001</v>
      </c>
      <c r="M3" s="87">
        <v>16.807694399999999</v>
      </c>
    </row>
    <row r="4" spans="1:13" x14ac:dyDescent="0.25">
      <c r="A4" s="83" t="s">
        <v>74</v>
      </c>
      <c r="B4" s="87">
        <v>2.2302608255999998</v>
      </c>
      <c r="C4" s="87">
        <v>3.6394272000000001</v>
      </c>
      <c r="D4" s="87">
        <v>7.9870959359999993</v>
      </c>
      <c r="E4" s="87">
        <v>9.7558041599999985</v>
      </c>
      <c r="F4" s="87">
        <v>11.923003008</v>
      </c>
      <c r="G4" s="87">
        <v>19.248000191999999</v>
      </c>
      <c r="H4" s="87">
        <v>18.234745920000002</v>
      </c>
      <c r="I4" s="87">
        <v>12.786065568</v>
      </c>
      <c r="J4" s="87">
        <v>6.6095740800000007</v>
      </c>
      <c r="K4" s="87">
        <v>0.97869003839999991</v>
      </c>
      <c r="L4" s="87">
        <v>0.32776116479999995</v>
      </c>
      <c r="M4" s="87">
        <v>0.78671606399999994</v>
      </c>
    </row>
    <row r="5" spans="1:13" x14ac:dyDescent="0.25">
      <c r="A5" s="85" t="s">
        <v>75</v>
      </c>
      <c r="B5" s="87">
        <v>73.039968000000002</v>
      </c>
      <c r="C5" s="87">
        <v>79.978752</v>
      </c>
      <c r="D5" s="87">
        <v>103.62729599999999</v>
      </c>
      <c r="E5" s="87">
        <v>112.41967968</v>
      </c>
      <c r="F5" s="87">
        <v>118.09566720000001</v>
      </c>
      <c r="G5" s="87">
        <v>144.42977375999999</v>
      </c>
      <c r="H5" s="87">
        <v>139.9610016</v>
      </c>
      <c r="I5" s="87">
        <v>124.65969984</v>
      </c>
      <c r="J5" s="87">
        <v>109.5576192</v>
      </c>
      <c r="K5" s="87">
        <v>73.107731520000002</v>
      </c>
      <c r="L5" s="87">
        <v>63.828950399999997</v>
      </c>
      <c r="M5" s="87">
        <v>63.454233599999995</v>
      </c>
    </row>
    <row r="6" spans="1:13" x14ac:dyDescent="0.25">
      <c r="A6" s="85" t="s">
        <v>76</v>
      </c>
      <c r="B6" s="87">
        <v>73.12594464</v>
      </c>
      <c r="C6" s="87">
        <v>80.075952000000001</v>
      </c>
      <c r="D6" s="87">
        <v>103.75237727999999</v>
      </c>
      <c r="E6" s="87">
        <v>112.55868864</v>
      </c>
      <c r="F6" s="87">
        <v>118.23598080000001</v>
      </c>
      <c r="G6" s="87">
        <v>144.60119136</v>
      </c>
      <c r="H6" s="87">
        <v>140.12948160000002</v>
      </c>
      <c r="I6" s="87">
        <v>124.80995808</v>
      </c>
      <c r="J6" s="87">
        <v>109.6900704</v>
      </c>
      <c r="K6" s="87">
        <v>73.196386559999993</v>
      </c>
      <c r="L6" s="87">
        <v>63.89832096</v>
      </c>
      <c r="M6" s="87">
        <v>63.5242176</v>
      </c>
    </row>
    <row r="7" spans="1:13" x14ac:dyDescent="0.25">
      <c r="A7" s="83" t="s">
        <v>77</v>
      </c>
      <c r="B7" s="87">
        <v>5.1908195519999998</v>
      </c>
      <c r="C7" s="87">
        <v>4.2144105600000001</v>
      </c>
      <c r="D7" s="87">
        <v>13.75010208</v>
      </c>
      <c r="E7" s="87">
        <v>14.808578975999998</v>
      </c>
      <c r="F7" s="87">
        <v>18.9006048</v>
      </c>
      <c r="G7" s="87">
        <v>31.07265408</v>
      </c>
      <c r="H7" s="87">
        <v>31.336761600000003</v>
      </c>
      <c r="I7" s="87">
        <v>17.485050527999999</v>
      </c>
      <c r="J7" s="87">
        <v>8.1931564800000007</v>
      </c>
      <c r="K7" s="87">
        <v>6.8744082239999988</v>
      </c>
      <c r="L7" s="87">
        <v>7.3783759680000003</v>
      </c>
      <c r="M7" s="87">
        <v>6.1274879999999996</v>
      </c>
    </row>
    <row r="8" spans="1:13" x14ac:dyDescent="0.25">
      <c r="A8" s="85" t="s">
        <v>78</v>
      </c>
      <c r="B8" s="87">
        <v>84.310139519999993</v>
      </c>
      <c r="C8" s="87">
        <v>97.196630400000004</v>
      </c>
      <c r="D8" s="87">
        <v>131.08919904000001</v>
      </c>
      <c r="E8" s="87">
        <v>138.32409311999999</v>
      </c>
      <c r="F8" s="87">
        <v>147.17372544</v>
      </c>
      <c r="G8" s="87">
        <v>192.44491488</v>
      </c>
      <c r="H8" s="87">
        <v>192.31525440000001</v>
      </c>
      <c r="I8" s="87">
        <v>160.18814015999999</v>
      </c>
      <c r="J8" s="87">
        <v>119.8348992</v>
      </c>
      <c r="K8" s="87">
        <v>84.585746880000002</v>
      </c>
      <c r="L8" s="87">
        <v>80.236560960000006</v>
      </c>
      <c r="M8" s="87">
        <v>77.841129600000002</v>
      </c>
    </row>
    <row r="9" spans="1:13" x14ac:dyDescent="0.25">
      <c r="A9" s="85" t="s">
        <v>79</v>
      </c>
      <c r="B9" s="87">
        <v>89.492843519999994</v>
      </c>
      <c r="C9" s="87">
        <v>101.87881920000001</v>
      </c>
      <c r="D9" s="87">
        <v>136.57857984</v>
      </c>
      <c r="E9" s="87">
        <v>144.78439391999999</v>
      </c>
      <c r="F9" s="87">
        <v>154.25424000000001</v>
      </c>
      <c r="G9" s="87">
        <v>201.52281599999998</v>
      </c>
      <c r="H9" s="87">
        <v>202.6267488</v>
      </c>
      <c r="I9" s="87">
        <v>168.93579456000001</v>
      </c>
      <c r="J9" s="87">
        <v>128.73297600000001</v>
      </c>
      <c r="K9" s="87">
        <v>91.004800320000001</v>
      </c>
      <c r="L9" s="87">
        <v>84.982417919999989</v>
      </c>
      <c r="M9" s="87">
        <v>82.044575999999992</v>
      </c>
    </row>
    <row r="10" spans="1:13" x14ac:dyDescent="0.25">
      <c r="A10" s="85" t="s">
        <v>80</v>
      </c>
      <c r="B10" s="87">
        <v>89.866212479999987</v>
      </c>
      <c r="C10" s="87">
        <v>102.31738560000001</v>
      </c>
      <c r="D10" s="87">
        <v>137.17773792</v>
      </c>
      <c r="E10" s="87">
        <v>145.42319232</v>
      </c>
      <c r="F10" s="87">
        <v>154.93572864000001</v>
      </c>
      <c r="G10" s="87">
        <v>202.41016991999999</v>
      </c>
      <c r="H10" s="87">
        <v>203.51787840000003</v>
      </c>
      <c r="I10" s="87">
        <v>169.68092543999998</v>
      </c>
      <c r="J10" s="87">
        <v>129.299328</v>
      </c>
      <c r="K10" s="87">
        <v>91.388079359999992</v>
      </c>
      <c r="L10" s="87">
        <v>85.332752639999995</v>
      </c>
      <c r="M10" s="87">
        <v>82.380499200000003</v>
      </c>
    </row>
    <row r="11" spans="1:13" x14ac:dyDescent="0.25">
      <c r="A11" s="83" t="s">
        <v>81</v>
      </c>
      <c r="B11" s="87">
        <v>99.478990079999988</v>
      </c>
      <c r="C11" s="87">
        <v>107.5112352</v>
      </c>
      <c r="D11" s="87">
        <v>161.45582687999999</v>
      </c>
      <c r="E11" s="87">
        <v>200.91749759999999</v>
      </c>
      <c r="F11" s="87">
        <v>191.03720832000002</v>
      </c>
      <c r="G11" s="87">
        <v>239.77733183999999</v>
      </c>
      <c r="H11" s="87">
        <v>224.72458559999998</v>
      </c>
      <c r="I11" s="87">
        <v>168.51582144</v>
      </c>
      <c r="J11" s="87">
        <v>141.3757152</v>
      </c>
      <c r="K11" s="87">
        <v>149.09527871999998</v>
      </c>
      <c r="L11" s="87">
        <v>139.62472416</v>
      </c>
      <c r="M11" s="87">
        <v>93.21117120000001</v>
      </c>
    </row>
    <row r="12" spans="1:13" x14ac:dyDescent="0.25">
      <c r="A12" s="83" t="s">
        <v>82</v>
      </c>
      <c r="B12" s="87">
        <v>5.2134252479999992</v>
      </c>
      <c r="C12" s="87">
        <v>7.81729056</v>
      </c>
      <c r="D12" s="87">
        <v>16.629676703999998</v>
      </c>
      <c r="E12" s="87">
        <v>19.533303360000001</v>
      </c>
      <c r="F12" s="87">
        <v>23.900873471999997</v>
      </c>
      <c r="G12" s="87">
        <v>34.151474880000002</v>
      </c>
      <c r="H12" s="87">
        <v>38.200377600000003</v>
      </c>
      <c r="I12" s="87">
        <v>25.671714048000002</v>
      </c>
      <c r="J12" s="87">
        <v>13.30553952</v>
      </c>
      <c r="K12" s="87">
        <v>6.7968417600000004</v>
      </c>
      <c r="L12" s="87">
        <v>4.4528935679999995</v>
      </c>
      <c r="M12" s="87">
        <v>3.19666176</v>
      </c>
    </row>
    <row r="13" spans="1:13" x14ac:dyDescent="0.25">
      <c r="A13" s="83" t="s">
        <v>83</v>
      </c>
      <c r="B13" s="87">
        <v>101.22369983999999</v>
      </c>
      <c r="C13" s="87">
        <v>119.6487936</v>
      </c>
      <c r="D13" s="87">
        <v>193.39039007999997</v>
      </c>
      <c r="E13" s="87">
        <v>233.74343232000001</v>
      </c>
      <c r="F13" s="87">
        <v>229.83754752000002</v>
      </c>
      <c r="G13" s="87">
        <v>291.51437759999999</v>
      </c>
      <c r="H13" s="87">
        <v>279.22060800000003</v>
      </c>
      <c r="I13" s="87">
        <v>217.36930176000001</v>
      </c>
      <c r="J13" s="87">
        <v>167.1448608</v>
      </c>
      <c r="K13" s="87">
        <v>156.52944575999999</v>
      </c>
      <c r="L13" s="87">
        <v>137.676456</v>
      </c>
      <c r="M13" s="87">
        <v>92.732947200000012</v>
      </c>
    </row>
    <row r="14" spans="1:13" x14ac:dyDescent="0.25">
      <c r="A14" s="83" t="s">
        <v>84</v>
      </c>
      <c r="B14" s="87">
        <v>155.15944415999999</v>
      </c>
      <c r="C14" s="87">
        <v>191.30359680000001</v>
      </c>
      <c r="D14" s="87">
        <v>314.27006399999999</v>
      </c>
      <c r="E14" s="87">
        <v>368.14875839999996</v>
      </c>
      <c r="F14" s="87">
        <v>365.04034560000002</v>
      </c>
      <c r="G14" s="87">
        <v>445.72593599999993</v>
      </c>
      <c r="H14" s="87">
        <v>409.05388799999997</v>
      </c>
      <c r="I14" s="87">
        <v>309.48911999999996</v>
      </c>
      <c r="J14" s="87">
        <v>232.3256256</v>
      </c>
      <c r="K14" s="87">
        <v>213.61257791999998</v>
      </c>
      <c r="L14" s="87">
        <v>180.92511647999999</v>
      </c>
      <c r="M14" s="87">
        <v>136.76325119999998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BE4E-604A-450C-B312-564691C831E5}">
  <sheetPr codeName="Sheet46">
    <tabColor theme="8" tint="-0.499984740745262"/>
  </sheetPr>
  <dimension ref="A1:M14"/>
  <sheetViews>
    <sheetView zoomScale="85" zoomScaleNormal="85" workbookViewId="0">
      <selection activeCell="O26" sqref="O26"/>
    </sheetView>
  </sheetViews>
  <sheetFormatPr defaultRowHeight="15" x14ac:dyDescent="0.25"/>
  <cols>
    <col min="1" max="1" width="47.6640625" customWidth="1"/>
    <col min="2" max="13" width="9.6640625" customWidth="1"/>
  </cols>
  <sheetData>
    <row r="1" spans="1:13" x14ac:dyDescent="0.25">
      <c r="A1" s="82" t="s">
        <v>170</v>
      </c>
      <c r="B1" s="83" t="s">
        <v>140</v>
      </c>
      <c r="C1" s="83" t="s">
        <v>139</v>
      </c>
      <c r="D1" s="83" t="s">
        <v>138</v>
      </c>
      <c r="E1" s="83" t="s">
        <v>137</v>
      </c>
      <c r="F1" s="83" t="s">
        <v>136</v>
      </c>
      <c r="G1" s="83" t="s">
        <v>135</v>
      </c>
      <c r="H1" s="83" t="s">
        <v>134</v>
      </c>
      <c r="I1" s="83" t="s">
        <v>133</v>
      </c>
      <c r="J1" s="83" t="s">
        <v>132</v>
      </c>
      <c r="K1" s="83" t="s">
        <v>131</v>
      </c>
      <c r="L1" s="83" t="s">
        <v>130</v>
      </c>
      <c r="M1" s="83" t="s">
        <v>129</v>
      </c>
    </row>
    <row r="2" spans="1:13" x14ac:dyDescent="0.25">
      <c r="A2" s="83" t="s">
        <v>72</v>
      </c>
      <c r="B2" s="88">
        <v>38.680113599999999</v>
      </c>
      <c r="C2" s="88">
        <v>42.494544000000005</v>
      </c>
      <c r="D2" s="88">
        <v>52.127824319999995</v>
      </c>
      <c r="E2" s="88">
        <v>55.934098560000002</v>
      </c>
      <c r="F2" s="88">
        <v>58.41569664</v>
      </c>
      <c r="G2" s="88">
        <v>69.954451199999994</v>
      </c>
      <c r="H2" s="88">
        <v>63.382694399999998</v>
      </c>
      <c r="I2" s="88">
        <v>57.604080960000005</v>
      </c>
      <c r="J2" s="88">
        <v>55.768175999999997</v>
      </c>
      <c r="K2" s="88">
        <v>38.947417919999999</v>
      </c>
      <c r="L2" s="88">
        <v>37.046557440000001</v>
      </c>
      <c r="M2" s="88">
        <v>35.224502400000006</v>
      </c>
    </row>
    <row r="3" spans="1:13" x14ac:dyDescent="0.25">
      <c r="A3" s="83" t="s">
        <v>73</v>
      </c>
      <c r="B3" s="88">
        <v>14.546765376</v>
      </c>
      <c r="C3" s="88">
        <v>20.05204896</v>
      </c>
      <c r="D3" s="88">
        <v>20.106105983999999</v>
      </c>
      <c r="E3" s="88">
        <v>20.772572256</v>
      </c>
      <c r="F3" s="88">
        <v>24.88679424</v>
      </c>
      <c r="G3" s="88">
        <v>27.322626239999998</v>
      </c>
      <c r="H3" s="88">
        <v>28.789084800000001</v>
      </c>
      <c r="I3" s="88">
        <v>27.637873919999997</v>
      </c>
      <c r="J3" s="88">
        <v>18.05245056</v>
      </c>
      <c r="K3" s="88">
        <v>14.936070815999999</v>
      </c>
      <c r="L3" s="88">
        <v>14.535114335999998</v>
      </c>
      <c r="M3" s="88">
        <v>15.21545472</v>
      </c>
    </row>
    <row r="4" spans="1:13" x14ac:dyDescent="0.25">
      <c r="A4" s="83" t="s">
        <v>74</v>
      </c>
      <c r="B4" s="88">
        <v>1.3335030431999999</v>
      </c>
      <c r="C4" s="88">
        <v>2.0209772159999999</v>
      </c>
      <c r="D4" s="88">
        <v>5.2365666239999999</v>
      </c>
      <c r="E4" s="88">
        <v>6.6554758079999994</v>
      </c>
      <c r="F4" s="88">
        <v>8.6814685439999995</v>
      </c>
      <c r="G4" s="88">
        <v>14.637268511999999</v>
      </c>
      <c r="H4" s="88">
        <v>13.829149440000002</v>
      </c>
      <c r="I4" s="88">
        <v>9.2972085119999992</v>
      </c>
      <c r="J4" s="88">
        <v>4.1687136000000002</v>
      </c>
      <c r="K4" s="88">
        <v>0.42418356480000002</v>
      </c>
      <c r="L4" s="88">
        <v>0.16365961439999999</v>
      </c>
      <c r="M4" s="88">
        <v>0.36194687999999997</v>
      </c>
    </row>
    <row r="5" spans="1:13" x14ac:dyDescent="0.25">
      <c r="A5" s="85" t="s">
        <v>75</v>
      </c>
      <c r="B5" s="88">
        <v>65.277964799999992</v>
      </c>
      <c r="C5" s="88">
        <v>70.661289600000003</v>
      </c>
      <c r="D5" s="88">
        <v>91.020067199999986</v>
      </c>
      <c r="E5" s="88">
        <v>99.666745919999997</v>
      </c>
      <c r="F5" s="88">
        <v>107.17757568</v>
      </c>
      <c r="G5" s="88">
        <v>132.90301152000001</v>
      </c>
      <c r="H5" s="88">
        <v>127.59742080000001</v>
      </c>
      <c r="I5" s="88">
        <v>112.16442816</v>
      </c>
      <c r="J5" s="88">
        <v>98.020886399999995</v>
      </c>
      <c r="K5" s="88">
        <v>64.133216640000001</v>
      </c>
      <c r="L5" s="88">
        <v>57.518907840000004</v>
      </c>
      <c r="M5" s="88">
        <v>57.311452800000005</v>
      </c>
    </row>
    <row r="6" spans="1:13" x14ac:dyDescent="0.25">
      <c r="A6" s="85" t="s">
        <v>76</v>
      </c>
      <c r="B6" s="88">
        <v>65.350013759999996</v>
      </c>
      <c r="C6" s="88">
        <v>70.743455999999995</v>
      </c>
      <c r="D6" s="88">
        <v>91.128274560000008</v>
      </c>
      <c r="E6" s="88">
        <v>99.790487999999996</v>
      </c>
      <c r="F6" s="88">
        <v>107.30603520000001</v>
      </c>
      <c r="G6" s="88">
        <v>133.06076927999999</v>
      </c>
      <c r="H6" s="88">
        <v>127.7500896</v>
      </c>
      <c r="I6" s="88">
        <v>112.29995519999999</v>
      </c>
      <c r="J6" s="88">
        <v>98.138044800000003</v>
      </c>
      <c r="K6" s="88">
        <v>64.205533439999996</v>
      </c>
      <c r="L6" s="88">
        <v>57.577832639999997</v>
      </c>
      <c r="M6" s="88">
        <v>57.370809600000001</v>
      </c>
    </row>
    <row r="7" spans="1:13" x14ac:dyDescent="0.25">
      <c r="A7" s="83" t="s">
        <v>77</v>
      </c>
      <c r="B7" s="88">
        <v>3.2976192959999997</v>
      </c>
      <c r="C7" s="88">
        <v>2.3122584000000002</v>
      </c>
      <c r="D7" s="88">
        <v>9.6366957119999999</v>
      </c>
      <c r="E7" s="88">
        <v>10.18113408</v>
      </c>
      <c r="F7" s="88">
        <v>13.840339968</v>
      </c>
      <c r="G7" s="88">
        <v>24.114385152000001</v>
      </c>
      <c r="H7" s="88">
        <v>24.617908800000002</v>
      </c>
      <c r="I7" s="88">
        <v>12.011927616000001</v>
      </c>
      <c r="J7" s="88">
        <v>4.4706556800000001</v>
      </c>
      <c r="K7" s="88">
        <v>4.0399110719999998</v>
      </c>
      <c r="L7" s="88">
        <v>4.6828877760000003</v>
      </c>
      <c r="M7" s="88">
        <v>3.8218003200000004</v>
      </c>
    </row>
    <row r="8" spans="1:13" x14ac:dyDescent="0.25">
      <c r="A8" s="85" t="s">
        <v>78</v>
      </c>
      <c r="B8" s="88">
        <v>79.812838079999992</v>
      </c>
      <c r="C8" s="88">
        <v>87.019401599999995</v>
      </c>
      <c r="D8" s="88">
        <v>114.12555264</v>
      </c>
      <c r="E8" s="88">
        <v>120.588264</v>
      </c>
      <c r="F8" s="88">
        <v>127.98051840000001</v>
      </c>
      <c r="G8" s="88">
        <v>168.71536223999999</v>
      </c>
      <c r="H8" s="88">
        <v>168.06579840000001</v>
      </c>
      <c r="I8" s="88">
        <v>140.04228671999999</v>
      </c>
      <c r="J8" s="88">
        <v>104.10171840000001</v>
      </c>
      <c r="K8" s="88">
        <v>79.455003839999989</v>
      </c>
      <c r="L8" s="88">
        <v>77.224164479999999</v>
      </c>
      <c r="M8" s="88">
        <v>74.3574816</v>
      </c>
    </row>
    <row r="9" spans="1:13" x14ac:dyDescent="0.25">
      <c r="A9" s="85" t="s">
        <v>79</v>
      </c>
      <c r="B9" s="88">
        <v>83.81008224</v>
      </c>
      <c r="C9" s="88">
        <v>91.50511680000001</v>
      </c>
      <c r="D9" s="88">
        <v>119.32513055999999</v>
      </c>
      <c r="E9" s="88">
        <v>126.52627679999999</v>
      </c>
      <c r="F9" s="88">
        <v>134.62872192</v>
      </c>
      <c r="G9" s="88">
        <v>176.39112095999999</v>
      </c>
      <c r="H9" s="88">
        <v>176.44936320000002</v>
      </c>
      <c r="I9" s="88">
        <v>147.82303872</v>
      </c>
      <c r="J9" s="88">
        <v>112.44484800000001</v>
      </c>
      <c r="K9" s="88">
        <v>84.446470079999997</v>
      </c>
      <c r="L9" s="88">
        <v>81.067936319999987</v>
      </c>
      <c r="M9" s="88">
        <v>77.897376000000008</v>
      </c>
    </row>
    <row r="10" spans="1:13" x14ac:dyDescent="0.25">
      <c r="A10" s="85" t="s">
        <v>80</v>
      </c>
      <c r="B10" s="88">
        <v>84.151042559999993</v>
      </c>
      <c r="C10" s="88">
        <v>91.894435200000004</v>
      </c>
      <c r="D10" s="88">
        <v>119.8463472</v>
      </c>
      <c r="E10" s="88">
        <v>127.08097343999998</v>
      </c>
      <c r="F10" s="88">
        <v>135.22118400000002</v>
      </c>
      <c r="G10" s="88">
        <v>177.17026752000001</v>
      </c>
      <c r="H10" s="88">
        <v>177.2256672</v>
      </c>
      <c r="I10" s="88">
        <v>148.47469344000001</v>
      </c>
      <c r="J10" s="88">
        <v>112.93525440000001</v>
      </c>
      <c r="K10" s="88">
        <v>84.794662079999995</v>
      </c>
      <c r="L10" s="88">
        <v>81.393094079999997</v>
      </c>
      <c r="M10" s="88">
        <v>78.207638399999993</v>
      </c>
    </row>
    <row r="11" spans="1:13" x14ac:dyDescent="0.25">
      <c r="A11" s="83" t="s">
        <v>81</v>
      </c>
      <c r="B11" s="88">
        <v>81.329080319999989</v>
      </c>
      <c r="C11" s="88">
        <v>91.792310400000005</v>
      </c>
      <c r="D11" s="88">
        <v>136.07343359999999</v>
      </c>
      <c r="E11" s="88">
        <v>172.94723424</v>
      </c>
      <c r="F11" s="88">
        <v>166.33935359999998</v>
      </c>
      <c r="G11" s="88">
        <v>212.21713151999998</v>
      </c>
      <c r="H11" s="88">
        <v>199.99509120000002</v>
      </c>
      <c r="I11" s="88">
        <v>144.19755648</v>
      </c>
      <c r="J11" s="88">
        <v>119.69856</v>
      </c>
      <c r="K11" s="88">
        <v>120.80735712000001</v>
      </c>
      <c r="L11" s="88">
        <v>112.36691520000001</v>
      </c>
      <c r="M11" s="88">
        <v>79.550035199999996</v>
      </c>
    </row>
    <row r="12" spans="1:13" x14ac:dyDescent="0.25">
      <c r="A12" s="83" t="s">
        <v>82</v>
      </c>
      <c r="B12" s="88">
        <v>4.2136053120000003</v>
      </c>
      <c r="C12" s="88">
        <v>5.5172016000000008</v>
      </c>
      <c r="D12" s="88">
        <v>12.282312095999998</v>
      </c>
      <c r="E12" s="88">
        <v>14.306137920000001</v>
      </c>
      <c r="F12" s="88">
        <v>17.701310591999999</v>
      </c>
      <c r="G12" s="88">
        <v>25.259427935999998</v>
      </c>
      <c r="H12" s="88">
        <v>28.296345600000002</v>
      </c>
      <c r="I12" s="88">
        <v>18.763665119999999</v>
      </c>
      <c r="J12" s="88">
        <v>9.876867840000001</v>
      </c>
      <c r="K12" s="88">
        <v>4.9097214720000002</v>
      </c>
      <c r="L12" s="88">
        <v>3.6435346559999999</v>
      </c>
      <c r="M12" s="88">
        <v>2.8184112000000003</v>
      </c>
    </row>
    <row r="13" spans="1:13" x14ac:dyDescent="0.25">
      <c r="A13" s="83" t="s">
        <v>83</v>
      </c>
      <c r="B13" s="88">
        <v>82.012608</v>
      </c>
      <c r="C13" s="88">
        <v>99.40397759999999</v>
      </c>
      <c r="D13" s="88">
        <v>163.61756352</v>
      </c>
      <c r="E13" s="88">
        <v>200.33923104000002</v>
      </c>
      <c r="F13" s="88">
        <v>200.65401216000001</v>
      </c>
      <c r="G13" s="88">
        <v>257.86751328000003</v>
      </c>
      <c r="H13" s="88">
        <v>247.65782400000001</v>
      </c>
      <c r="I13" s="88">
        <v>186.34244831999999</v>
      </c>
      <c r="J13" s="88">
        <v>139.27826880000001</v>
      </c>
      <c r="K13" s="88">
        <v>125.28537408</v>
      </c>
      <c r="L13" s="88">
        <v>107.2792944</v>
      </c>
      <c r="M13" s="88">
        <v>78.124953599999998</v>
      </c>
    </row>
    <row r="14" spans="1:13" x14ac:dyDescent="0.25">
      <c r="A14" s="83" t="s">
        <v>84</v>
      </c>
      <c r="B14" s="88">
        <v>128.92531968</v>
      </c>
      <c r="C14" s="88">
        <v>158.97954240000001</v>
      </c>
      <c r="D14" s="88">
        <v>265.12062048000001</v>
      </c>
      <c r="E14" s="88">
        <v>315.81014399999998</v>
      </c>
      <c r="F14" s="88">
        <v>316.09025279999997</v>
      </c>
      <c r="G14" s="88">
        <v>386.71274879999999</v>
      </c>
      <c r="H14" s="88">
        <v>356.87174399999998</v>
      </c>
      <c r="I14" s="88">
        <v>263.19431520000001</v>
      </c>
      <c r="J14" s="88">
        <v>194.7890592</v>
      </c>
      <c r="K14" s="88">
        <v>176.11738847999999</v>
      </c>
      <c r="L14" s="88">
        <v>145.79361503999999</v>
      </c>
      <c r="M14" s="88">
        <v>118.887264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FB607-372F-4C5D-A8D7-9BA201D4CA23}">
  <sheetPr codeName="Sheet48">
    <tabColor theme="8" tint="-0.499984740745262"/>
  </sheetPr>
  <dimension ref="A1:M14"/>
  <sheetViews>
    <sheetView zoomScale="85" zoomScaleNormal="85" workbookViewId="0">
      <selection activeCell="O26" sqref="O26"/>
    </sheetView>
  </sheetViews>
  <sheetFormatPr defaultRowHeight="15" x14ac:dyDescent="0.25"/>
  <cols>
    <col min="1" max="1" width="47.6640625" customWidth="1"/>
    <col min="2" max="13" width="9.6640625" customWidth="1"/>
  </cols>
  <sheetData>
    <row r="1" spans="1:13" x14ac:dyDescent="0.25">
      <c r="A1" s="82" t="s">
        <v>170</v>
      </c>
      <c r="B1" s="83" t="s">
        <v>140</v>
      </c>
      <c r="C1" s="83" t="s">
        <v>139</v>
      </c>
      <c r="D1" s="83" t="s">
        <v>138</v>
      </c>
      <c r="E1" s="83" t="s">
        <v>137</v>
      </c>
      <c r="F1" s="83" t="s">
        <v>136</v>
      </c>
      <c r="G1" s="83" t="s">
        <v>135</v>
      </c>
      <c r="H1" s="83" t="s">
        <v>134</v>
      </c>
      <c r="I1" s="83" t="s">
        <v>133</v>
      </c>
      <c r="J1" s="83" t="s">
        <v>132</v>
      </c>
      <c r="K1" s="83" t="s">
        <v>131</v>
      </c>
      <c r="L1" s="83" t="s">
        <v>130</v>
      </c>
      <c r="M1" s="83" t="s">
        <v>129</v>
      </c>
    </row>
    <row r="2" spans="1:13" x14ac:dyDescent="0.25">
      <c r="A2" s="83" t="s">
        <v>72</v>
      </c>
      <c r="B2" s="89">
        <v>36.875675519999994</v>
      </c>
      <c r="C2" s="89">
        <v>39.457238400000001</v>
      </c>
      <c r="D2" s="89">
        <v>46.80718272</v>
      </c>
      <c r="E2" s="89">
        <v>50.145004800000002</v>
      </c>
      <c r="F2" s="89">
        <v>52.950965759999995</v>
      </c>
      <c r="G2" s="89">
        <v>63.585215999999996</v>
      </c>
      <c r="H2" s="89">
        <v>57.5232192</v>
      </c>
      <c r="I2" s="89">
        <v>51.875251199999994</v>
      </c>
      <c r="J2" s="89">
        <v>50.131094399999995</v>
      </c>
      <c r="K2" s="89">
        <v>37.161192959999994</v>
      </c>
      <c r="L2" s="89">
        <v>36.30544416</v>
      </c>
      <c r="M2" s="89">
        <v>34.910352000000003</v>
      </c>
    </row>
    <row r="3" spans="1:13" x14ac:dyDescent="0.25">
      <c r="A3" s="83" t="s">
        <v>73</v>
      </c>
      <c r="B3" s="89">
        <v>13.293167039999998</v>
      </c>
      <c r="C3" s="89">
        <v>17.15388192</v>
      </c>
      <c r="D3" s="89">
        <v>17.973831743999998</v>
      </c>
      <c r="E3" s="89">
        <v>18.262348992</v>
      </c>
      <c r="F3" s="89">
        <v>21.234334464</v>
      </c>
      <c r="G3" s="89">
        <v>23.618211551999998</v>
      </c>
      <c r="H3" s="89">
        <v>24.706036800000003</v>
      </c>
      <c r="I3" s="89">
        <v>24.065236511999998</v>
      </c>
      <c r="J3" s="89">
        <v>15.413716800000001</v>
      </c>
      <c r="K3" s="89">
        <v>13.362430463999999</v>
      </c>
      <c r="L3" s="89">
        <v>12.959116991999998</v>
      </c>
      <c r="M3" s="89">
        <v>13.950195839999999</v>
      </c>
    </row>
    <row r="4" spans="1:13" x14ac:dyDescent="0.25">
      <c r="A4" s="83" t="s">
        <v>74</v>
      </c>
      <c r="B4" s="89">
        <v>0.69345115199999996</v>
      </c>
      <c r="C4" s="89">
        <v>1.008777888</v>
      </c>
      <c r="D4" s="89">
        <v>3.1878048960000003</v>
      </c>
      <c r="E4" s="89">
        <v>4.057026048</v>
      </c>
      <c r="F4" s="89">
        <v>5.9297253119999995</v>
      </c>
      <c r="G4" s="89">
        <v>10.763257535999999</v>
      </c>
      <c r="H4" s="89">
        <v>10.420151040000002</v>
      </c>
      <c r="I4" s="89">
        <v>6.2658489599999996</v>
      </c>
      <c r="J4" s="89">
        <v>2.4241135680000001</v>
      </c>
      <c r="K4" s="89">
        <v>0.19359850175999999</v>
      </c>
      <c r="L4" s="89">
        <v>9.5850829440000007E-2</v>
      </c>
      <c r="M4" s="89">
        <v>0.18650243520000001</v>
      </c>
    </row>
    <row r="5" spans="1:13" x14ac:dyDescent="0.25">
      <c r="A5" s="85" t="s">
        <v>75</v>
      </c>
      <c r="B5" s="89">
        <v>59.222370239999996</v>
      </c>
      <c r="C5" s="89">
        <v>62.643974399999998</v>
      </c>
      <c r="D5" s="89">
        <v>79.922652479999996</v>
      </c>
      <c r="E5" s="89">
        <v>86.717485440000004</v>
      </c>
      <c r="F5" s="89">
        <v>95.981518080000001</v>
      </c>
      <c r="G5" s="89">
        <v>121.78497311999999</v>
      </c>
      <c r="H5" s="89">
        <v>116.09930880000002</v>
      </c>
      <c r="I5" s="89">
        <v>100.10948544</v>
      </c>
      <c r="J5" s="89">
        <v>85.921948799999996</v>
      </c>
      <c r="K5" s="89">
        <v>57.984145920000003</v>
      </c>
      <c r="L5" s="89">
        <v>53.885390399999999</v>
      </c>
      <c r="M5" s="89">
        <v>53.087011200000006</v>
      </c>
    </row>
    <row r="6" spans="1:13" x14ac:dyDescent="0.25">
      <c r="A6" s="85" t="s">
        <v>76</v>
      </c>
      <c r="B6" s="89">
        <v>59.283437759999998</v>
      </c>
      <c r="C6" s="89">
        <v>62.713180800000004</v>
      </c>
      <c r="D6" s="89">
        <v>80.015860799999999</v>
      </c>
      <c r="E6" s="89">
        <v>86.824085760000003</v>
      </c>
      <c r="F6" s="89">
        <v>96.095946240000004</v>
      </c>
      <c r="G6" s="89">
        <v>121.93067807999999</v>
      </c>
      <c r="H6" s="89">
        <v>116.23824</v>
      </c>
      <c r="I6" s="89">
        <v>100.23028128</v>
      </c>
      <c r="J6" s="89">
        <v>86.025369600000005</v>
      </c>
      <c r="K6" s="89">
        <v>58.044945600000005</v>
      </c>
      <c r="L6" s="89">
        <v>53.935744319999998</v>
      </c>
      <c r="M6" s="89">
        <v>53.136259199999998</v>
      </c>
    </row>
    <row r="7" spans="1:13" x14ac:dyDescent="0.25">
      <c r="A7" s="83" t="s">
        <v>77</v>
      </c>
      <c r="B7" s="89">
        <v>1.7281599264</v>
      </c>
      <c r="C7" s="89">
        <v>0.9780419520000001</v>
      </c>
      <c r="D7" s="89">
        <v>6.46311312</v>
      </c>
      <c r="E7" s="89">
        <v>6.599604384</v>
      </c>
      <c r="F7" s="89">
        <v>9.8574174719999998</v>
      </c>
      <c r="G7" s="89">
        <v>17.999839007999999</v>
      </c>
      <c r="H7" s="89">
        <v>18.664007040000001</v>
      </c>
      <c r="I7" s="89">
        <v>7.7214254399999991</v>
      </c>
      <c r="J7" s="89">
        <v>2.021975136</v>
      </c>
      <c r="K7" s="89">
        <v>1.9064101247999998</v>
      </c>
      <c r="L7" s="89">
        <v>2.4203629439999998</v>
      </c>
      <c r="M7" s="89">
        <v>2.0129342400000003</v>
      </c>
    </row>
    <row r="8" spans="1:13" x14ac:dyDescent="0.25">
      <c r="A8" s="85" t="s">
        <v>78</v>
      </c>
      <c r="B8" s="89">
        <v>77.003732159999998</v>
      </c>
      <c r="C8" s="89">
        <v>80.169263999999998</v>
      </c>
      <c r="D8" s="89">
        <v>100.75123008</v>
      </c>
      <c r="E8" s="89">
        <v>105.37173791999999</v>
      </c>
      <c r="F8" s="89">
        <v>112.06048896</v>
      </c>
      <c r="G8" s="89">
        <v>148.10775264</v>
      </c>
      <c r="H8" s="89">
        <v>147.7769184</v>
      </c>
      <c r="I8" s="89">
        <v>121.58516447999999</v>
      </c>
      <c r="J8" s="89">
        <v>92.012371200000018</v>
      </c>
      <c r="K8" s="89">
        <v>76.701072960000005</v>
      </c>
      <c r="L8" s="89">
        <v>75.97067328</v>
      </c>
      <c r="M8" s="89">
        <v>73.314201600000004</v>
      </c>
    </row>
    <row r="9" spans="1:13" x14ac:dyDescent="0.25">
      <c r="A9" s="85" t="s">
        <v>79</v>
      </c>
      <c r="B9" s="89">
        <v>80.690014079999997</v>
      </c>
      <c r="C9" s="89">
        <v>84.020457600000015</v>
      </c>
      <c r="D9" s="89">
        <v>105.35914943999998</v>
      </c>
      <c r="E9" s="89">
        <v>111.12360191999998</v>
      </c>
      <c r="F9" s="89">
        <v>118.0376064</v>
      </c>
      <c r="G9" s="89">
        <v>155.35148544</v>
      </c>
      <c r="H9" s="89">
        <v>155.2916448</v>
      </c>
      <c r="I9" s="89">
        <v>129.25208447999998</v>
      </c>
      <c r="J9" s="89">
        <v>98.935344000000001</v>
      </c>
      <c r="K9" s="89">
        <v>80.769562559999997</v>
      </c>
      <c r="L9" s="89">
        <v>79.346796479999995</v>
      </c>
      <c r="M9" s="89">
        <v>76.422787200000002</v>
      </c>
    </row>
    <row r="10" spans="1:13" x14ac:dyDescent="0.25">
      <c r="A10" s="85" t="s">
        <v>80</v>
      </c>
      <c r="B10" s="89">
        <v>81.010082879999999</v>
      </c>
      <c r="C10" s="89">
        <v>84.369081600000001</v>
      </c>
      <c r="D10" s="89">
        <v>105.81394175999999</v>
      </c>
      <c r="E10" s="89">
        <v>111.60517823999999</v>
      </c>
      <c r="F10" s="89">
        <v>118.55604096</v>
      </c>
      <c r="G10" s="89">
        <v>156.03929855999999</v>
      </c>
      <c r="H10" s="89">
        <v>155.974896</v>
      </c>
      <c r="I10" s="89">
        <v>129.81936959999999</v>
      </c>
      <c r="J10" s="89">
        <v>99.361209599999995</v>
      </c>
      <c r="K10" s="89">
        <v>81.093916800000002</v>
      </c>
      <c r="L10" s="89">
        <v>79.65641952</v>
      </c>
      <c r="M10" s="89">
        <v>76.7190528</v>
      </c>
    </row>
    <row r="11" spans="1:13" x14ac:dyDescent="0.25">
      <c r="A11" s="83" t="s">
        <v>81</v>
      </c>
      <c r="B11" s="89">
        <v>69.928470719999993</v>
      </c>
      <c r="C11" s="89">
        <v>79.522819200000001</v>
      </c>
      <c r="D11" s="89">
        <v>113.05472832</v>
      </c>
      <c r="E11" s="89">
        <v>146.0183328</v>
      </c>
      <c r="F11" s="89">
        <v>142.79376384</v>
      </c>
      <c r="G11" s="89">
        <v>185.10181344</v>
      </c>
      <c r="H11" s="89">
        <v>177.49808640000003</v>
      </c>
      <c r="I11" s="89">
        <v>124.08625439999999</v>
      </c>
      <c r="J11" s="89">
        <v>100.54186559999999</v>
      </c>
      <c r="K11" s="89">
        <v>100.51499519999999</v>
      </c>
      <c r="L11" s="89">
        <v>88.124716800000002</v>
      </c>
      <c r="M11" s="89">
        <v>70.1164512</v>
      </c>
    </row>
    <row r="12" spans="1:13" x14ac:dyDescent="0.25">
      <c r="A12" s="83" t="s">
        <v>82</v>
      </c>
      <c r="B12" s="89">
        <v>3.5897255999999995</v>
      </c>
      <c r="C12" s="89">
        <v>4.0913424000000003</v>
      </c>
      <c r="D12" s="89">
        <v>9.0413141760000002</v>
      </c>
      <c r="E12" s="89">
        <v>10.343820096</v>
      </c>
      <c r="F12" s="89">
        <v>13.084460928</v>
      </c>
      <c r="G12" s="89">
        <v>18.629048735999998</v>
      </c>
      <c r="H12" s="89">
        <v>20.898</v>
      </c>
      <c r="I12" s="89">
        <v>13.794376031999999</v>
      </c>
      <c r="J12" s="89">
        <v>7.2142358399999997</v>
      </c>
      <c r="K12" s="89">
        <v>3.7247973119999997</v>
      </c>
      <c r="L12" s="89">
        <v>3.1581550079999996</v>
      </c>
      <c r="M12" s="89">
        <v>2.5581147840000003</v>
      </c>
    </row>
    <row r="13" spans="1:13" x14ac:dyDescent="0.25">
      <c r="A13" s="83" t="s">
        <v>83</v>
      </c>
      <c r="B13" s="89">
        <v>67.263730559999999</v>
      </c>
      <c r="C13" s="89">
        <v>81.729388800000009</v>
      </c>
      <c r="D13" s="89">
        <v>135.77586335999999</v>
      </c>
      <c r="E13" s="89">
        <v>168.76116288</v>
      </c>
      <c r="F13" s="89">
        <v>172.96167168000002</v>
      </c>
      <c r="G13" s="89">
        <v>226.68825887999998</v>
      </c>
      <c r="H13" s="89">
        <v>218.2492512</v>
      </c>
      <c r="I13" s="89">
        <v>156.58247807999999</v>
      </c>
      <c r="J13" s="89">
        <v>115.7206176</v>
      </c>
      <c r="K13" s="89">
        <v>99.999671039999996</v>
      </c>
      <c r="L13" s="89">
        <v>83.297168639999995</v>
      </c>
      <c r="M13" s="89">
        <v>68.684889600000005</v>
      </c>
    </row>
    <row r="14" spans="1:13" x14ac:dyDescent="0.25">
      <c r="A14" s="83" t="s">
        <v>84</v>
      </c>
      <c r="B14" s="89">
        <v>110.32409951999999</v>
      </c>
      <c r="C14" s="89">
        <v>134.21298239999999</v>
      </c>
      <c r="D14" s="89">
        <v>219.31140959999999</v>
      </c>
      <c r="E14" s="89">
        <v>265.74441983999998</v>
      </c>
      <c r="F14" s="89">
        <v>271.22860800000001</v>
      </c>
      <c r="G14" s="89">
        <v>335.47763520000001</v>
      </c>
      <c r="H14" s="89">
        <v>309.80620800000003</v>
      </c>
      <c r="I14" s="89">
        <v>219.64165632000001</v>
      </c>
      <c r="J14" s="89">
        <v>164.04949440000001</v>
      </c>
      <c r="K14" s="89">
        <v>145.30694975999998</v>
      </c>
      <c r="L14" s="89">
        <v>120.89440512</v>
      </c>
      <c r="M14" s="89">
        <v>107.34405120000001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419B5-DF6F-465A-B590-BB677AD85FBB}">
  <sheetPr codeName="Sheet5">
    <tabColor rgb="FFFFC000"/>
  </sheetPr>
  <dimension ref="A1:M14"/>
  <sheetViews>
    <sheetView workbookViewId="0">
      <selection activeCell="P17" sqref="P17"/>
    </sheetView>
  </sheetViews>
  <sheetFormatPr defaultRowHeight="15" x14ac:dyDescent="0.25"/>
  <cols>
    <col min="1" max="1" width="23" customWidth="1"/>
  </cols>
  <sheetData>
    <row r="1" spans="1:13" x14ac:dyDescent="0.25">
      <c r="A1" s="14" t="s">
        <v>33</v>
      </c>
      <c r="B1" s="3" t="s">
        <v>1</v>
      </c>
      <c r="C1" s="3" t="s">
        <v>2</v>
      </c>
      <c r="D1" s="3" t="s">
        <v>3</v>
      </c>
      <c r="E1" s="3" t="s">
        <v>4</v>
      </c>
      <c r="F1" s="3" t="s">
        <v>5</v>
      </c>
      <c r="G1" s="3" t="s">
        <v>6</v>
      </c>
      <c r="H1" s="3" t="s">
        <v>7</v>
      </c>
      <c r="I1" s="3" t="s">
        <v>8</v>
      </c>
      <c r="J1" s="3" t="s">
        <v>9</v>
      </c>
      <c r="K1" s="3" t="s">
        <v>10</v>
      </c>
      <c r="L1" s="3" t="s">
        <v>11</v>
      </c>
      <c r="M1" s="3" t="s">
        <v>12</v>
      </c>
    </row>
    <row r="2" spans="1:13" x14ac:dyDescent="0.25">
      <c r="A2" s="3" t="s">
        <v>72</v>
      </c>
      <c r="B2" s="12">
        <v>0</v>
      </c>
      <c r="C2" s="12">
        <v>0</v>
      </c>
      <c r="D2" s="12">
        <v>0</v>
      </c>
      <c r="E2" s="12">
        <v>0</v>
      </c>
      <c r="F2" s="12">
        <v>0</v>
      </c>
      <c r="G2" s="12">
        <v>0</v>
      </c>
      <c r="H2" s="12">
        <v>0</v>
      </c>
      <c r="I2" s="12">
        <v>0</v>
      </c>
      <c r="J2" s="12">
        <v>0</v>
      </c>
      <c r="K2" s="12">
        <v>0</v>
      </c>
      <c r="L2" s="12">
        <v>0</v>
      </c>
      <c r="M2" s="12">
        <v>0</v>
      </c>
    </row>
    <row r="3" spans="1:13" x14ac:dyDescent="0.25">
      <c r="A3" s="3" t="s">
        <v>73</v>
      </c>
      <c r="B3" s="12">
        <v>0</v>
      </c>
      <c r="C3" s="12">
        <v>0</v>
      </c>
      <c r="D3" s="12">
        <v>0</v>
      </c>
      <c r="E3" s="12">
        <v>0</v>
      </c>
      <c r="F3" s="12">
        <v>0</v>
      </c>
      <c r="G3" s="12">
        <v>0</v>
      </c>
      <c r="H3" s="12">
        <v>0</v>
      </c>
      <c r="I3" s="12">
        <v>0</v>
      </c>
      <c r="J3" s="12">
        <v>0</v>
      </c>
      <c r="K3" s="12">
        <v>0</v>
      </c>
      <c r="L3" s="12">
        <v>0</v>
      </c>
      <c r="M3" s="12">
        <v>0</v>
      </c>
    </row>
    <row r="4" spans="1:13" x14ac:dyDescent="0.25">
      <c r="A4" s="3" t="s">
        <v>74</v>
      </c>
      <c r="B4" s="12">
        <v>0</v>
      </c>
      <c r="C4" s="12">
        <v>0</v>
      </c>
      <c r="D4" s="12">
        <v>0</v>
      </c>
      <c r="E4" s="12">
        <v>0</v>
      </c>
      <c r="F4" s="12">
        <v>0</v>
      </c>
      <c r="G4" s="12">
        <v>0</v>
      </c>
      <c r="H4" s="12">
        <v>0</v>
      </c>
      <c r="I4" s="12">
        <v>0</v>
      </c>
      <c r="J4" s="12">
        <v>0</v>
      </c>
      <c r="K4" s="12">
        <v>0</v>
      </c>
      <c r="L4" s="12">
        <v>0</v>
      </c>
      <c r="M4" s="12">
        <v>0</v>
      </c>
    </row>
    <row r="5" spans="1:13" x14ac:dyDescent="0.25">
      <c r="A5" s="6" t="s">
        <v>75</v>
      </c>
      <c r="B5" s="26">
        <v>105.36556371896306</v>
      </c>
      <c r="C5" s="26">
        <v>111.22745383387087</v>
      </c>
      <c r="D5" s="26">
        <v>117.68219109533409</v>
      </c>
      <c r="E5" s="26">
        <v>126.86829252044161</v>
      </c>
      <c r="F5" s="26">
        <v>121.88400586695919</v>
      </c>
      <c r="G5" s="26">
        <v>141.23783920978175</v>
      </c>
      <c r="H5" s="26">
        <v>155.3166660732501</v>
      </c>
      <c r="I5" s="26">
        <v>116.35457307733327</v>
      </c>
      <c r="J5" s="26">
        <v>91.201813346081849</v>
      </c>
      <c r="K5" s="26">
        <v>82.322621364463402</v>
      </c>
      <c r="L5" s="26">
        <v>83.183503920407489</v>
      </c>
      <c r="M5" s="26">
        <v>88.088428710351124</v>
      </c>
    </row>
    <row r="6" spans="1:13" x14ac:dyDescent="0.25">
      <c r="A6" s="6" t="s">
        <v>76</v>
      </c>
      <c r="B6" s="26">
        <v>104.71847762643164</v>
      </c>
      <c r="C6" s="26">
        <v>110.86080353146528</v>
      </c>
      <c r="D6" s="26">
        <v>117.67650752266327</v>
      </c>
      <c r="E6" s="26">
        <v>128.14475563694194</v>
      </c>
      <c r="F6" s="26">
        <v>123.91727888715442</v>
      </c>
      <c r="G6" s="26">
        <v>144.49939786718599</v>
      </c>
      <c r="H6" s="26">
        <v>159.06795515532826</v>
      </c>
      <c r="I6" s="26">
        <v>118.82793763192029</v>
      </c>
      <c r="J6" s="26">
        <v>91.291308566800183</v>
      </c>
      <c r="K6" s="26">
        <v>82.460772666531014</v>
      </c>
      <c r="L6" s="26">
        <v>83.23546222289238</v>
      </c>
      <c r="M6" s="26">
        <v>87.506430224672513</v>
      </c>
    </row>
    <row r="7" spans="1:13" x14ac:dyDescent="0.25">
      <c r="A7" s="3" t="s">
        <v>77</v>
      </c>
      <c r="B7" s="12">
        <v>0</v>
      </c>
      <c r="C7" s="12">
        <v>0</v>
      </c>
      <c r="D7" s="12">
        <v>0</v>
      </c>
      <c r="E7" s="12">
        <v>0</v>
      </c>
      <c r="F7" s="12">
        <v>0</v>
      </c>
      <c r="G7" s="12">
        <v>0</v>
      </c>
      <c r="H7" s="12">
        <v>0</v>
      </c>
      <c r="I7" s="12">
        <v>0</v>
      </c>
      <c r="J7" s="12">
        <v>0</v>
      </c>
      <c r="K7" s="12">
        <v>0</v>
      </c>
      <c r="L7" s="12">
        <v>0</v>
      </c>
      <c r="M7" s="12">
        <v>0</v>
      </c>
    </row>
    <row r="8" spans="1:13" x14ac:dyDescent="0.25">
      <c r="A8" s="6" t="s">
        <v>78</v>
      </c>
      <c r="B8" s="26">
        <v>109.7475442342792</v>
      </c>
      <c r="C8" s="26">
        <v>114.64528886707915</v>
      </c>
      <c r="D8" s="26">
        <v>153.29123530115254</v>
      </c>
      <c r="E8" s="26">
        <v>173.12195401390446</v>
      </c>
      <c r="F8" s="26">
        <v>197.48357138047049</v>
      </c>
      <c r="G8" s="26">
        <v>270.89362302222264</v>
      </c>
      <c r="H8" s="26">
        <v>335.10754887642139</v>
      </c>
      <c r="I8" s="26">
        <v>212.42082722967388</v>
      </c>
      <c r="J8" s="26">
        <v>116.61735945447127</v>
      </c>
      <c r="K8" s="26">
        <v>106.37539972793628</v>
      </c>
      <c r="L8" s="26">
        <v>107.59854915557742</v>
      </c>
      <c r="M8" s="26">
        <v>105.06202053212532</v>
      </c>
    </row>
    <row r="9" spans="1:13" x14ac:dyDescent="0.25">
      <c r="A9" s="6" t="s">
        <v>79</v>
      </c>
      <c r="B9" s="26">
        <v>114.67443068545501</v>
      </c>
      <c r="C9" s="26">
        <v>117.98757294309183</v>
      </c>
      <c r="D9" s="26">
        <v>145.98242551576098</v>
      </c>
      <c r="E9" s="26">
        <v>160.94559377466067</v>
      </c>
      <c r="F9" s="26">
        <v>173.7806311630487</v>
      </c>
      <c r="G9" s="26">
        <v>234.3532051139218</v>
      </c>
      <c r="H9" s="26">
        <v>236.14276642735408</v>
      </c>
      <c r="I9" s="26">
        <v>198.13384295556287</v>
      </c>
      <c r="J9" s="26">
        <v>125.01168414393116</v>
      </c>
      <c r="K9" s="26">
        <v>113.22525586559</v>
      </c>
      <c r="L9" s="26">
        <v>113.53905773708891</v>
      </c>
      <c r="M9" s="26">
        <v>110.17108610706393</v>
      </c>
    </row>
    <row r="10" spans="1:13" x14ac:dyDescent="0.25">
      <c r="A10" s="6" t="s">
        <v>80</v>
      </c>
      <c r="B10" s="26">
        <v>114.45974174615029</v>
      </c>
      <c r="C10" s="26">
        <v>117.98549697747902</v>
      </c>
      <c r="D10" s="26">
        <v>145.93650001018582</v>
      </c>
      <c r="E10" s="26">
        <v>160.92095545144178</v>
      </c>
      <c r="F10" s="26">
        <v>173.66950295792049</v>
      </c>
      <c r="G10" s="26">
        <v>234.3532051139218</v>
      </c>
      <c r="H10" s="26">
        <v>236.07506338568737</v>
      </c>
      <c r="I10" s="26">
        <v>197.84861712146025</v>
      </c>
      <c r="J10" s="26">
        <v>124.4314711391055</v>
      </c>
      <c r="K10" s="26">
        <v>112.56362841851221</v>
      </c>
      <c r="L10" s="26">
        <v>112.89058868736883</v>
      </c>
      <c r="M10" s="26">
        <v>109.7709786395602</v>
      </c>
    </row>
    <row r="11" spans="1:13" x14ac:dyDescent="0.25">
      <c r="A11" s="3" t="s">
        <v>81</v>
      </c>
      <c r="B11" s="12">
        <v>0</v>
      </c>
      <c r="C11" s="12">
        <v>0</v>
      </c>
      <c r="D11" s="12">
        <v>0</v>
      </c>
      <c r="E11" s="12">
        <v>0</v>
      </c>
      <c r="F11" s="12">
        <v>0</v>
      </c>
      <c r="G11" s="12">
        <v>0</v>
      </c>
      <c r="H11" s="12">
        <v>0</v>
      </c>
      <c r="I11" s="12">
        <v>0</v>
      </c>
      <c r="J11" s="12">
        <v>0</v>
      </c>
      <c r="K11" s="12">
        <v>0</v>
      </c>
      <c r="L11" s="12">
        <v>0</v>
      </c>
      <c r="M11" s="12">
        <v>0</v>
      </c>
    </row>
    <row r="12" spans="1:13" x14ac:dyDescent="0.25">
      <c r="A12" s="3" t="s">
        <v>82</v>
      </c>
      <c r="B12" s="12">
        <v>0</v>
      </c>
      <c r="C12" s="12">
        <v>0</v>
      </c>
      <c r="D12" s="12">
        <v>0</v>
      </c>
      <c r="E12" s="12">
        <v>0</v>
      </c>
      <c r="F12" s="12">
        <v>0</v>
      </c>
      <c r="G12" s="12">
        <v>0</v>
      </c>
      <c r="H12" s="12">
        <v>0</v>
      </c>
      <c r="I12" s="12">
        <v>0</v>
      </c>
      <c r="J12" s="12">
        <v>0</v>
      </c>
      <c r="K12" s="12">
        <v>0</v>
      </c>
      <c r="L12" s="12">
        <v>0</v>
      </c>
      <c r="M12" s="12">
        <v>0</v>
      </c>
    </row>
    <row r="13" spans="1:13" x14ac:dyDescent="0.25">
      <c r="A13" s="3" t="s">
        <v>83</v>
      </c>
      <c r="B13" s="12">
        <v>0</v>
      </c>
      <c r="C13" s="12">
        <v>0</v>
      </c>
      <c r="D13" s="12">
        <v>0</v>
      </c>
      <c r="E13" s="12">
        <v>0</v>
      </c>
      <c r="F13" s="12">
        <v>0</v>
      </c>
      <c r="G13" s="12">
        <v>0</v>
      </c>
      <c r="H13" s="12">
        <v>0</v>
      </c>
      <c r="I13" s="12">
        <v>0</v>
      </c>
      <c r="J13" s="12">
        <v>0</v>
      </c>
      <c r="K13" s="12">
        <v>0</v>
      </c>
      <c r="L13" s="12">
        <v>0</v>
      </c>
      <c r="M13" s="12">
        <v>0</v>
      </c>
    </row>
    <row r="14" spans="1:13" x14ac:dyDescent="0.25">
      <c r="A14" s="3"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39D-8C77-42CD-BD7C-38EFB727B18F}">
  <sheetPr codeName="Sheet6">
    <tabColor rgb="FFFFC000"/>
  </sheetPr>
  <dimension ref="A1:M14"/>
  <sheetViews>
    <sheetView workbookViewId="0">
      <selection activeCell="G33" sqref="G33"/>
    </sheetView>
  </sheetViews>
  <sheetFormatPr defaultRowHeight="15" x14ac:dyDescent="0.25"/>
  <cols>
    <col min="1" max="1" width="23" customWidth="1"/>
  </cols>
  <sheetData>
    <row r="1" spans="1:13" x14ac:dyDescent="0.25">
      <c r="A1" s="197" t="s">
        <v>215</v>
      </c>
      <c r="B1" t="s">
        <v>1</v>
      </c>
      <c r="C1" t="s">
        <v>2</v>
      </c>
      <c r="D1" t="s">
        <v>3</v>
      </c>
      <c r="E1" t="s">
        <v>4</v>
      </c>
      <c r="F1" t="s">
        <v>5</v>
      </c>
      <c r="G1" t="s">
        <v>6</v>
      </c>
      <c r="H1" t="s">
        <v>7</v>
      </c>
      <c r="I1" t="s">
        <v>8</v>
      </c>
      <c r="J1" t="s">
        <v>9</v>
      </c>
      <c r="K1" t="s">
        <v>10</v>
      </c>
      <c r="L1" t="s">
        <v>11</v>
      </c>
      <c r="M1" t="s">
        <v>12</v>
      </c>
    </row>
    <row r="2" spans="1:13" x14ac:dyDescent="0.25">
      <c r="A2" t="s">
        <v>72</v>
      </c>
      <c r="B2" s="94">
        <v>3.7414769031918436</v>
      </c>
      <c r="C2" s="94">
        <v>9.3282377009310205E-2</v>
      </c>
      <c r="D2" s="94">
        <v>0</v>
      </c>
      <c r="E2" s="94">
        <v>0</v>
      </c>
      <c r="F2" s="94">
        <v>0</v>
      </c>
      <c r="G2" s="94">
        <v>0</v>
      </c>
      <c r="H2" s="94">
        <v>2.1419771617741133E-2</v>
      </c>
      <c r="I2" s="94">
        <v>28.939895306924285</v>
      </c>
      <c r="J2" s="94">
        <v>62.867007009475017</v>
      </c>
      <c r="K2" s="94">
        <v>68.034760927756906</v>
      </c>
      <c r="L2" s="94">
        <v>56.170312984844166</v>
      </c>
      <c r="M2" s="94">
        <v>20.679631761898367</v>
      </c>
    </row>
    <row r="3" spans="1:13" x14ac:dyDescent="0.25">
      <c r="A3" t="s">
        <v>73</v>
      </c>
      <c r="B3" s="94">
        <v>9.7767912463316318</v>
      </c>
      <c r="C3" s="94">
        <v>9.107454046239603</v>
      </c>
      <c r="D3" s="94">
        <v>11.122020673274381</v>
      </c>
      <c r="E3" s="94">
        <v>12.901947019932681</v>
      </c>
      <c r="F3" s="94">
        <v>16.083406109969559</v>
      </c>
      <c r="G3" s="94">
        <v>20.554958191218649</v>
      </c>
      <c r="H3" s="94">
        <v>20.793712716185372</v>
      </c>
      <c r="I3" s="94">
        <v>16.880676436388782</v>
      </c>
      <c r="J3" s="94">
        <v>13.371848293341284</v>
      </c>
      <c r="K3" s="94">
        <v>13.737198933248282</v>
      </c>
      <c r="L3" s="94">
        <v>12.664950784243377</v>
      </c>
      <c r="M3" s="94">
        <v>10.740690241814873</v>
      </c>
    </row>
    <row r="4" spans="1:13" x14ac:dyDescent="0.25">
      <c r="A4" t="s">
        <v>74</v>
      </c>
      <c r="B4" s="94">
        <v>1.6876225395348836</v>
      </c>
      <c r="C4" s="94">
        <v>9.8193906976744197E-2</v>
      </c>
      <c r="D4" s="94">
        <v>0</v>
      </c>
      <c r="E4" s="94">
        <v>0</v>
      </c>
      <c r="F4" s="94">
        <v>0</v>
      </c>
      <c r="G4" s="94">
        <v>0</v>
      </c>
      <c r="H4" s="94">
        <v>8.3000000000000004E-2</v>
      </c>
      <c r="I4" s="94">
        <v>11.429203416279069</v>
      </c>
      <c r="J4" s="94">
        <v>17.313748790697673</v>
      </c>
      <c r="K4" s="94">
        <v>17.845316125581395</v>
      </c>
      <c r="L4" s="94">
        <v>15.127122383720931</v>
      </c>
      <c r="M4" s="94">
        <v>5.7026667348837208</v>
      </c>
    </row>
    <row r="5" spans="1:13" x14ac:dyDescent="0.25">
      <c r="A5" s="2" t="s">
        <v>75</v>
      </c>
      <c r="B5" s="95">
        <v>0</v>
      </c>
      <c r="C5" s="96">
        <v>0</v>
      </c>
      <c r="D5" s="96">
        <v>0</v>
      </c>
      <c r="E5" s="96">
        <v>0</v>
      </c>
      <c r="F5" s="96">
        <v>0</v>
      </c>
      <c r="G5" s="96">
        <v>0</v>
      </c>
      <c r="H5" s="96">
        <v>0</v>
      </c>
      <c r="I5" s="96">
        <v>0</v>
      </c>
      <c r="J5" s="96">
        <v>0</v>
      </c>
      <c r="K5" s="96">
        <v>0</v>
      </c>
      <c r="L5" s="96">
        <v>0</v>
      </c>
      <c r="M5" s="96">
        <v>0</v>
      </c>
    </row>
    <row r="6" spans="1:13" x14ac:dyDescent="0.25">
      <c r="A6" s="2" t="s">
        <v>76</v>
      </c>
      <c r="B6" s="95">
        <v>0</v>
      </c>
      <c r="C6" s="96">
        <v>0</v>
      </c>
      <c r="D6" s="96">
        <v>0</v>
      </c>
      <c r="E6" s="96">
        <v>0</v>
      </c>
      <c r="F6" s="96">
        <v>0</v>
      </c>
      <c r="G6" s="96">
        <v>0</v>
      </c>
      <c r="H6" s="96">
        <v>0</v>
      </c>
      <c r="I6" s="96">
        <v>0</v>
      </c>
      <c r="J6" s="96">
        <v>0</v>
      </c>
      <c r="K6" s="96">
        <v>0</v>
      </c>
      <c r="L6" s="96">
        <v>0</v>
      </c>
      <c r="M6" s="96">
        <v>0</v>
      </c>
    </row>
    <row r="7" spans="1:13" x14ac:dyDescent="0.25">
      <c r="A7" t="s">
        <v>77</v>
      </c>
      <c r="B7" s="94">
        <v>1.5853094617688757</v>
      </c>
      <c r="C7" s="94">
        <v>1.6934124995770918</v>
      </c>
      <c r="D7" s="94">
        <v>3.4105256369134271</v>
      </c>
      <c r="E7" s="94">
        <v>3.4440002058356622</v>
      </c>
      <c r="F7" s="94">
        <v>4.6491669328474599</v>
      </c>
      <c r="G7" s="94">
        <v>10.776071340627839</v>
      </c>
      <c r="H7" s="94">
        <v>15.303762912361199</v>
      </c>
      <c r="I7" s="94">
        <v>6.4208068284101092</v>
      </c>
      <c r="J7" s="94">
        <v>2.4315550863623212</v>
      </c>
      <c r="K7" s="94">
        <v>1.9006057574529889</v>
      </c>
      <c r="L7" s="94">
        <v>1.9313235794652963</v>
      </c>
      <c r="M7" s="94">
        <v>1.6139234578090302</v>
      </c>
    </row>
    <row r="8" spans="1:13" x14ac:dyDescent="0.25">
      <c r="A8" s="2" t="s">
        <v>78</v>
      </c>
      <c r="B8" s="95">
        <v>0</v>
      </c>
      <c r="C8" s="96">
        <v>0</v>
      </c>
      <c r="D8" s="96">
        <v>0</v>
      </c>
      <c r="E8" s="96">
        <v>0</v>
      </c>
      <c r="F8" s="96">
        <v>0</v>
      </c>
      <c r="G8" s="96">
        <v>0</v>
      </c>
      <c r="H8" s="96">
        <v>0</v>
      </c>
      <c r="I8" s="96">
        <v>0</v>
      </c>
      <c r="J8" s="96">
        <v>0</v>
      </c>
      <c r="K8" s="96">
        <v>0</v>
      </c>
      <c r="L8" s="96">
        <v>0</v>
      </c>
      <c r="M8" s="96">
        <v>0</v>
      </c>
    </row>
    <row r="9" spans="1:13" x14ac:dyDescent="0.25">
      <c r="A9" s="2" t="s">
        <v>79</v>
      </c>
      <c r="B9" s="95">
        <v>0</v>
      </c>
      <c r="C9" s="96">
        <v>0</v>
      </c>
      <c r="D9" s="96">
        <v>0</v>
      </c>
      <c r="E9" s="96">
        <v>0</v>
      </c>
      <c r="F9" s="96">
        <v>0</v>
      </c>
      <c r="G9" s="96">
        <v>0</v>
      </c>
      <c r="H9" s="96">
        <v>0</v>
      </c>
      <c r="I9" s="96">
        <v>0</v>
      </c>
      <c r="J9" s="96">
        <v>0</v>
      </c>
      <c r="K9" s="96">
        <v>0</v>
      </c>
      <c r="L9" s="96">
        <v>0</v>
      </c>
      <c r="M9" s="96">
        <v>0</v>
      </c>
    </row>
    <row r="10" spans="1:13" x14ac:dyDescent="0.25">
      <c r="A10" s="2" t="s">
        <v>80</v>
      </c>
      <c r="B10" s="95">
        <v>0</v>
      </c>
      <c r="C10" s="96">
        <v>0</v>
      </c>
      <c r="D10" s="96">
        <v>0</v>
      </c>
      <c r="E10" s="96">
        <v>0</v>
      </c>
      <c r="F10" s="96">
        <v>0</v>
      </c>
      <c r="G10" s="96">
        <v>0</v>
      </c>
      <c r="H10" s="96">
        <v>0</v>
      </c>
      <c r="I10" s="96">
        <v>0</v>
      </c>
      <c r="J10" s="96">
        <v>0</v>
      </c>
      <c r="K10" s="96">
        <v>0</v>
      </c>
      <c r="L10" s="96">
        <v>0</v>
      </c>
      <c r="M10" s="96">
        <v>0</v>
      </c>
    </row>
    <row r="11" spans="1:13" x14ac:dyDescent="0.25">
      <c r="A11" t="s">
        <v>81</v>
      </c>
      <c r="B11" s="94">
        <v>2.0653856908352486</v>
      </c>
      <c r="C11" s="94">
        <v>1.9038942154480016</v>
      </c>
      <c r="D11" s="94">
        <v>3.1593996057701732</v>
      </c>
      <c r="E11" s="94">
        <v>4.0045263457089888</v>
      </c>
      <c r="F11" s="94">
        <v>5.325107838521685</v>
      </c>
      <c r="G11" s="94">
        <v>7.893565414492774</v>
      </c>
      <c r="H11" s="94">
        <v>7.0273158848546808</v>
      </c>
      <c r="I11" s="94">
        <v>6.0038341618719446</v>
      </c>
      <c r="J11" s="94">
        <v>8.3558582707051983</v>
      </c>
      <c r="K11" s="94">
        <v>10.009201505727505</v>
      </c>
      <c r="L11" s="94">
        <v>8.3286330734886818</v>
      </c>
      <c r="M11" s="94">
        <v>3.9881233517978325</v>
      </c>
    </row>
    <row r="12" spans="1:13" x14ac:dyDescent="0.25">
      <c r="A12" t="s">
        <v>82</v>
      </c>
      <c r="B12" s="94">
        <v>1.9929873359800536</v>
      </c>
      <c r="C12" s="94">
        <v>2.9652297824948146</v>
      </c>
      <c r="D12" s="94">
        <v>5.3864402120822863</v>
      </c>
      <c r="E12" s="94">
        <v>6.1243293748986236</v>
      </c>
      <c r="F12" s="94">
        <v>6.5340808763097407</v>
      </c>
      <c r="G12" s="94">
        <v>9.2930689568564677</v>
      </c>
      <c r="H12" s="94">
        <v>10.710219907100829</v>
      </c>
      <c r="I12" s="94">
        <v>7.7212208504869215</v>
      </c>
      <c r="J12" s="94">
        <v>4.0595916115135324</v>
      </c>
      <c r="K12" s="94">
        <v>1.7876986969888966</v>
      </c>
      <c r="L12" s="94">
        <v>1.2532759214412936</v>
      </c>
      <c r="M12" s="94">
        <v>1.0966301022522369</v>
      </c>
    </row>
    <row r="13" spans="1:13" x14ac:dyDescent="0.25">
      <c r="A13" t="s">
        <v>83</v>
      </c>
      <c r="B13" s="94">
        <v>7.2112879047619066E-2</v>
      </c>
      <c r="C13" s="94">
        <v>0</v>
      </c>
      <c r="D13" s="94">
        <v>0</v>
      </c>
      <c r="E13" s="94">
        <v>0</v>
      </c>
      <c r="F13" s="94">
        <v>0</v>
      </c>
      <c r="G13" s="94">
        <v>0</v>
      </c>
      <c r="H13" s="94">
        <v>0</v>
      </c>
      <c r="I13" s="94">
        <v>0.23665582194705512</v>
      </c>
      <c r="J13" s="94">
        <v>8.053046664631891</v>
      </c>
      <c r="K13" s="94">
        <v>15.394324622575185</v>
      </c>
      <c r="L13" s="94">
        <v>12.752036115253759</v>
      </c>
      <c r="M13" s="94">
        <v>3.9443196266776317</v>
      </c>
    </row>
    <row r="14" spans="1:13" x14ac:dyDescent="0.25">
      <c r="A14" t="s">
        <v>84</v>
      </c>
      <c r="B14" s="94">
        <v>6.8034758700113537E-2</v>
      </c>
      <c r="C14" s="94">
        <v>8.6604895071536681E-2</v>
      </c>
      <c r="D14" s="94">
        <v>0.14600708905496501</v>
      </c>
      <c r="E14" s="94">
        <v>0.22524064250364223</v>
      </c>
      <c r="F14" s="94">
        <v>0.31591031976995693</v>
      </c>
      <c r="G14" s="94">
        <v>0.51559999268194723</v>
      </c>
      <c r="H14" s="94">
        <v>0.51736607750083141</v>
      </c>
      <c r="I14" s="94">
        <v>0.96178612442992606</v>
      </c>
      <c r="J14" s="94">
        <v>1.3406623807320603</v>
      </c>
      <c r="K14" s="94">
        <v>1.8100850725596627</v>
      </c>
      <c r="L14" s="94">
        <v>1.5792308160612369</v>
      </c>
      <c r="M14" s="94">
        <v>0.61810500788889366</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42A86-D18B-4BAD-97B9-B1285E786F67}">
  <sheetPr codeName="Sheet93">
    <tabColor rgb="FFFF5050"/>
  </sheetPr>
  <dimension ref="A1:M14"/>
  <sheetViews>
    <sheetView workbookViewId="0">
      <selection activeCell="L33" sqref="L33"/>
    </sheetView>
  </sheetViews>
  <sheetFormatPr defaultRowHeight="15" x14ac:dyDescent="0.25"/>
  <cols>
    <col min="1" max="1" width="23" customWidth="1"/>
  </cols>
  <sheetData>
    <row r="1" spans="1:13" x14ac:dyDescent="0.25">
      <c r="A1" s="200" t="s">
        <v>218</v>
      </c>
      <c r="B1" s="201" t="s">
        <v>1</v>
      </c>
      <c r="C1" s="201" t="s">
        <v>2</v>
      </c>
      <c r="D1" s="201" t="s">
        <v>3</v>
      </c>
      <c r="E1" s="201" t="s">
        <v>4</v>
      </c>
      <c r="F1" s="201" t="s">
        <v>5</v>
      </c>
      <c r="G1" s="201" t="s">
        <v>6</v>
      </c>
      <c r="H1" s="201" t="s">
        <v>7</v>
      </c>
      <c r="I1" s="201" t="s">
        <v>8</v>
      </c>
      <c r="J1" s="201" t="s">
        <v>9</v>
      </c>
      <c r="K1" s="201" t="s">
        <v>10</v>
      </c>
      <c r="L1" s="201" t="s">
        <v>11</v>
      </c>
      <c r="M1" s="201" t="s">
        <v>12</v>
      </c>
    </row>
    <row r="2" spans="1:13" x14ac:dyDescent="0.25">
      <c r="A2" s="201" t="s">
        <v>72</v>
      </c>
      <c r="B2" s="199">
        <v>7.3476207567747398</v>
      </c>
      <c r="C2" s="199">
        <v>13.297094705097674</v>
      </c>
      <c r="D2" s="199">
        <v>18.409210185827575</v>
      </c>
      <c r="E2" s="199">
        <v>20.712244192979142</v>
      </c>
      <c r="F2" s="199">
        <v>24.35932779046496</v>
      </c>
      <c r="G2" s="199">
        <v>28.94370568614044</v>
      </c>
      <c r="H2" s="199">
        <v>25.898141779025721</v>
      </c>
      <c r="I2" s="199">
        <v>-5.9175505078179889</v>
      </c>
      <c r="J2" s="199">
        <v>-41.374101227901349</v>
      </c>
      <c r="K2" s="199">
        <v>-55.333420533400293</v>
      </c>
      <c r="L2" s="199">
        <v>-43.910054217528312</v>
      </c>
      <c r="M2" s="199">
        <v>-7.8422186096623525</v>
      </c>
    </row>
    <row r="3" spans="1:13" x14ac:dyDescent="0.25">
      <c r="A3" s="201" t="s">
        <v>73</v>
      </c>
      <c r="B3" s="199">
        <v>-3.4754649096850923</v>
      </c>
      <c r="C3" s="199">
        <v>-1.9974966636677096</v>
      </c>
      <c r="D3" s="199">
        <v>2.6226358192840267</v>
      </c>
      <c r="E3" s="199">
        <v>-1.4044175531467729</v>
      </c>
      <c r="F3" s="199">
        <v>5.6913100369082024</v>
      </c>
      <c r="G3" s="199">
        <v>11.763879413236383</v>
      </c>
      <c r="H3" s="199">
        <v>-0.45076254711499475</v>
      </c>
      <c r="I3" s="199">
        <v>3.6038008645603732</v>
      </c>
      <c r="J3" s="199">
        <v>6.2831897403141124</v>
      </c>
      <c r="K3" s="199">
        <v>1.6749898039964184E-2</v>
      </c>
      <c r="L3" s="199">
        <v>-0.20641421969552484</v>
      </c>
      <c r="M3" s="199">
        <v>-5.1370098790330099</v>
      </c>
    </row>
    <row r="4" spans="1:13" x14ac:dyDescent="0.25">
      <c r="A4" s="201" t="s">
        <v>74</v>
      </c>
      <c r="B4" s="199">
        <v>6.7995336959310153</v>
      </c>
      <c r="C4" s="199">
        <v>12.781737979049232</v>
      </c>
      <c r="D4" s="199">
        <v>23.332652655381459</v>
      </c>
      <c r="E4" s="199">
        <v>22.695135858351303</v>
      </c>
      <c r="F4" s="199">
        <v>27.972846192824566</v>
      </c>
      <c r="G4" s="199">
        <v>39.422962591157322</v>
      </c>
      <c r="H4" s="199">
        <v>32.007023128808171</v>
      </c>
      <c r="I4" s="199">
        <v>12.975915348635869</v>
      </c>
      <c r="J4" s="199">
        <v>2.4827590758455647</v>
      </c>
      <c r="K4" s="199">
        <v>-7.4106855127528908</v>
      </c>
      <c r="L4" s="199">
        <v>-9.1708309042751583</v>
      </c>
      <c r="M4" s="199">
        <v>-0.89905010895639326</v>
      </c>
    </row>
    <row r="5" spans="1:13" x14ac:dyDescent="0.25">
      <c r="A5" s="202" t="s">
        <v>75</v>
      </c>
      <c r="B5" s="199">
        <v>0</v>
      </c>
      <c r="C5" s="199">
        <v>0</v>
      </c>
      <c r="D5" s="199">
        <v>0</v>
      </c>
      <c r="E5" s="199">
        <v>0</v>
      </c>
      <c r="F5" s="199">
        <v>0</v>
      </c>
      <c r="G5" s="199">
        <v>0</v>
      </c>
      <c r="H5" s="199">
        <v>0</v>
      </c>
      <c r="I5" s="199">
        <v>0</v>
      </c>
      <c r="J5" s="199">
        <v>0</v>
      </c>
      <c r="K5" s="199">
        <v>0</v>
      </c>
      <c r="L5" s="199">
        <v>0</v>
      </c>
      <c r="M5" s="199">
        <v>0</v>
      </c>
    </row>
    <row r="6" spans="1:13" x14ac:dyDescent="0.25">
      <c r="A6" s="202" t="s">
        <v>76</v>
      </c>
      <c r="B6" s="199">
        <v>0</v>
      </c>
      <c r="C6" s="199">
        <v>0</v>
      </c>
      <c r="D6" s="199">
        <v>0</v>
      </c>
      <c r="E6" s="199">
        <v>0</v>
      </c>
      <c r="F6" s="199">
        <v>0</v>
      </c>
      <c r="G6" s="199">
        <v>0</v>
      </c>
      <c r="H6" s="199">
        <v>0</v>
      </c>
      <c r="I6" s="199">
        <v>0</v>
      </c>
      <c r="J6" s="199">
        <v>0</v>
      </c>
      <c r="K6" s="199">
        <v>0</v>
      </c>
      <c r="L6" s="199">
        <v>0</v>
      </c>
      <c r="M6" s="199">
        <v>0</v>
      </c>
    </row>
    <row r="7" spans="1:13" x14ac:dyDescent="0.25">
      <c r="A7" s="201" t="s">
        <v>77</v>
      </c>
      <c r="B7" s="199">
        <v>17.134647879511736</v>
      </c>
      <c r="C7" s="199">
        <v>15.130453600010128</v>
      </c>
      <c r="D7" s="199">
        <v>13.738551727474126</v>
      </c>
      <c r="E7" s="199">
        <v>13.890179293383948</v>
      </c>
      <c r="F7" s="199">
        <v>12.699975858300633</v>
      </c>
      <c r="G7" s="199">
        <v>14.696928144995105</v>
      </c>
      <c r="H7" s="199">
        <v>13.027835763628097</v>
      </c>
      <c r="I7" s="199">
        <v>16.611663768289656</v>
      </c>
      <c r="J7" s="199">
        <v>20.366621392488693</v>
      </c>
      <c r="K7" s="199">
        <v>20.09645230232239</v>
      </c>
      <c r="L7" s="199">
        <v>20.873431525123795</v>
      </c>
      <c r="M7" s="199">
        <v>18.674669300235937</v>
      </c>
    </row>
    <row r="8" spans="1:13" x14ac:dyDescent="0.25">
      <c r="A8" s="202" t="s">
        <v>78</v>
      </c>
      <c r="B8" s="199">
        <v>0</v>
      </c>
      <c r="C8" s="199">
        <v>0</v>
      </c>
      <c r="D8" s="199">
        <v>0</v>
      </c>
      <c r="E8" s="199">
        <v>0</v>
      </c>
      <c r="F8" s="199">
        <v>0</v>
      </c>
      <c r="G8" s="199">
        <v>0</v>
      </c>
      <c r="H8" s="199">
        <v>0</v>
      </c>
      <c r="I8" s="199">
        <v>0</v>
      </c>
      <c r="J8" s="199">
        <v>0</v>
      </c>
      <c r="K8" s="199">
        <v>0</v>
      </c>
      <c r="L8" s="199">
        <v>0</v>
      </c>
      <c r="M8" s="199">
        <v>0</v>
      </c>
    </row>
    <row r="9" spans="1:13" x14ac:dyDescent="0.25">
      <c r="A9" s="202" t="s">
        <v>79</v>
      </c>
      <c r="B9" s="199">
        <v>0</v>
      </c>
      <c r="C9" s="199">
        <v>0</v>
      </c>
      <c r="D9" s="199">
        <v>0</v>
      </c>
      <c r="E9" s="199">
        <v>0</v>
      </c>
      <c r="F9" s="199">
        <v>0</v>
      </c>
      <c r="G9" s="199">
        <v>0</v>
      </c>
      <c r="H9" s="199">
        <v>0</v>
      </c>
      <c r="I9" s="199">
        <v>0</v>
      </c>
      <c r="J9" s="199">
        <v>0</v>
      </c>
      <c r="K9" s="199">
        <v>0</v>
      </c>
      <c r="L9" s="199">
        <v>0</v>
      </c>
      <c r="M9" s="199">
        <v>0</v>
      </c>
    </row>
    <row r="10" spans="1:13" x14ac:dyDescent="0.25">
      <c r="A10" s="202" t="s">
        <v>80</v>
      </c>
      <c r="B10" s="199">
        <v>0</v>
      </c>
      <c r="C10" s="199">
        <v>0</v>
      </c>
      <c r="D10" s="199">
        <v>0</v>
      </c>
      <c r="E10" s="199">
        <v>0</v>
      </c>
      <c r="F10" s="199">
        <v>0</v>
      </c>
      <c r="G10" s="199">
        <v>0</v>
      </c>
      <c r="H10" s="199">
        <v>0</v>
      </c>
      <c r="I10" s="199">
        <v>0</v>
      </c>
      <c r="J10" s="199">
        <v>0</v>
      </c>
      <c r="K10" s="199">
        <v>0</v>
      </c>
      <c r="L10" s="199">
        <v>0</v>
      </c>
      <c r="M10" s="199">
        <v>0</v>
      </c>
    </row>
    <row r="11" spans="1:13" x14ac:dyDescent="0.25">
      <c r="A11" s="201" t="s">
        <v>81</v>
      </c>
      <c r="B11" s="199">
        <v>1.2967425357258751</v>
      </c>
      <c r="C11" s="199">
        <v>0.20657041915432911</v>
      </c>
      <c r="D11" s="199">
        <v>-1.3238086171490395</v>
      </c>
      <c r="E11" s="199">
        <v>-2.407626233915872</v>
      </c>
      <c r="F11" s="199">
        <v>-3.0971995861056172</v>
      </c>
      <c r="G11" s="199">
        <v>3.7381571461995993</v>
      </c>
      <c r="H11" s="199">
        <v>6.1905915367983457</v>
      </c>
      <c r="I11" s="199">
        <v>4.2830892378899197</v>
      </c>
      <c r="J11" s="199">
        <v>3.9355124690020515</v>
      </c>
      <c r="K11" s="199">
        <v>-4.9183824340932114</v>
      </c>
      <c r="L11" s="199">
        <v>-4.0715756912106764</v>
      </c>
      <c r="M11" s="199">
        <v>-3.8960707822957468</v>
      </c>
    </row>
    <row r="12" spans="1:13" x14ac:dyDescent="0.25">
      <c r="A12" s="201" t="s">
        <v>82</v>
      </c>
      <c r="B12" s="199">
        <v>-1.27420852303391</v>
      </c>
      <c r="C12" s="199">
        <v>-2.7724417113105542</v>
      </c>
      <c r="D12" s="199">
        <v>-4.5798490441435744</v>
      </c>
      <c r="E12" s="199">
        <v>-3.891487857681228</v>
      </c>
      <c r="F12" s="199">
        <v>-3.8141358289356848</v>
      </c>
      <c r="G12" s="199">
        <v>-2.0829558590299899</v>
      </c>
      <c r="H12" s="199">
        <v>0.78196269812326724</v>
      </c>
      <c r="I12" s="199">
        <v>-0.94200071840101951</v>
      </c>
      <c r="J12" s="199">
        <v>3.3907982582154861</v>
      </c>
      <c r="K12" s="199">
        <v>7.9576759038910252</v>
      </c>
      <c r="L12" s="199">
        <v>6.1366366579400031</v>
      </c>
      <c r="M12" s="199">
        <v>0.61600602436620266</v>
      </c>
    </row>
    <row r="13" spans="1:13" x14ac:dyDescent="0.25">
      <c r="A13" s="201" t="s">
        <v>83</v>
      </c>
      <c r="B13" s="199">
        <v>0</v>
      </c>
      <c r="C13" s="199">
        <v>0</v>
      </c>
      <c r="D13" s="199">
        <v>0</v>
      </c>
      <c r="E13" s="199">
        <v>0</v>
      </c>
      <c r="F13" s="199">
        <v>0</v>
      </c>
      <c r="G13" s="199">
        <v>0</v>
      </c>
      <c r="H13" s="199">
        <v>0</v>
      </c>
      <c r="I13" s="199">
        <v>0</v>
      </c>
      <c r="J13" s="199">
        <v>0</v>
      </c>
      <c r="K13" s="199">
        <v>0</v>
      </c>
      <c r="L13" s="199">
        <v>0</v>
      </c>
      <c r="M13" s="199">
        <v>0</v>
      </c>
    </row>
    <row r="14" spans="1:13" x14ac:dyDescent="0.25">
      <c r="A14" s="201" t="s">
        <v>84</v>
      </c>
      <c r="B14" s="199">
        <v>12.577577273206133</v>
      </c>
      <c r="C14" s="199">
        <v>20.003470505972142</v>
      </c>
      <c r="D14" s="199">
        <v>24.083981419298684</v>
      </c>
      <c r="E14" s="199">
        <v>25.373934763320868</v>
      </c>
      <c r="F14" s="199">
        <v>18.559562863023835</v>
      </c>
      <c r="G14" s="199">
        <v>16.599428600026105</v>
      </c>
      <c r="H14" s="199">
        <v>7.0598582829323</v>
      </c>
      <c r="I14" s="199">
        <v>10.178381519172795</v>
      </c>
      <c r="J14" s="199">
        <v>13.486499916785627</v>
      </c>
      <c r="K14" s="199">
        <v>15.307582186034864</v>
      </c>
      <c r="L14" s="199">
        <v>17.543033908738355</v>
      </c>
      <c r="M14" s="199">
        <v>12.346688761488304</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AE531-1921-4839-B101-F3454CEAA3D0}">
  <sheetPr codeName="Sheet94">
    <tabColor rgb="FFFF5050"/>
  </sheetPr>
  <dimension ref="A1:M14"/>
  <sheetViews>
    <sheetView workbookViewId="0">
      <selection activeCell="J24" sqref="J24"/>
    </sheetView>
  </sheetViews>
  <sheetFormatPr defaultRowHeight="15" x14ac:dyDescent="0.25"/>
  <cols>
    <col min="1" max="1" width="23" customWidth="1"/>
  </cols>
  <sheetData>
    <row r="1" spans="1:13" x14ac:dyDescent="0.25">
      <c r="A1" s="200" t="s">
        <v>218</v>
      </c>
      <c r="B1" s="201" t="s">
        <v>1</v>
      </c>
      <c r="C1" s="201" t="s">
        <v>2</v>
      </c>
      <c r="D1" s="201" t="s">
        <v>3</v>
      </c>
      <c r="E1" s="201" t="s">
        <v>4</v>
      </c>
      <c r="F1" s="201" t="s">
        <v>5</v>
      </c>
      <c r="G1" s="201" t="s">
        <v>6</v>
      </c>
      <c r="H1" s="201" t="s">
        <v>7</v>
      </c>
      <c r="I1" s="201" t="s">
        <v>8</v>
      </c>
      <c r="J1" s="201" t="s">
        <v>9</v>
      </c>
      <c r="K1" s="201" t="s">
        <v>10</v>
      </c>
      <c r="L1" s="201" t="s">
        <v>11</v>
      </c>
      <c r="M1" s="201" t="s">
        <v>12</v>
      </c>
    </row>
    <row r="2" spans="1:13" x14ac:dyDescent="0.25">
      <c r="A2" s="201" t="s">
        <v>72</v>
      </c>
      <c r="B2" s="199">
        <v>7.3476207567747398</v>
      </c>
      <c r="C2" s="199">
        <v>13.297094705097674</v>
      </c>
      <c r="D2" s="199">
        <v>18.409210185827575</v>
      </c>
      <c r="E2" s="199">
        <v>20.712244192979142</v>
      </c>
      <c r="F2" s="199">
        <v>24.35932779046496</v>
      </c>
      <c r="G2" s="199">
        <v>28.94370568614044</v>
      </c>
      <c r="H2" s="199">
        <v>25.898141779025721</v>
      </c>
      <c r="I2" s="199">
        <v>-5.9175505078179889</v>
      </c>
      <c r="J2" s="199">
        <v>-41.374101227901349</v>
      </c>
      <c r="K2" s="199">
        <v>-55.333420533400293</v>
      </c>
      <c r="L2" s="199">
        <v>-43.910054217528312</v>
      </c>
      <c r="M2" s="199">
        <v>-7.8422186096623525</v>
      </c>
    </row>
    <row r="3" spans="1:13" x14ac:dyDescent="0.25">
      <c r="A3" s="201" t="s">
        <v>73</v>
      </c>
      <c r="B3" s="199">
        <v>-3.4754649096850923</v>
      </c>
      <c r="C3" s="199">
        <v>-1.9974966636677096</v>
      </c>
      <c r="D3" s="199">
        <v>2.6226358192840267</v>
      </c>
      <c r="E3" s="199">
        <v>-1.4044175531467729</v>
      </c>
      <c r="F3" s="199">
        <v>5.6913100369082024</v>
      </c>
      <c r="G3" s="199">
        <v>11.763879413236383</v>
      </c>
      <c r="H3" s="199">
        <v>-0.45076254711499475</v>
      </c>
      <c r="I3" s="199">
        <v>3.6038008645603732</v>
      </c>
      <c r="J3" s="199">
        <v>6.2831897403141124</v>
      </c>
      <c r="K3" s="199">
        <v>1.6749898039964184E-2</v>
      </c>
      <c r="L3" s="199">
        <v>-0.20641421969552484</v>
      </c>
      <c r="M3" s="199">
        <v>-5.1370098790330099</v>
      </c>
    </row>
    <row r="4" spans="1:13" x14ac:dyDescent="0.25">
      <c r="A4" s="201" t="s">
        <v>74</v>
      </c>
      <c r="B4" s="199">
        <v>6.7995336959310153</v>
      </c>
      <c r="C4" s="199">
        <v>12.781737979049232</v>
      </c>
      <c r="D4" s="199">
        <v>23.332652655381459</v>
      </c>
      <c r="E4" s="199">
        <v>22.695135858351303</v>
      </c>
      <c r="F4" s="199">
        <v>27.972846192824566</v>
      </c>
      <c r="G4" s="199">
        <v>39.422962591157322</v>
      </c>
      <c r="H4" s="199">
        <v>32.007023128808171</v>
      </c>
      <c r="I4" s="199">
        <v>12.975915348635869</v>
      </c>
      <c r="J4" s="199">
        <v>2.4827590758455647</v>
      </c>
      <c r="K4" s="199">
        <v>-7.4106855127528908</v>
      </c>
      <c r="L4" s="199">
        <v>-9.1708309042751583</v>
      </c>
      <c r="M4" s="199">
        <v>-0.89905010895639326</v>
      </c>
    </row>
    <row r="5" spans="1:13" x14ac:dyDescent="0.25">
      <c r="A5" s="202" t="s">
        <v>75</v>
      </c>
      <c r="B5" s="199">
        <v>0</v>
      </c>
      <c r="C5" s="199">
        <v>0</v>
      </c>
      <c r="D5" s="199">
        <v>0</v>
      </c>
      <c r="E5" s="199">
        <v>0</v>
      </c>
      <c r="F5" s="199">
        <v>0</v>
      </c>
      <c r="G5" s="199">
        <v>0</v>
      </c>
      <c r="H5" s="199">
        <v>0</v>
      </c>
      <c r="I5" s="199">
        <v>0</v>
      </c>
      <c r="J5" s="199">
        <v>0</v>
      </c>
      <c r="K5" s="199">
        <v>0</v>
      </c>
      <c r="L5" s="199">
        <v>0</v>
      </c>
      <c r="M5" s="199">
        <v>0</v>
      </c>
    </row>
    <row r="6" spans="1:13" x14ac:dyDescent="0.25">
      <c r="A6" s="202" t="s">
        <v>76</v>
      </c>
      <c r="B6" s="199">
        <v>0</v>
      </c>
      <c r="C6" s="199">
        <v>0</v>
      </c>
      <c r="D6" s="199">
        <v>0</v>
      </c>
      <c r="E6" s="199">
        <v>0</v>
      </c>
      <c r="F6" s="199">
        <v>0</v>
      </c>
      <c r="G6" s="199">
        <v>0</v>
      </c>
      <c r="H6" s="199">
        <v>0</v>
      </c>
      <c r="I6" s="199">
        <v>0</v>
      </c>
      <c r="J6" s="199">
        <v>0</v>
      </c>
      <c r="K6" s="199">
        <v>0</v>
      </c>
      <c r="L6" s="199">
        <v>0</v>
      </c>
      <c r="M6" s="199">
        <v>0</v>
      </c>
    </row>
    <row r="7" spans="1:13" x14ac:dyDescent="0.25">
      <c r="A7" s="201" t="s">
        <v>77</v>
      </c>
      <c r="B7" s="199">
        <v>17.134647879511736</v>
      </c>
      <c r="C7" s="199">
        <v>15.130453600010128</v>
      </c>
      <c r="D7" s="199">
        <v>13.738551727474126</v>
      </c>
      <c r="E7" s="199">
        <v>13.890179293383948</v>
      </c>
      <c r="F7" s="199">
        <v>12.699975858300633</v>
      </c>
      <c r="G7" s="199">
        <v>14.696928144995105</v>
      </c>
      <c r="H7" s="199">
        <v>13.027835763628097</v>
      </c>
      <c r="I7" s="199">
        <v>16.611663768289656</v>
      </c>
      <c r="J7" s="199">
        <v>20.366621392488693</v>
      </c>
      <c r="K7" s="199">
        <v>20.09645230232239</v>
      </c>
      <c r="L7" s="199">
        <v>20.873431525123795</v>
      </c>
      <c r="M7" s="199">
        <v>18.674669300235937</v>
      </c>
    </row>
    <row r="8" spans="1:13" x14ac:dyDescent="0.25">
      <c r="A8" s="202" t="s">
        <v>78</v>
      </c>
      <c r="B8" s="199">
        <v>0</v>
      </c>
      <c r="C8" s="199">
        <v>0</v>
      </c>
      <c r="D8" s="199">
        <v>0</v>
      </c>
      <c r="E8" s="199">
        <v>0</v>
      </c>
      <c r="F8" s="199">
        <v>0</v>
      </c>
      <c r="G8" s="199">
        <v>0</v>
      </c>
      <c r="H8" s="199">
        <v>0</v>
      </c>
      <c r="I8" s="199">
        <v>0</v>
      </c>
      <c r="J8" s="199">
        <v>0</v>
      </c>
      <c r="K8" s="199">
        <v>0</v>
      </c>
      <c r="L8" s="199">
        <v>0</v>
      </c>
      <c r="M8" s="199">
        <v>0</v>
      </c>
    </row>
    <row r="9" spans="1:13" x14ac:dyDescent="0.25">
      <c r="A9" s="202" t="s">
        <v>79</v>
      </c>
      <c r="B9" s="199">
        <v>0</v>
      </c>
      <c r="C9" s="199">
        <v>0</v>
      </c>
      <c r="D9" s="199">
        <v>0</v>
      </c>
      <c r="E9" s="199">
        <v>0</v>
      </c>
      <c r="F9" s="199">
        <v>0</v>
      </c>
      <c r="G9" s="199">
        <v>0</v>
      </c>
      <c r="H9" s="199">
        <v>0</v>
      </c>
      <c r="I9" s="199">
        <v>0</v>
      </c>
      <c r="J9" s="199">
        <v>0</v>
      </c>
      <c r="K9" s="199">
        <v>0</v>
      </c>
      <c r="L9" s="199">
        <v>0</v>
      </c>
      <c r="M9" s="199">
        <v>0</v>
      </c>
    </row>
    <row r="10" spans="1:13" x14ac:dyDescent="0.25">
      <c r="A10" s="202" t="s">
        <v>80</v>
      </c>
      <c r="B10" s="199">
        <v>0</v>
      </c>
      <c r="C10" s="199">
        <v>0</v>
      </c>
      <c r="D10" s="199">
        <v>0</v>
      </c>
      <c r="E10" s="199">
        <v>0</v>
      </c>
      <c r="F10" s="199">
        <v>0</v>
      </c>
      <c r="G10" s="199">
        <v>0</v>
      </c>
      <c r="H10" s="199">
        <v>0</v>
      </c>
      <c r="I10" s="199">
        <v>0</v>
      </c>
      <c r="J10" s="199">
        <v>0</v>
      </c>
      <c r="K10" s="199">
        <v>0</v>
      </c>
      <c r="L10" s="199">
        <v>0</v>
      </c>
      <c r="M10" s="199">
        <v>0</v>
      </c>
    </row>
    <row r="11" spans="1:13" x14ac:dyDescent="0.25">
      <c r="A11" s="201" t="s">
        <v>81</v>
      </c>
      <c r="B11" s="199">
        <v>1.2967425357258751</v>
      </c>
      <c r="C11" s="199">
        <v>0.20657041915432911</v>
      </c>
      <c r="D11" s="199">
        <v>-1.3238086171490395</v>
      </c>
      <c r="E11" s="199">
        <v>-2.407626233915872</v>
      </c>
      <c r="F11" s="199">
        <v>-3.0971995861056172</v>
      </c>
      <c r="G11" s="199">
        <v>3.7381571461995993</v>
      </c>
      <c r="H11" s="199">
        <v>6.1905915367983457</v>
      </c>
      <c r="I11" s="199">
        <v>4.2830892378899197</v>
      </c>
      <c r="J11" s="199">
        <v>3.9355124690020515</v>
      </c>
      <c r="K11" s="199">
        <v>-4.9183824340932114</v>
      </c>
      <c r="L11" s="199">
        <v>-4.0715756912106764</v>
      </c>
      <c r="M11" s="199">
        <v>-3.8960707822957468</v>
      </c>
    </row>
    <row r="12" spans="1:13" x14ac:dyDescent="0.25">
      <c r="A12" s="201" t="s">
        <v>82</v>
      </c>
      <c r="B12" s="199">
        <v>-1.27420852303391</v>
      </c>
      <c r="C12" s="199">
        <v>-2.7724417113105542</v>
      </c>
      <c r="D12" s="199">
        <v>-4.5798490441435744</v>
      </c>
      <c r="E12" s="199">
        <v>-3.891487857681228</v>
      </c>
      <c r="F12" s="199">
        <v>-3.8141358289356848</v>
      </c>
      <c r="G12" s="199">
        <v>-2.0829558590299899</v>
      </c>
      <c r="H12" s="199">
        <v>0.78196269812326724</v>
      </c>
      <c r="I12" s="199">
        <v>-0.94200071840101951</v>
      </c>
      <c r="J12" s="199">
        <v>3.3907982582154861</v>
      </c>
      <c r="K12" s="199">
        <v>7.9576759038910252</v>
      </c>
      <c r="L12" s="199">
        <v>6.1366366579400031</v>
      </c>
      <c r="M12" s="199">
        <v>0.61600602436620266</v>
      </c>
    </row>
    <row r="13" spans="1:13" x14ac:dyDescent="0.25">
      <c r="A13" s="201" t="s">
        <v>83</v>
      </c>
      <c r="B13" s="199">
        <v>0</v>
      </c>
      <c r="C13" s="199">
        <v>0</v>
      </c>
      <c r="D13" s="199">
        <v>0</v>
      </c>
      <c r="E13" s="199">
        <v>0</v>
      </c>
      <c r="F13" s="199">
        <v>0</v>
      </c>
      <c r="G13" s="199">
        <v>0</v>
      </c>
      <c r="H13" s="199">
        <v>0</v>
      </c>
      <c r="I13" s="199">
        <v>0</v>
      </c>
      <c r="J13" s="199">
        <v>0</v>
      </c>
      <c r="K13" s="199">
        <v>0</v>
      </c>
      <c r="L13" s="199">
        <v>0</v>
      </c>
      <c r="M13" s="199">
        <v>0</v>
      </c>
    </row>
    <row r="14" spans="1:13" x14ac:dyDescent="0.25">
      <c r="A14" s="201" t="s">
        <v>84</v>
      </c>
      <c r="B14" s="199">
        <v>12.577577273206133</v>
      </c>
      <c r="C14" s="199">
        <v>20.003470505972142</v>
      </c>
      <c r="D14" s="199">
        <v>24.083981419298684</v>
      </c>
      <c r="E14" s="199">
        <v>25.373934763320868</v>
      </c>
      <c r="F14" s="199">
        <v>18.559562863023835</v>
      </c>
      <c r="G14" s="199">
        <v>16.599428600026105</v>
      </c>
      <c r="H14" s="199">
        <v>7.0598582829323</v>
      </c>
      <c r="I14" s="199">
        <v>10.178381519172795</v>
      </c>
      <c r="J14" s="199">
        <v>13.486499916785627</v>
      </c>
      <c r="K14" s="199">
        <v>15.307582186034864</v>
      </c>
      <c r="L14" s="199">
        <v>17.543033908738355</v>
      </c>
      <c r="M14" s="199">
        <v>12.346688761488304</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EB7BF-9CFB-4D68-AF4F-42CA89676392}">
  <sheetPr codeName="Sheet91">
    <tabColor rgb="FFFFC000"/>
  </sheetPr>
  <dimension ref="A1:M14"/>
  <sheetViews>
    <sheetView workbookViewId="0">
      <selection activeCell="H19" sqref="H19"/>
    </sheetView>
  </sheetViews>
  <sheetFormatPr defaultRowHeight="15" x14ac:dyDescent="0.25"/>
  <cols>
    <col min="1" max="1" width="23" customWidth="1"/>
  </cols>
  <sheetData>
    <row r="1" spans="1:13" x14ac:dyDescent="0.25">
      <c r="A1" s="197" t="s">
        <v>219</v>
      </c>
      <c r="B1" t="s">
        <v>1</v>
      </c>
      <c r="C1" t="s">
        <v>2</v>
      </c>
      <c r="D1" t="s">
        <v>3</v>
      </c>
      <c r="E1" t="s">
        <v>4</v>
      </c>
      <c r="F1" t="s">
        <v>5</v>
      </c>
      <c r="G1" t="s">
        <v>6</v>
      </c>
      <c r="H1" t="s">
        <v>7</v>
      </c>
      <c r="I1" t="s">
        <v>8</v>
      </c>
      <c r="J1" t="s">
        <v>9</v>
      </c>
      <c r="K1" t="s">
        <v>10</v>
      </c>
      <c r="L1" t="s">
        <v>11</v>
      </c>
      <c r="M1" t="s">
        <v>12</v>
      </c>
    </row>
    <row r="2" spans="1:13" x14ac:dyDescent="0.25">
      <c r="A2" t="s">
        <v>72</v>
      </c>
      <c r="B2" s="94">
        <v>3.7414769031918436</v>
      </c>
      <c r="C2" s="94">
        <v>9.3282377009310205E-2</v>
      </c>
      <c r="D2" s="94">
        <v>0</v>
      </c>
      <c r="E2" s="94">
        <v>0</v>
      </c>
      <c r="F2" s="94">
        <v>0</v>
      </c>
      <c r="G2" s="94">
        <v>0</v>
      </c>
      <c r="H2" s="94">
        <v>2.1419771617741133E-2</v>
      </c>
      <c r="I2" s="94">
        <v>28.939895306924285</v>
      </c>
      <c r="J2" s="94">
        <v>62.867007009475017</v>
      </c>
      <c r="K2" s="94">
        <v>68.034760927756906</v>
      </c>
      <c r="L2" s="94">
        <v>56.170312984844166</v>
      </c>
      <c r="M2" s="94">
        <v>20.679631761898367</v>
      </c>
    </row>
    <row r="3" spans="1:13" x14ac:dyDescent="0.25">
      <c r="A3" t="s">
        <v>73</v>
      </c>
      <c r="B3" s="94">
        <v>9.7767912463316318</v>
      </c>
      <c r="C3" s="94">
        <v>9.107454046239603</v>
      </c>
      <c r="D3" s="94">
        <v>11.122020673274381</v>
      </c>
      <c r="E3" s="94">
        <v>12.901947019932681</v>
      </c>
      <c r="F3" s="94">
        <v>16.083406109969559</v>
      </c>
      <c r="G3" s="94">
        <v>20.554958191218649</v>
      </c>
      <c r="H3" s="94">
        <v>20.793712716185372</v>
      </c>
      <c r="I3" s="94">
        <v>16.880676436388782</v>
      </c>
      <c r="J3" s="94">
        <v>13.371848293341284</v>
      </c>
      <c r="K3" s="94">
        <v>13.737198933248282</v>
      </c>
      <c r="L3" s="94">
        <v>12.664950784243377</v>
      </c>
      <c r="M3" s="94">
        <v>10.740690241814873</v>
      </c>
    </row>
    <row r="4" spans="1:13" x14ac:dyDescent="0.25">
      <c r="A4" t="s">
        <v>74</v>
      </c>
      <c r="B4" s="94">
        <v>1.6876225395348836</v>
      </c>
      <c r="C4" s="94">
        <v>9.8193906976744197E-2</v>
      </c>
      <c r="D4" s="94">
        <v>0</v>
      </c>
      <c r="E4" s="94">
        <v>0</v>
      </c>
      <c r="F4" s="94">
        <v>0</v>
      </c>
      <c r="G4" s="94">
        <v>0</v>
      </c>
      <c r="H4" s="94">
        <v>8.3000000000000004E-2</v>
      </c>
      <c r="I4" s="94">
        <v>11.429203416279069</v>
      </c>
      <c r="J4" s="94">
        <v>17.313748790697673</v>
      </c>
      <c r="K4" s="94">
        <v>17.845316125581395</v>
      </c>
      <c r="L4" s="94">
        <v>15.127122383720931</v>
      </c>
      <c r="M4" s="94">
        <v>5.7026667348837208</v>
      </c>
    </row>
    <row r="5" spans="1:13" x14ac:dyDescent="0.25">
      <c r="A5" s="2" t="s">
        <v>75</v>
      </c>
      <c r="B5" s="95">
        <v>0</v>
      </c>
      <c r="C5" s="96">
        <v>0</v>
      </c>
      <c r="D5" s="96">
        <v>0</v>
      </c>
      <c r="E5" s="96">
        <v>0</v>
      </c>
      <c r="F5" s="96">
        <v>0</v>
      </c>
      <c r="G5" s="96">
        <v>0</v>
      </c>
      <c r="H5" s="96">
        <v>0</v>
      </c>
      <c r="I5" s="96">
        <v>0</v>
      </c>
      <c r="J5" s="96">
        <v>0</v>
      </c>
      <c r="K5" s="96">
        <v>0</v>
      </c>
      <c r="L5" s="96">
        <v>0</v>
      </c>
      <c r="M5" s="96">
        <v>0</v>
      </c>
    </row>
    <row r="6" spans="1:13" x14ac:dyDescent="0.25">
      <c r="A6" s="2" t="s">
        <v>76</v>
      </c>
      <c r="B6" s="95">
        <v>0</v>
      </c>
      <c r="C6" s="96">
        <v>0</v>
      </c>
      <c r="D6" s="96">
        <v>0</v>
      </c>
      <c r="E6" s="96">
        <v>0</v>
      </c>
      <c r="F6" s="96">
        <v>0</v>
      </c>
      <c r="G6" s="96">
        <v>0</v>
      </c>
      <c r="H6" s="96">
        <v>0</v>
      </c>
      <c r="I6" s="96">
        <v>0</v>
      </c>
      <c r="J6" s="96">
        <v>0</v>
      </c>
      <c r="K6" s="96">
        <v>0</v>
      </c>
      <c r="L6" s="96">
        <v>0</v>
      </c>
      <c r="M6" s="96">
        <v>0</v>
      </c>
    </row>
    <row r="7" spans="1:13" x14ac:dyDescent="0.25">
      <c r="A7" t="s">
        <v>77</v>
      </c>
      <c r="B7" s="94">
        <v>1.5853094617688757</v>
      </c>
      <c r="C7" s="94">
        <v>1.6934124995770918</v>
      </c>
      <c r="D7" s="94">
        <v>3.4105256369134271</v>
      </c>
      <c r="E7" s="94">
        <v>3.4440002058356622</v>
      </c>
      <c r="F7" s="94">
        <v>4.6491669328474599</v>
      </c>
      <c r="G7" s="94">
        <v>10.776071340627839</v>
      </c>
      <c r="H7" s="94">
        <v>15.303762912361199</v>
      </c>
      <c r="I7" s="94">
        <v>6.4208068284101092</v>
      </c>
      <c r="J7" s="94">
        <v>2.4315550863623212</v>
      </c>
      <c r="K7" s="94">
        <v>1.9006057574529889</v>
      </c>
      <c r="L7" s="94">
        <v>1.9313235794652963</v>
      </c>
      <c r="M7" s="94">
        <v>1.6139234578090302</v>
      </c>
    </row>
    <row r="8" spans="1:13" x14ac:dyDescent="0.25">
      <c r="A8" s="2" t="s">
        <v>78</v>
      </c>
      <c r="B8" s="95">
        <v>0</v>
      </c>
      <c r="C8" s="96">
        <v>0</v>
      </c>
      <c r="D8" s="96">
        <v>0</v>
      </c>
      <c r="E8" s="96">
        <v>0</v>
      </c>
      <c r="F8" s="96">
        <v>0</v>
      </c>
      <c r="G8" s="96">
        <v>0</v>
      </c>
      <c r="H8" s="96">
        <v>0</v>
      </c>
      <c r="I8" s="96">
        <v>0</v>
      </c>
      <c r="J8" s="96">
        <v>0</v>
      </c>
      <c r="K8" s="96">
        <v>0</v>
      </c>
      <c r="L8" s="96">
        <v>0</v>
      </c>
      <c r="M8" s="96">
        <v>0</v>
      </c>
    </row>
    <row r="9" spans="1:13" x14ac:dyDescent="0.25">
      <c r="A9" s="2" t="s">
        <v>79</v>
      </c>
      <c r="B9" s="95">
        <v>0</v>
      </c>
      <c r="C9" s="96">
        <v>0</v>
      </c>
      <c r="D9" s="96">
        <v>0</v>
      </c>
      <c r="E9" s="96">
        <v>0</v>
      </c>
      <c r="F9" s="96">
        <v>0</v>
      </c>
      <c r="G9" s="96">
        <v>0</v>
      </c>
      <c r="H9" s="96">
        <v>0</v>
      </c>
      <c r="I9" s="96">
        <v>0</v>
      </c>
      <c r="J9" s="96">
        <v>0</v>
      </c>
      <c r="K9" s="96">
        <v>0</v>
      </c>
      <c r="L9" s="96">
        <v>0</v>
      </c>
      <c r="M9" s="96">
        <v>0</v>
      </c>
    </row>
    <row r="10" spans="1:13" x14ac:dyDescent="0.25">
      <c r="A10" s="2" t="s">
        <v>80</v>
      </c>
      <c r="B10" s="95">
        <v>0</v>
      </c>
      <c r="C10" s="96">
        <v>0</v>
      </c>
      <c r="D10" s="96">
        <v>0</v>
      </c>
      <c r="E10" s="96">
        <v>0</v>
      </c>
      <c r="F10" s="96">
        <v>0</v>
      </c>
      <c r="G10" s="96">
        <v>0</v>
      </c>
      <c r="H10" s="96">
        <v>0</v>
      </c>
      <c r="I10" s="96">
        <v>0</v>
      </c>
      <c r="J10" s="96">
        <v>0</v>
      </c>
      <c r="K10" s="96">
        <v>0</v>
      </c>
      <c r="L10" s="96">
        <v>0</v>
      </c>
      <c r="M10" s="96">
        <v>0</v>
      </c>
    </row>
    <row r="11" spans="1:13" x14ac:dyDescent="0.25">
      <c r="A11" t="s">
        <v>81</v>
      </c>
      <c r="B11" s="94">
        <v>2.0653856908352486</v>
      </c>
      <c r="C11" s="94">
        <v>1.9038942154480016</v>
      </c>
      <c r="D11" s="94">
        <v>3.1593996057701732</v>
      </c>
      <c r="E11" s="94">
        <v>4.0045263457089888</v>
      </c>
      <c r="F11" s="94">
        <v>5.325107838521685</v>
      </c>
      <c r="G11" s="94">
        <v>7.893565414492774</v>
      </c>
      <c r="H11" s="94">
        <v>7.0273158848546808</v>
      </c>
      <c r="I11" s="94">
        <v>6.0038341618719446</v>
      </c>
      <c r="J11" s="94">
        <v>8.3558582707051983</v>
      </c>
      <c r="K11" s="94">
        <v>10.009201505727505</v>
      </c>
      <c r="L11" s="94">
        <v>8.3286330734886818</v>
      </c>
      <c r="M11" s="94">
        <v>3.9881233517978325</v>
      </c>
    </row>
    <row r="12" spans="1:13" x14ac:dyDescent="0.25">
      <c r="A12" t="s">
        <v>82</v>
      </c>
      <c r="B12" s="94">
        <v>1.9929873359800536</v>
      </c>
      <c r="C12" s="94">
        <v>2.9652297824948146</v>
      </c>
      <c r="D12" s="94">
        <v>5.3864402120822863</v>
      </c>
      <c r="E12" s="94">
        <v>6.1243293748986236</v>
      </c>
      <c r="F12" s="94">
        <v>6.5340808763097407</v>
      </c>
      <c r="G12" s="94">
        <v>9.2930689568564677</v>
      </c>
      <c r="H12" s="94">
        <v>10.710219907100829</v>
      </c>
      <c r="I12" s="94">
        <v>7.7212208504869215</v>
      </c>
      <c r="J12" s="94">
        <v>4.0595916115135324</v>
      </c>
      <c r="K12" s="94">
        <v>1.7876986969888966</v>
      </c>
      <c r="L12" s="94">
        <v>1.2532759214412936</v>
      </c>
      <c r="M12" s="94">
        <v>1.0966301022522369</v>
      </c>
    </row>
    <row r="13" spans="1:13" x14ac:dyDescent="0.25">
      <c r="A13" t="s">
        <v>83</v>
      </c>
      <c r="B13" s="94">
        <v>7.2112879047619066E-2</v>
      </c>
      <c r="C13" s="94">
        <v>0</v>
      </c>
      <c r="D13" s="94">
        <v>0</v>
      </c>
      <c r="E13" s="94">
        <v>0</v>
      </c>
      <c r="F13" s="94">
        <v>0</v>
      </c>
      <c r="G13" s="94">
        <v>0</v>
      </c>
      <c r="H13" s="94">
        <v>0</v>
      </c>
      <c r="I13" s="94">
        <v>0.23665582194705512</v>
      </c>
      <c r="J13" s="94">
        <v>8.053046664631891</v>
      </c>
      <c r="K13" s="94">
        <v>15.394324622575185</v>
      </c>
      <c r="L13" s="94">
        <v>12.752036115253759</v>
      </c>
      <c r="M13" s="94">
        <v>3.9443196266776317</v>
      </c>
    </row>
    <row r="14" spans="1:13" x14ac:dyDescent="0.25">
      <c r="A14" t="s">
        <v>84</v>
      </c>
      <c r="B14" s="94">
        <v>6.8034758700113537E-2</v>
      </c>
      <c r="C14" s="94">
        <v>8.6604895071536681E-2</v>
      </c>
      <c r="D14" s="94">
        <v>0.14600708905496501</v>
      </c>
      <c r="E14" s="94">
        <v>0.22524064250364223</v>
      </c>
      <c r="F14" s="94">
        <v>0.31591031976995693</v>
      </c>
      <c r="G14" s="94">
        <v>0.51559999268194723</v>
      </c>
      <c r="H14" s="94">
        <v>0.51736607750083141</v>
      </c>
      <c r="I14" s="94">
        <v>0.96178612442992606</v>
      </c>
      <c r="J14" s="94">
        <v>1.3406623807320603</v>
      </c>
      <c r="K14" s="94">
        <v>1.8100850725596627</v>
      </c>
      <c r="L14" s="94">
        <v>1.5792308160612369</v>
      </c>
      <c r="M14" s="94">
        <v>0.61810500788889366</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1355-303B-4533-986F-511C9A1CBBC7}">
  <sheetPr codeName="Sheet90">
    <tabColor rgb="FFFFC000"/>
  </sheetPr>
  <dimension ref="A1:C14"/>
  <sheetViews>
    <sheetView workbookViewId="0">
      <selection activeCell="L37" sqref="L37"/>
    </sheetView>
  </sheetViews>
  <sheetFormatPr defaultRowHeight="15" x14ac:dyDescent="0.25"/>
  <cols>
    <col min="1" max="1" width="23" customWidth="1"/>
  </cols>
  <sheetData>
    <row r="1" spans="1:3" x14ac:dyDescent="0.25">
      <c r="A1" s="196" t="s">
        <v>217</v>
      </c>
      <c r="B1">
        <v>2025</v>
      </c>
    </row>
    <row r="2" spans="1:3" x14ac:dyDescent="0.25">
      <c r="A2" t="s">
        <v>72</v>
      </c>
      <c r="B2" s="94">
        <v>0.85</v>
      </c>
      <c r="C2" s="40"/>
    </row>
    <row r="3" spans="1:3" x14ac:dyDescent="0.25">
      <c r="A3" t="s">
        <v>73</v>
      </c>
      <c r="B3" s="94">
        <v>0.85</v>
      </c>
      <c r="C3" s="40"/>
    </row>
    <row r="4" spans="1:3" x14ac:dyDescent="0.25">
      <c r="A4" t="s">
        <v>74</v>
      </c>
      <c r="B4" s="94">
        <v>0.85</v>
      </c>
      <c r="C4" s="40"/>
    </row>
    <row r="5" spans="1:3" x14ac:dyDescent="0.25">
      <c r="A5" s="2" t="s">
        <v>75</v>
      </c>
      <c r="B5" s="95">
        <v>1</v>
      </c>
      <c r="C5" s="40"/>
    </row>
    <row r="6" spans="1:3" x14ac:dyDescent="0.25">
      <c r="A6" s="2" t="s">
        <v>76</v>
      </c>
      <c r="B6" s="95">
        <v>1</v>
      </c>
      <c r="C6" s="40"/>
    </row>
    <row r="7" spans="1:3" x14ac:dyDescent="0.25">
      <c r="A7" t="s">
        <v>77</v>
      </c>
      <c r="B7" s="94">
        <v>0.85</v>
      </c>
      <c r="C7" s="40"/>
    </row>
    <row r="8" spans="1:3" x14ac:dyDescent="0.25">
      <c r="A8" s="2" t="s">
        <v>78</v>
      </c>
      <c r="B8" s="95">
        <v>1</v>
      </c>
      <c r="C8" s="40"/>
    </row>
    <row r="9" spans="1:3" x14ac:dyDescent="0.25">
      <c r="A9" s="2" t="s">
        <v>79</v>
      </c>
      <c r="B9" s="95">
        <v>1</v>
      </c>
      <c r="C9" s="40"/>
    </row>
    <row r="10" spans="1:3" x14ac:dyDescent="0.25">
      <c r="A10" s="2" t="s">
        <v>80</v>
      </c>
      <c r="B10" s="95">
        <v>1</v>
      </c>
      <c r="C10" s="40"/>
    </row>
    <row r="11" spans="1:3" x14ac:dyDescent="0.25">
      <c r="A11" t="s">
        <v>81</v>
      </c>
      <c r="B11" s="94">
        <v>0.85</v>
      </c>
      <c r="C11" s="40"/>
    </row>
    <row r="12" spans="1:3" x14ac:dyDescent="0.25">
      <c r="A12" t="s">
        <v>82</v>
      </c>
      <c r="B12" s="94">
        <v>0.85</v>
      </c>
      <c r="C12" s="40"/>
    </row>
    <row r="13" spans="1:3" x14ac:dyDescent="0.25">
      <c r="A13" t="s">
        <v>83</v>
      </c>
      <c r="B13" s="94">
        <v>0.85</v>
      </c>
      <c r="C13" s="40"/>
    </row>
    <row r="14" spans="1:3" x14ac:dyDescent="0.25">
      <c r="A14" t="s">
        <v>84</v>
      </c>
      <c r="B14" s="94">
        <v>0.85</v>
      </c>
      <c r="C14" s="40"/>
    </row>
  </sheetData>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5E039-D6F9-4646-844C-41540E3825CF}">
  <sheetPr codeName="Sheet89">
    <tabColor rgb="FFFFC000"/>
  </sheetPr>
  <dimension ref="A1:C14"/>
  <sheetViews>
    <sheetView workbookViewId="0">
      <selection activeCell="B1" sqref="B1"/>
    </sheetView>
  </sheetViews>
  <sheetFormatPr defaultRowHeight="15" x14ac:dyDescent="0.25"/>
  <cols>
    <col min="1" max="1" width="23" customWidth="1"/>
  </cols>
  <sheetData>
    <row r="1" spans="1:3" x14ac:dyDescent="0.25">
      <c r="A1" s="196" t="s">
        <v>216</v>
      </c>
      <c r="B1">
        <v>2025</v>
      </c>
    </row>
    <row r="2" spans="1:3" x14ac:dyDescent="0.25">
      <c r="A2" t="s">
        <v>72</v>
      </c>
      <c r="B2" s="94">
        <v>0.93371677144469678</v>
      </c>
      <c r="C2" s="40"/>
    </row>
    <row r="3" spans="1:3" x14ac:dyDescent="0.25">
      <c r="A3" t="s">
        <v>73</v>
      </c>
      <c r="B3" s="94">
        <v>0.95632136289216041</v>
      </c>
      <c r="C3" s="40"/>
    </row>
    <row r="4" spans="1:3" x14ac:dyDescent="0.25">
      <c r="A4" t="s">
        <v>74</v>
      </c>
      <c r="B4" s="94">
        <v>0.95</v>
      </c>
      <c r="C4" s="40"/>
    </row>
    <row r="5" spans="1:3" x14ac:dyDescent="0.25">
      <c r="A5" s="2" t="s">
        <v>75</v>
      </c>
      <c r="B5" s="95">
        <v>1</v>
      </c>
      <c r="C5" s="40"/>
    </row>
    <row r="6" spans="1:3" x14ac:dyDescent="0.25">
      <c r="A6" s="2" t="s">
        <v>76</v>
      </c>
      <c r="B6" s="95">
        <v>1</v>
      </c>
      <c r="C6" s="40"/>
    </row>
    <row r="7" spans="1:3" x14ac:dyDescent="0.25">
      <c r="A7" t="s">
        <v>77</v>
      </c>
      <c r="B7" s="94">
        <v>0.93322711968964878</v>
      </c>
      <c r="C7" s="40"/>
    </row>
    <row r="8" spans="1:3" x14ac:dyDescent="0.25">
      <c r="A8" s="2" t="s">
        <v>78</v>
      </c>
      <c r="B8" s="95">
        <v>1</v>
      </c>
      <c r="C8" s="40"/>
    </row>
    <row r="9" spans="1:3" x14ac:dyDescent="0.25">
      <c r="A9" s="2" t="s">
        <v>79</v>
      </c>
      <c r="B9" s="95">
        <v>1</v>
      </c>
      <c r="C9" s="40"/>
    </row>
    <row r="10" spans="1:3" x14ac:dyDescent="0.25">
      <c r="A10" s="2" t="s">
        <v>80</v>
      </c>
      <c r="B10" s="95">
        <v>1</v>
      </c>
      <c r="C10" s="40"/>
    </row>
    <row r="11" spans="1:3" x14ac:dyDescent="0.25">
      <c r="A11" t="s">
        <v>81</v>
      </c>
      <c r="B11" s="94">
        <v>0.95456052216270082</v>
      </c>
      <c r="C11" s="40"/>
    </row>
    <row r="12" spans="1:3" x14ac:dyDescent="0.25">
      <c r="A12" t="s">
        <v>82</v>
      </c>
      <c r="B12" s="94">
        <v>0.97682779804927322</v>
      </c>
      <c r="C12" s="40"/>
    </row>
    <row r="13" spans="1:3" x14ac:dyDescent="0.25">
      <c r="A13" t="s">
        <v>83</v>
      </c>
      <c r="B13" s="94">
        <v>0.85000000000000009</v>
      </c>
      <c r="C13" s="40"/>
    </row>
    <row r="14" spans="1:3" x14ac:dyDescent="0.25">
      <c r="A14" t="s">
        <v>84</v>
      </c>
      <c r="B14" s="94">
        <v>0.95</v>
      </c>
      <c r="C14" s="40"/>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4D2E-4A17-4CCB-B289-E2726B13FBCE}">
  <sheetPr codeName="Sheet50">
    <tabColor rgb="FFFFC000"/>
  </sheetPr>
  <dimension ref="A1:M14"/>
  <sheetViews>
    <sheetView workbookViewId="0">
      <selection activeCell="M14" sqref="A1:M14"/>
    </sheetView>
  </sheetViews>
  <sheetFormatPr defaultRowHeight="15" x14ac:dyDescent="0.25"/>
  <cols>
    <col min="1" max="1" width="23" customWidth="1"/>
  </cols>
  <sheetData>
    <row r="1" spans="1:13" x14ac:dyDescent="0.25">
      <c r="A1" s="93" t="s">
        <v>203</v>
      </c>
      <c r="B1" t="s">
        <v>1</v>
      </c>
      <c r="C1" t="s">
        <v>2</v>
      </c>
      <c r="D1" t="s">
        <v>3</v>
      </c>
      <c r="E1" t="s">
        <v>4</v>
      </c>
      <c r="F1" t="s">
        <v>5</v>
      </c>
      <c r="G1" t="s">
        <v>6</v>
      </c>
      <c r="H1" t="s">
        <v>7</v>
      </c>
      <c r="I1" t="s">
        <v>8</v>
      </c>
      <c r="J1" t="s">
        <v>9</v>
      </c>
      <c r="K1" t="s">
        <v>10</v>
      </c>
      <c r="L1" t="s">
        <v>11</v>
      </c>
      <c r="M1" t="s">
        <v>12</v>
      </c>
    </row>
    <row r="2" spans="1:13" x14ac:dyDescent="0.25">
      <c r="A2" t="s">
        <v>72</v>
      </c>
      <c r="B2" s="94">
        <v>3.4934797344831905</v>
      </c>
      <c r="C2" s="94">
        <v>8.7099319893820137E-2</v>
      </c>
      <c r="D2" s="94">
        <v>0</v>
      </c>
      <c r="E2" s="94">
        <v>0</v>
      </c>
      <c r="F2" s="94">
        <v>0</v>
      </c>
      <c r="G2" s="94">
        <v>0</v>
      </c>
      <c r="H2" s="94">
        <v>0.02</v>
      </c>
      <c r="I2" s="94">
        <v>27.021665611928874</v>
      </c>
      <c r="J2" s="94">
        <v>58.699978815278136</v>
      </c>
      <c r="K2" s="94">
        <v>63.52519731947698</v>
      </c>
      <c r="L2" s="94">
        <v>52.447163291246824</v>
      </c>
      <c r="M2" s="94">
        <v>19.30891900338495</v>
      </c>
    </row>
    <row r="3" spans="1:13" x14ac:dyDescent="0.25">
      <c r="A3" t="s">
        <v>73</v>
      </c>
      <c r="B3" s="94">
        <v>9.3497543294040089</v>
      </c>
      <c r="C3" s="94">
        <v>8.7096528659775778</v>
      </c>
      <c r="D3" s="94">
        <v>10.63622596838054</v>
      </c>
      <c r="E3" s="94">
        <v>12.338407558064469</v>
      </c>
      <c r="F3" s="94">
        <v>15.380904851034188</v>
      </c>
      <c r="G3" s="94">
        <v>19.657145631617595</v>
      </c>
      <c r="H3" s="94">
        <v>19.88547168433044</v>
      </c>
      <c r="I3" s="94">
        <v>16.143351496188899</v>
      </c>
      <c r="J3" s="94">
        <v>12.787784184275345</v>
      </c>
      <c r="K3" s="94">
        <v>13.137176806164728</v>
      </c>
      <c r="L3" s="94">
        <v>12.111762994949762</v>
      </c>
      <c r="M3" s="94">
        <v>10.271551530454927</v>
      </c>
    </row>
    <row r="4" spans="1:13" x14ac:dyDescent="0.25">
      <c r="A4" t="s">
        <v>74</v>
      </c>
      <c r="B4" s="94">
        <v>1.6032414125581393</v>
      </c>
      <c r="C4" s="94">
        <v>9.3284211627906982E-2</v>
      </c>
      <c r="D4" s="94">
        <v>0</v>
      </c>
      <c r="E4" s="94">
        <v>0</v>
      </c>
      <c r="F4" s="94">
        <v>0</v>
      </c>
      <c r="G4" s="94">
        <v>0</v>
      </c>
      <c r="H4" s="94">
        <v>7.8850000000000003E-2</v>
      </c>
      <c r="I4" s="94">
        <v>10.857743245465116</v>
      </c>
      <c r="J4" s="94">
        <v>16.448061351162789</v>
      </c>
      <c r="K4" s="94">
        <v>16.953050319302324</v>
      </c>
      <c r="L4" s="94">
        <v>14.370766264534883</v>
      </c>
      <c r="M4" s="94">
        <v>5.4175333981395344</v>
      </c>
    </row>
    <row r="5" spans="1:13" x14ac:dyDescent="0.25">
      <c r="A5" s="2" t="s">
        <v>75</v>
      </c>
      <c r="B5" s="26">
        <v>105.36556371896306</v>
      </c>
      <c r="C5" s="26">
        <v>111.22745383387087</v>
      </c>
      <c r="D5" s="26">
        <v>117.68219109533409</v>
      </c>
      <c r="E5" s="26">
        <v>126.86829252044161</v>
      </c>
      <c r="F5" s="26">
        <v>121.88400586695919</v>
      </c>
      <c r="G5" s="26">
        <v>141.23783920978175</v>
      </c>
      <c r="H5" s="26">
        <v>155.3166660732501</v>
      </c>
      <c r="I5" s="26">
        <v>116.35457307733327</v>
      </c>
      <c r="J5" s="26">
        <v>91.201813346081849</v>
      </c>
      <c r="K5" s="26">
        <v>82.322621364463402</v>
      </c>
      <c r="L5" s="26">
        <v>83.183503920407489</v>
      </c>
      <c r="M5" s="26">
        <v>88.088428710351124</v>
      </c>
    </row>
    <row r="6" spans="1:13" x14ac:dyDescent="0.25">
      <c r="A6" s="2" t="s">
        <v>76</v>
      </c>
      <c r="B6" s="26">
        <v>104.71847762643164</v>
      </c>
      <c r="C6" s="26">
        <v>110.86080353146528</v>
      </c>
      <c r="D6" s="26">
        <v>117.67650752266327</v>
      </c>
      <c r="E6" s="26">
        <v>128.14475563694194</v>
      </c>
      <c r="F6" s="26">
        <v>123.91727888715442</v>
      </c>
      <c r="G6" s="26">
        <v>144.49939786718599</v>
      </c>
      <c r="H6" s="26">
        <v>159.06795515532826</v>
      </c>
      <c r="I6" s="26">
        <v>118.82793763192029</v>
      </c>
      <c r="J6" s="26">
        <v>91.291308566800183</v>
      </c>
      <c r="K6" s="26">
        <v>82.460772666531014</v>
      </c>
      <c r="L6" s="26">
        <v>83.23546222289238</v>
      </c>
      <c r="M6" s="26">
        <v>87.506430224672513</v>
      </c>
    </row>
    <row r="7" spans="1:13" x14ac:dyDescent="0.25">
      <c r="A7" t="s">
        <v>77</v>
      </c>
      <c r="B7" s="94">
        <v>1.4794537828233152</v>
      </c>
      <c r="C7" s="94">
        <v>1.5803384694267779</v>
      </c>
      <c r="D7" s="94">
        <v>3.1827950167644223</v>
      </c>
      <c r="E7" s="94">
        <v>3.2140343923025725</v>
      </c>
      <c r="F7" s="94">
        <v>4.3387286656975936</v>
      </c>
      <c r="G7" s="94">
        <v>10.056522018784291</v>
      </c>
      <c r="H7" s="94">
        <v>14.281886583116112</v>
      </c>
      <c r="I7" s="94">
        <v>5.9920710625607949</v>
      </c>
      <c r="J7" s="94">
        <v>2.2691931496126241</v>
      </c>
      <c r="K7" s="94">
        <v>1.773696836693416</v>
      </c>
      <c r="L7" s="94">
        <v>1.8023635412531009</v>
      </c>
      <c r="M7" s="94">
        <v>1.5061571399306797</v>
      </c>
    </row>
    <row r="8" spans="1:13" x14ac:dyDescent="0.25">
      <c r="A8" s="2" t="s">
        <v>78</v>
      </c>
      <c r="B8" s="26">
        <v>109.7475442342792</v>
      </c>
      <c r="C8" s="26">
        <v>114.64528886707915</v>
      </c>
      <c r="D8" s="26">
        <v>153.29123530115254</v>
      </c>
      <c r="E8" s="26">
        <v>173.12195401390446</v>
      </c>
      <c r="F8" s="26">
        <v>197.48357138047049</v>
      </c>
      <c r="G8" s="26">
        <v>270.89362302222264</v>
      </c>
      <c r="H8" s="26">
        <v>335.10754887642139</v>
      </c>
      <c r="I8" s="26">
        <v>212.42082722967388</v>
      </c>
      <c r="J8" s="26">
        <v>116.61735945447127</v>
      </c>
      <c r="K8" s="26">
        <v>106.37539972793628</v>
      </c>
      <c r="L8" s="26">
        <v>107.59854915557742</v>
      </c>
      <c r="M8" s="26">
        <v>105.06202053212532</v>
      </c>
    </row>
    <row r="9" spans="1:13" x14ac:dyDescent="0.25">
      <c r="A9" s="2" t="s">
        <v>79</v>
      </c>
      <c r="B9" s="26">
        <v>114.67443068545501</v>
      </c>
      <c r="C9" s="26">
        <v>117.98757294309183</v>
      </c>
      <c r="D9" s="26">
        <v>145.98242551576098</v>
      </c>
      <c r="E9" s="26">
        <v>160.94559377466067</v>
      </c>
      <c r="F9" s="26">
        <v>173.7806311630487</v>
      </c>
      <c r="G9" s="26">
        <v>234.3532051139218</v>
      </c>
      <c r="H9" s="26">
        <v>236.14276642735408</v>
      </c>
      <c r="I9" s="26">
        <v>198.13384295556287</v>
      </c>
      <c r="J9" s="26">
        <v>125.01168414393116</v>
      </c>
      <c r="K9" s="26">
        <v>113.22525586559</v>
      </c>
      <c r="L9" s="26">
        <v>113.53905773708891</v>
      </c>
      <c r="M9" s="26">
        <v>110.17108610706393</v>
      </c>
    </row>
    <row r="10" spans="1:13" x14ac:dyDescent="0.25">
      <c r="A10" s="2" t="s">
        <v>80</v>
      </c>
      <c r="B10" s="26">
        <v>114.45974174615029</v>
      </c>
      <c r="C10" s="26">
        <v>117.98549697747902</v>
      </c>
      <c r="D10" s="26">
        <v>145.93650001018582</v>
      </c>
      <c r="E10" s="26">
        <v>160.92095545144178</v>
      </c>
      <c r="F10" s="26">
        <v>173.66950295792049</v>
      </c>
      <c r="G10" s="26">
        <v>234.3532051139218</v>
      </c>
      <c r="H10" s="26">
        <v>236.07506338568737</v>
      </c>
      <c r="I10" s="26">
        <v>197.84861712146025</v>
      </c>
      <c r="J10" s="26">
        <v>124.4314711391055</v>
      </c>
      <c r="K10" s="26">
        <v>112.56362841851221</v>
      </c>
      <c r="L10" s="26">
        <v>112.89058868736883</v>
      </c>
      <c r="M10" s="26">
        <v>109.7709786395602</v>
      </c>
    </row>
    <row r="11" spans="1:13" x14ac:dyDescent="0.25">
      <c r="A11" t="s">
        <v>81</v>
      </c>
      <c r="B11" s="94">
        <v>1.9715356435110656</v>
      </c>
      <c r="C11" s="94">
        <v>1.8173822564405901</v>
      </c>
      <c r="D11" s="94">
        <v>3.0158381374046077</v>
      </c>
      <c r="E11" s="94">
        <v>3.8225627595742644</v>
      </c>
      <c r="F11" s="94">
        <v>5.0831377189119511</v>
      </c>
      <c r="G11" s="94">
        <v>7.5348859237836585</v>
      </c>
      <c r="H11" s="94">
        <v>6.7079983204491258</v>
      </c>
      <c r="I11" s="94">
        <v>5.7310230725347449</v>
      </c>
      <c r="J11" s="94">
        <v>7.9761724340018763</v>
      </c>
      <c r="K11" s="94">
        <v>9.5543886157389384</v>
      </c>
      <c r="L11" s="94">
        <v>7.9501843355308957</v>
      </c>
      <c r="M11" s="94">
        <v>3.8069051091413995</v>
      </c>
    </row>
    <row r="12" spans="1:13" x14ac:dyDescent="0.25">
      <c r="A12" t="s">
        <v>82</v>
      </c>
      <c r="B12" s="94">
        <v>1.9468054309454828</v>
      </c>
      <c r="C12" s="94">
        <v>2.8965188791445353</v>
      </c>
      <c r="D12" s="94">
        <v>5.2616245316923997</v>
      </c>
      <c r="E12" s="94">
        <v>5.9824151778107044</v>
      </c>
      <c r="F12" s="94">
        <v>6.3826718346815099</v>
      </c>
      <c r="G12" s="94">
        <v>9.0777280862461591</v>
      </c>
      <c r="H12" s="94">
        <v>10.462040528476795</v>
      </c>
      <c r="I12" s="94">
        <v>7.5423031616332761</v>
      </c>
      <c r="J12" s="94">
        <v>3.9655219348540642</v>
      </c>
      <c r="K12" s="94">
        <v>1.7462737817552187</v>
      </c>
      <c r="L12" s="94">
        <v>1.2242347586896727</v>
      </c>
      <c r="M12" s="94">
        <v>1.071218768057602</v>
      </c>
    </row>
    <row r="13" spans="1:13" x14ac:dyDescent="0.25">
      <c r="A13" t="s">
        <v>83</v>
      </c>
      <c r="B13" s="94">
        <v>6.1295947190476208E-2</v>
      </c>
      <c r="C13" s="94">
        <v>0</v>
      </c>
      <c r="D13" s="94">
        <v>0</v>
      </c>
      <c r="E13" s="94">
        <v>0</v>
      </c>
      <c r="F13" s="94">
        <v>0</v>
      </c>
      <c r="G13" s="94">
        <v>0</v>
      </c>
      <c r="H13" s="94">
        <v>0</v>
      </c>
      <c r="I13" s="94">
        <v>0.20115744865499688</v>
      </c>
      <c r="J13" s="94">
        <v>6.8450896649371087</v>
      </c>
      <c r="K13" s="94">
        <v>13.085175929188908</v>
      </c>
      <c r="L13" s="94">
        <v>10.839230697965696</v>
      </c>
      <c r="M13" s="94">
        <v>3.3526716826759873</v>
      </c>
    </row>
    <row r="14" spans="1:13" x14ac:dyDescent="0.25">
      <c r="A14" t="s">
        <v>84</v>
      </c>
      <c r="B14" s="94">
        <v>6.4633020765107851E-2</v>
      </c>
      <c r="C14" s="94">
        <v>8.2274650317959844E-2</v>
      </c>
      <c r="D14" s="94">
        <v>0.13870673460221675</v>
      </c>
      <c r="E14" s="94">
        <v>0.21397861037846011</v>
      </c>
      <c r="F14" s="94">
        <v>0.30011480378145905</v>
      </c>
      <c r="G14" s="94">
        <v>0.48981999304784984</v>
      </c>
      <c r="H14" s="94">
        <v>0.49149777362578984</v>
      </c>
      <c r="I14" s="94">
        <v>0.91369681820842974</v>
      </c>
      <c r="J14" s="94">
        <v>1.2736292616954572</v>
      </c>
      <c r="K14" s="94">
        <v>1.7195808189316795</v>
      </c>
      <c r="L14" s="94">
        <v>1.500269275258175</v>
      </c>
      <c r="M14" s="94">
        <v>0.58719975749444897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5F774-0220-4FCB-B5DD-9A52DBA10DE7}">
  <sheetPr codeName="Sheet76">
    <tabColor rgb="FFFFC000"/>
  </sheetPr>
  <dimension ref="A1:M14"/>
  <sheetViews>
    <sheetView workbookViewId="0">
      <selection activeCell="G30" sqref="G30"/>
    </sheetView>
  </sheetViews>
  <sheetFormatPr defaultRowHeight="15" x14ac:dyDescent="0.25"/>
  <cols>
    <col min="1" max="1" width="23" customWidth="1"/>
    <col min="2" max="13" width="8.88671875" style="40"/>
  </cols>
  <sheetData>
    <row r="1" spans="1:13" x14ac:dyDescent="0.25">
      <c r="A1" s="197" t="s">
        <v>214</v>
      </c>
      <c r="B1" s="40" t="s">
        <v>1</v>
      </c>
      <c r="C1" s="40" t="s">
        <v>2</v>
      </c>
      <c r="D1" s="40" t="s">
        <v>3</v>
      </c>
      <c r="E1" s="40" t="s">
        <v>4</v>
      </c>
      <c r="F1" s="40" t="s">
        <v>5</v>
      </c>
      <c r="G1" s="40" t="s">
        <v>6</v>
      </c>
      <c r="H1" s="40" t="s">
        <v>7</v>
      </c>
      <c r="I1" s="40" t="s">
        <v>8</v>
      </c>
      <c r="J1" s="40" t="s">
        <v>9</v>
      </c>
      <c r="K1" s="40" t="s">
        <v>10</v>
      </c>
      <c r="L1" s="40" t="s">
        <v>11</v>
      </c>
      <c r="M1" s="40" t="s">
        <v>12</v>
      </c>
    </row>
    <row r="2" spans="1:13" x14ac:dyDescent="0.25">
      <c r="A2" t="s">
        <v>72</v>
      </c>
      <c r="B2" s="94">
        <v>2.7162760027285309</v>
      </c>
      <c r="C2" s="94">
        <v>6.7722102448823512E-2</v>
      </c>
      <c r="D2" s="94">
        <v>0</v>
      </c>
      <c r="E2" s="94">
        <v>0</v>
      </c>
      <c r="F2" s="94">
        <v>0</v>
      </c>
      <c r="G2" s="94">
        <v>0</v>
      </c>
      <c r="H2" s="94">
        <v>1.5550546785297808E-2</v>
      </c>
      <c r="I2" s="94">
        <v>21.010083765748643</v>
      </c>
      <c r="J2" s="94">
        <v>45.640838343148644</v>
      </c>
      <c r="K2" s="94">
        <v>49.392577648090082</v>
      </c>
      <c r="L2" s="94">
        <v>40.779103325834377</v>
      </c>
      <c r="M2" s="94">
        <v>15.01321241678318</v>
      </c>
    </row>
    <row r="3" spans="1:13" x14ac:dyDescent="0.25">
      <c r="A3" t="s">
        <v>73</v>
      </c>
      <c r="B3" s="94">
        <v>7.3791452760543548</v>
      </c>
      <c r="C3" s="94">
        <v>6.8739553508833779</v>
      </c>
      <c r="D3" s="94">
        <v>8.3944726079904317</v>
      </c>
      <c r="E3" s="94">
        <v>9.7378924235251514</v>
      </c>
      <c r="F3" s="94">
        <v>12.139135144547188</v>
      </c>
      <c r="G3" s="94">
        <v>15.51409034054371</v>
      </c>
      <c r="H3" s="94">
        <v>15.69429305538697</v>
      </c>
      <c r="I3" s="94">
        <v>12.740884063461886</v>
      </c>
      <c r="J3" s="94">
        <v>10.092555796662635</v>
      </c>
      <c r="K3" s="94">
        <v>10.3683083805776</v>
      </c>
      <c r="L3" s="94">
        <v>9.5590167976713634</v>
      </c>
      <c r="M3" s="94">
        <v>8.1066590932060176</v>
      </c>
    </row>
    <row r="4" spans="1:13" x14ac:dyDescent="0.25">
      <c r="A4" t="s">
        <v>74</v>
      </c>
      <c r="B4" s="94">
        <v>1.231964453860465</v>
      </c>
      <c r="C4" s="94">
        <v>7.1681552093023265E-2</v>
      </c>
      <c r="D4" s="94">
        <v>0</v>
      </c>
      <c r="E4" s="94">
        <v>0</v>
      </c>
      <c r="F4" s="94">
        <v>0</v>
      </c>
      <c r="G4" s="94">
        <v>0</v>
      </c>
      <c r="H4" s="94">
        <v>6.0590000000000005E-2</v>
      </c>
      <c r="I4" s="94">
        <v>8.3433184938837215</v>
      </c>
      <c r="J4" s="94">
        <v>12.639036617209301</v>
      </c>
      <c r="K4" s="94">
        <v>13.027080771674417</v>
      </c>
      <c r="L4" s="94">
        <v>11.042799340116279</v>
      </c>
      <c r="M4" s="94">
        <v>4.1629467164651164</v>
      </c>
    </row>
    <row r="5" spans="1:13" x14ac:dyDescent="0.25">
      <c r="A5" s="2" t="s">
        <v>75</v>
      </c>
      <c r="B5" s="27">
        <v>78.943626276599318</v>
      </c>
      <c r="C5" s="22">
        <v>76.932845059167562</v>
      </c>
      <c r="D5" s="22">
        <v>79.429135333529558</v>
      </c>
      <c r="E5" s="22">
        <v>79.286265500699969</v>
      </c>
      <c r="F5" s="22">
        <v>71.374327732882307</v>
      </c>
      <c r="G5" s="22">
        <v>83.126732832624114</v>
      </c>
      <c r="H5" s="22">
        <v>79.230330135604092</v>
      </c>
      <c r="I5" s="22">
        <v>78.421660846077287</v>
      </c>
      <c r="J5" s="22">
        <v>75.855485149704208</v>
      </c>
      <c r="K5" s="22">
        <v>78.398532286100703</v>
      </c>
      <c r="L5" s="22">
        <v>78.374396213401937</v>
      </c>
      <c r="M5" s="22">
        <v>76.371650799818184</v>
      </c>
    </row>
    <row r="6" spans="1:13" x14ac:dyDescent="0.25">
      <c r="A6" s="2" t="s">
        <v>76</v>
      </c>
      <c r="B6" s="27">
        <v>79.262801714898728</v>
      </c>
      <c r="C6" s="22">
        <v>76.932845059167562</v>
      </c>
      <c r="D6" s="22">
        <v>79.429135333529558</v>
      </c>
      <c r="E6" s="22">
        <v>79.286265500699969</v>
      </c>
      <c r="F6" s="22">
        <v>71.374327732882307</v>
      </c>
      <c r="G6" s="22">
        <v>83.126732832624114</v>
      </c>
      <c r="H6" s="22">
        <v>79.181534910127709</v>
      </c>
      <c r="I6" s="22">
        <v>79.080547778549558</v>
      </c>
      <c r="J6" s="22">
        <v>76.444030857063325</v>
      </c>
      <c r="K6" s="22">
        <v>79.007352372586126</v>
      </c>
      <c r="L6" s="22">
        <v>79.293261091098685</v>
      </c>
      <c r="M6" s="22">
        <v>76.892409241011833</v>
      </c>
    </row>
    <row r="7" spans="1:13" x14ac:dyDescent="0.25">
      <c r="A7" t="s">
        <v>77</v>
      </c>
      <c r="B7" s="94">
        <v>1.1643897896140585</v>
      </c>
      <c r="C7" s="94">
        <v>1.2437901063886143</v>
      </c>
      <c r="D7" s="94">
        <v>2.5049880320577698</v>
      </c>
      <c r="E7" s="94">
        <v>2.5295746804092478</v>
      </c>
      <c r="F7" s="94">
        <v>3.4147544295727692</v>
      </c>
      <c r="G7" s="94">
        <v>7.9148883822211475</v>
      </c>
      <c r="H7" s="94">
        <v>11.24042069233901</v>
      </c>
      <c r="I7" s="94">
        <v>4.7160015709128089</v>
      </c>
      <c r="J7" s="94">
        <v>1.7859465194166566</v>
      </c>
      <c r="K7" s="94">
        <v>1.3959709390686756</v>
      </c>
      <c r="L7" s="94">
        <v>1.4185327916109569</v>
      </c>
      <c r="M7" s="94">
        <v>1.1854064085346554</v>
      </c>
    </row>
    <row r="8" spans="1:13" x14ac:dyDescent="0.25">
      <c r="A8" s="2" t="s">
        <v>78</v>
      </c>
      <c r="B8" s="27">
        <v>105.0031062214737</v>
      </c>
      <c r="C8" s="22">
        <v>101.87401613599326</v>
      </c>
      <c r="D8" s="22">
        <v>106.13377439249443</v>
      </c>
      <c r="E8" s="22">
        <v>105.71672866142244</v>
      </c>
      <c r="F8" s="22">
        <v>95.265586099377273</v>
      </c>
      <c r="G8" s="22">
        <v>105.92745310423163</v>
      </c>
      <c r="H8" s="22">
        <v>102.28764308226863</v>
      </c>
      <c r="I8" s="22">
        <v>104.78490128653492</v>
      </c>
      <c r="J8" s="22">
        <v>101.38107856175971</v>
      </c>
      <c r="K8" s="22">
        <v>104.82458152754329</v>
      </c>
      <c r="L8" s="22">
        <v>105.18504094249198</v>
      </c>
      <c r="M8" s="22">
        <v>101.72169170522268</v>
      </c>
    </row>
    <row r="9" spans="1:13" x14ac:dyDescent="0.25">
      <c r="A9" s="2" t="s">
        <v>79</v>
      </c>
      <c r="B9" s="27">
        <v>112.63424898162677</v>
      </c>
      <c r="C9" s="22">
        <v>108.93375403270703</v>
      </c>
      <c r="D9" s="22">
        <v>112.69090690562373</v>
      </c>
      <c r="E9" s="22">
        <v>112.61524125614649</v>
      </c>
      <c r="F9" s="22">
        <v>102.55423188235471</v>
      </c>
      <c r="G9" s="22">
        <v>114.19156112163009</v>
      </c>
      <c r="H9" s="22">
        <v>109.86078065035173</v>
      </c>
      <c r="I9" s="22">
        <v>112.49100842909233</v>
      </c>
      <c r="J9" s="22">
        <v>108.75319447727014</v>
      </c>
      <c r="K9" s="22">
        <v>112.38897064207097</v>
      </c>
      <c r="L9" s="22">
        <v>112.5263470218501</v>
      </c>
      <c r="M9" s="22">
        <v>109.0653330536534</v>
      </c>
    </row>
    <row r="10" spans="1:13" x14ac:dyDescent="0.25">
      <c r="A10" s="2" t="s">
        <v>80</v>
      </c>
      <c r="B10" s="27">
        <v>112.36242954658779</v>
      </c>
      <c r="C10" s="22">
        <v>108.87085119826735</v>
      </c>
      <c r="D10" s="22">
        <v>112.69665711799874</v>
      </c>
      <c r="E10" s="22">
        <v>112.6152412561465</v>
      </c>
      <c r="F10" s="22">
        <v>102.55423188235471</v>
      </c>
      <c r="G10" s="22">
        <v>114.19156112163009</v>
      </c>
      <c r="H10" s="22">
        <v>109.68475274201839</v>
      </c>
      <c r="I10" s="22">
        <v>112.10742885909235</v>
      </c>
      <c r="J10" s="22">
        <v>108.23273815957117</v>
      </c>
      <c r="K10" s="22">
        <v>111.84397313395749</v>
      </c>
      <c r="L10" s="22">
        <v>111.91995233359471</v>
      </c>
      <c r="M10" s="22">
        <v>108.69411304418399</v>
      </c>
    </row>
    <row r="11" spans="1:13" x14ac:dyDescent="0.25">
      <c r="A11" t="s">
        <v>81</v>
      </c>
      <c r="B11" s="94">
        <v>1.5124268007250565</v>
      </c>
      <c r="C11" s="94">
        <v>1.3941709047206983</v>
      </c>
      <c r="D11" s="94">
        <v>2.3135439831746893</v>
      </c>
      <c r="E11" s="94">
        <v>2.932407732044739</v>
      </c>
      <c r="F11" s="94">
        <v>3.8994343029820628</v>
      </c>
      <c r="G11" s="94">
        <v>5.7802472144209149</v>
      </c>
      <c r="H11" s="94">
        <v>5.1459158105801617</v>
      </c>
      <c r="I11" s="94">
        <v>4.3964474692625863</v>
      </c>
      <c r="J11" s="94">
        <v>6.1187719309529891</v>
      </c>
      <c r="K11" s="94">
        <v>7.3294710417974951</v>
      </c>
      <c r="L11" s="94">
        <v>6.0988356458765516</v>
      </c>
      <c r="M11" s="94">
        <v>2.9203962575228397</v>
      </c>
    </row>
    <row r="12" spans="1:13" x14ac:dyDescent="0.25">
      <c r="A12" t="s">
        <v>82</v>
      </c>
      <c r="B12" s="94">
        <v>1.454880755265439</v>
      </c>
      <c r="C12" s="94">
        <v>2.1646177412212149</v>
      </c>
      <c r="D12" s="94">
        <v>3.9321013548200687</v>
      </c>
      <c r="E12" s="94">
        <v>4.4707604436759949</v>
      </c>
      <c r="F12" s="94">
        <v>4.7698790397061108</v>
      </c>
      <c r="G12" s="94">
        <v>6.7839403385052206</v>
      </c>
      <c r="H12" s="94">
        <v>7.8184605321836047</v>
      </c>
      <c r="I12" s="94">
        <v>5.6364912208554525</v>
      </c>
      <c r="J12" s="94">
        <v>2.9635018764048784</v>
      </c>
      <c r="K12" s="94">
        <v>1.3050200488018944</v>
      </c>
      <c r="L12" s="94">
        <v>0.91489142265214429</v>
      </c>
      <c r="M12" s="94">
        <v>0.80053997464413296</v>
      </c>
    </row>
    <row r="13" spans="1:13" x14ac:dyDescent="0.25">
      <c r="A13" t="s">
        <v>83</v>
      </c>
      <c r="B13" s="94">
        <v>6.4629467070979343E-2</v>
      </c>
      <c r="C13" s="94">
        <v>0</v>
      </c>
      <c r="D13" s="94">
        <v>0</v>
      </c>
      <c r="E13" s="94">
        <v>0</v>
      </c>
      <c r="F13" s="94">
        <v>0</v>
      </c>
      <c r="G13" s="94">
        <v>0</v>
      </c>
      <c r="H13" s="94">
        <v>0</v>
      </c>
      <c r="I13" s="94">
        <v>0.21209719891481357</v>
      </c>
      <c r="J13" s="94">
        <v>7.2173531428304694</v>
      </c>
      <c r="K13" s="94">
        <v>13.796800369289082</v>
      </c>
      <c r="L13" s="94">
        <v>11.428711612727426</v>
      </c>
      <c r="M13" s="94">
        <v>3.5350034390035381</v>
      </c>
    </row>
    <row r="14" spans="1:13" x14ac:dyDescent="0.25">
      <c r="A14" t="s">
        <v>84</v>
      </c>
      <c r="B14" s="94">
        <v>4.9665373851082877E-2</v>
      </c>
      <c r="C14" s="94">
        <v>6.3221573402221773E-2</v>
      </c>
      <c r="D14" s="94">
        <v>0.10658517501012445</v>
      </c>
      <c r="E14" s="94">
        <v>0.16442566902765884</v>
      </c>
      <c r="F14" s="94">
        <v>0.23061453343206853</v>
      </c>
      <c r="G14" s="94">
        <v>0.37638799465782147</v>
      </c>
      <c r="H14" s="94">
        <v>0.37767723657560698</v>
      </c>
      <c r="I14" s="94">
        <v>0.70210387083384596</v>
      </c>
      <c r="J14" s="94">
        <v>0.97868353793440388</v>
      </c>
      <c r="K14" s="94">
        <v>1.3213621029685538</v>
      </c>
      <c r="L14" s="94">
        <v>1.1528384957247029</v>
      </c>
      <c r="M14" s="94">
        <v>0.45121665575889236</v>
      </c>
    </row>
  </sheetData>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7E95B-6512-4C17-AEDB-76BB8FB2355B}">
  <sheetPr codeName="Sheet73">
    <tabColor rgb="FFFFC000"/>
  </sheetPr>
  <dimension ref="A1:M14"/>
  <sheetViews>
    <sheetView workbookViewId="0">
      <selection activeCell="G30" sqref="G30"/>
    </sheetView>
  </sheetViews>
  <sheetFormatPr defaultRowHeight="15" x14ac:dyDescent="0.25"/>
  <cols>
    <col min="1" max="1" width="23" customWidth="1"/>
    <col min="10" max="10" width="9.5546875" customWidth="1"/>
  </cols>
  <sheetData>
    <row r="1" spans="1:13" x14ac:dyDescent="0.25">
      <c r="A1" s="197" t="s">
        <v>213</v>
      </c>
      <c r="B1" t="s">
        <v>1</v>
      </c>
      <c r="C1" t="s">
        <v>2</v>
      </c>
      <c r="D1" t="s">
        <v>3</v>
      </c>
      <c r="E1" t="s">
        <v>4</v>
      </c>
      <c r="F1" t="s">
        <v>5</v>
      </c>
      <c r="G1" t="s">
        <v>6</v>
      </c>
      <c r="H1" t="s">
        <v>7</v>
      </c>
      <c r="I1" t="s">
        <v>8</v>
      </c>
      <c r="J1" t="s">
        <v>9</v>
      </c>
      <c r="K1" t="s">
        <v>10</v>
      </c>
      <c r="L1" t="s">
        <v>11</v>
      </c>
      <c r="M1" t="s">
        <v>12</v>
      </c>
    </row>
    <row r="2" spans="1:13" x14ac:dyDescent="0.25">
      <c r="A2" t="s">
        <v>72</v>
      </c>
      <c r="B2" s="94">
        <v>3.7414769031918436</v>
      </c>
      <c r="C2" s="94">
        <v>9.3282377009310205E-2</v>
      </c>
      <c r="D2" s="94">
        <v>0</v>
      </c>
      <c r="E2" s="94">
        <v>0</v>
      </c>
      <c r="F2" s="94">
        <v>0</v>
      </c>
      <c r="G2" s="94">
        <v>0</v>
      </c>
      <c r="H2" s="94">
        <v>2.1419771617741133E-2</v>
      </c>
      <c r="I2" s="94">
        <v>28.939895306924285</v>
      </c>
      <c r="J2" s="94">
        <v>62.867007009475017</v>
      </c>
      <c r="K2" s="94">
        <v>68.034760927756906</v>
      </c>
      <c r="L2" s="94">
        <v>56.170312984844166</v>
      </c>
      <c r="M2" s="94">
        <v>20.679631761898367</v>
      </c>
    </row>
    <row r="3" spans="1:13" x14ac:dyDescent="0.25">
      <c r="A3" t="s">
        <v>73</v>
      </c>
      <c r="B3" s="94">
        <v>9.7767912463316318</v>
      </c>
      <c r="C3" s="94">
        <v>9.107454046239603</v>
      </c>
      <c r="D3" s="94">
        <v>11.122020673274381</v>
      </c>
      <c r="E3" s="94">
        <v>12.901947019932681</v>
      </c>
      <c r="F3" s="94">
        <v>16.083406109969559</v>
      </c>
      <c r="G3" s="94">
        <v>20.554958191218649</v>
      </c>
      <c r="H3" s="94">
        <v>20.793712716185372</v>
      </c>
      <c r="I3" s="94">
        <v>16.880676436388782</v>
      </c>
      <c r="J3" s="94">
        <v>13.371848293341284</v>
      </c>
      <c r="K3" s="94">
        <v>13.737198933248282</v>
      </c>
      <c r="L3" s="94">
        <v>12.664950784243377</v>
      </c>
      <c r="M3" s="94">
        <v>10.740690241814873</v>
      </c>
    </row>
    <row r="4" spans="1:13" x14ac:dyDescent="0.25">
      <c r="A4" t="s">
        <v>74</v>
      </c>
      <c r="B4" s="94">
        <v>1.6876225395348836</v>
      </c>
      <c r="C4" s="94">
        <v>9.8193906976744197E-2</v>
      </c>
      <c r="D4" s="94">
        <v>0</v>
      </c>
      <c r="E4" s="94">
        <v>0</v>
      </c>
      <c r="F4" s="94">
        <v>0</v>
      </c>
      <c r="G4" s="94">
        <v>0</v>
      </c>
      <c r="H4" s="94">
        <v>8.3000000000000004E-2</v>
      </c>
      <c r="I4" s="94">
        <v>11.429203416279069</v>
      </c>
      <c r="J4" s="94">
        <v>17.313748790697673</v>
      </c>
      <c r="K4" s="94">
        <v>17.845316125581395</v>
      </c>
      <c r="L4" s="94">
        <v>15.127122383720931</v>
      </c>
      <c r="M4" s="94">
        <v>5.7026667348837208</v>
      </c>
    </row>
    <row r="5" spans="1:13" x14ac:dyDescent="0.25">
      <c r="A5" s="2" t="s">
        <v>75</v>
      </c>
      <c r="B5" s="27">
        <v>233.61299894720221</v>
      </c>
      <c r="C5" s="22">
        <v>233.61299894720221</v>
      </c>
      <c r="D5" s="22">
        <v>233.61299894720221</v>
      </c>
      <c r="E5" s="22">
        <v>233.61299894720221</v>
      </c>
      <c r="F5" s="22">
        <v>233.61299894720221</v>
      </c>
      <c r="G5" s="22">
        <v>233.61299894720221</v>
      </c>
      <c r="H5" s="22">
        <v>233.61299894720221</v>
      </c>
      <c r="I5" s="22">
        <v>233.61299894720221</v>
      </c>
      <c r="J5" s="22">
        <v>233.61299894720221</v>
      </c>
      <c r="K5" s="22">
        <v>233.61299894720221</v>
      </c>
      <c r="L5" s="22">
        <v>233.61299894720221</v>
      </c>
      <c r="M5" s="22">
        <v>233.61299894720221</v>
      </c>
    </row>
    <row r="6" spans="1:13" x14ac:dyDescent="0.25">
      <c r="A6" s="2" t="s">
        <v>76</v>
      </c>
      <c r="B6" s="27">
        <v>344.04209467992547</v>
      </c>
      <c r="C6" s="22">
        <v>344.04209467992547</v>
      </c>
      <c r="D6" s="22">
        <v>344.04209467992547</v>
      </c>
      <c r="E6" s="22">
        <v>344.04209467992547</v>
      </c>
      <c r="F6" s="22">
        <v>344.04209467992547</v>
      </c>
      <c r="G6" s="22">
        <v>344.04209467992547</v>
      </c>
      <c r="H6" s="22">
        <v>344.04209467992547</v>
      </c>
      <c r="I6" s="22">
        <v>344.04209467992547</v>
      </c>
      <c r="J6" s="22">
        <v>344.04209467992547</v>
      </c>
      <c r="K6" s="22">
        <v>344.04209467992547</v>
      </c>
      <c r="L6" s="22">
        <v>344.04209467992547</v>
      </c>
      <c r="M6" s="22">
        <v>344.04209467992547</v>
      </c>
    </row>
    <row r="7" spans="1:13" x14ac:dyDescent="0.25">
      <c r="A7" t="s">
        <v>77</v>
      </c>
      <c r="B7" s="94">
        <v>1.5853094617688757</v>
      </c>
      <c r="C7" s="94">
        <v>1.6934124995770918</v>
      </c>
      <c r="D7" s="94">
        <v>3.4105256369134271</v>
      </c>
      <c r="E7" s="94">
        <v>3.4440002058356622</v>
      </c>
      <c r="F7" s="94">
        <v>4.6491669328474599</v>
      </c>
      <c r="G7" s="94">
        <v>10.776071340627839</v>
      </c>
      <c r="H7" s="94">
        <v>15.303762912361199</v>
      </c>
      <c r="I7" s="94">
        <v>6.4208068284101092</v>
      </c>
      <c r="J7" s="94">
        <v>2.4315550863623212</v>
      </c>
      <c r="K7" s="94">
        <v>1.9006057574529889</v>
      </c>
      <c r="L7" s="94">
        <v>1.9313235794652963</v>
      </c>
      <c r="M7" s="94">
        <v>1.6139234578090302</v>
      </c>
    </row>
    <row r="8" spans="1:13" x14ac:dyDescent="0.25">
      <c r="A8" s="2" t="s">
        <v>78</v>
      </c>
      <c r="B8" s="27">
        <v>521.15252211870359</v>
      </c>
      <c r="C8" s="22">
        <v>521.15252211870359</v>
      </c>
      <c r="D8" s="22">
        <v>521.15252211870359</v>
      </c>
      <c r="E8" s="22">
        <v>521.15252211870359</v>
      </c>
      <c r="F8" s="22">
        <v>521.15252211870359</v>
      </c>
      <c r="G8" s="22">
        <v>521.15252211870359</v>
      </c>
      <c r="H8" s="22">
        <v>521.15252211870359</v>
      </c>
      <c r="I8" s="22">
        <v>521.15252211870359</v>
      </c>
      <c r="J8" s="22">
        <v>521.15252211870359</v>
      </c>
      <c r="K8" s="22">
        <v>521.15252211870359</v>
      </c>
      <c r="L8" s="22">
        <v>521.15252211870359</v>
      </c>
      <c r="M8" s="22">
        <v>521.15252211870359</v>
      </c>
    </row>
    <row r="9" spans="1:13" x14ac:dyDescent="0.25">
      <c r="A9" s="2" t="s">
        <v>79</v>
      </c>
      <c r="B9" s="27">
        <v>280.55207794720252</v>
      </c>
      <c r="C9" s="22">
        <v>280.55207794720252</v>
      </c>
      <c r="D9" s="22">
        <v>280.55207794720252</v>
      </c>
      <c r="E9" s="22">
        <v>280.55207794720252</v>
      </c>
      <c r="F9" s="22">
        <v>280.55207794720252</v>
      </c>
      <c r="G9" s="22">
        <v>280.55207794720252</v>
      </c>
      <c r="H9" s="22">
        <v>280.55207794720252</v>
      </c>
      <c r="I9" s="22">
        <v>280.55207794720252</v>
      </c>
      <c r="J9" s="22">
        <v>280.55207794720252</v>
      </c>
      <c r="K9" s="22">
        <v>280.55207794720252</v>
      </c>
      <c r="L9" s="22">
        <v>280.55207794720252</v>
      </c>
      <c r="M9" s="22">
        <v>280.55207794720252</v>
      </c>
    </row>
    <row r="10" spans="1:13" x14ac:dyDescent="0.25">
      <c r="A10" s="2" t="s">
        <v>80</v>
      </c>
      <c r="B10" s="27">
        <v>280.55207794720252</v>
      </c>
      <c r="C10" s="22">
        <v>280.55207794720252</v>
      </c>
      <c r="D10" s="22">
        <v>280.55207794720252</v>
      </c>
      <c r="E10" s="22">
        <v>280.55207794720252</v>
      </c>
      <c r="F10" s="22">
        <v>280.55207794720252</v>
      </c>
      <c r="G10" s="22">
        <v>280.55207794720252</v>
      </c>
      <c r="H10" s="22">
        <v>280.55207794720252</v>
      </c>
      <c r="I10" s="22">
        <v>280.55207794720252</v>
      </c>
      <c r="J10" s="22">
        <v>280.55207794720252</v>
      </c>
      <c r="K10" s="22">
        <v>280.55207794720252</v>
      </c>
      <c r="L10" s="22">
        <v>280.55207794720252</v>
      </c>
      <c r="M10" s="22">
        <v>280.55207794720252</v>
      </c>
    </row>
    <row r="11" spans="1:13" x14ac:dyDescent="0.25">
      <c r="A11" t="s">
        <v>81</v>
      </c>
      <c r="B11" s="94">
        <v>2.0653856908352486</v>
      </c>
      <c r="C11" s="94">
        <v>1.9038942154480016</v>
      </c>
      <c r="D11" s="94">
        <v>3.1593996057701732</v>
      </c>
      <c r="E11" s="94">
        <v>4.0045263457089888</v>
      </c>
      <c r="F11" s="94">
        <v>5.325107838521685</v>
      </c>
      <c r="G11" s="94">
        <v>7.893565414492774</v>
      </c>
      <c r="H11" s="94">
        <v>7.0273158848546808</v>
      </c>
      <c r="I11" s="94">
        <v>6.0038341618719446</v>
      </c>
      <c r="J11" s="94">
        <v>8.3558582707051983</v>
      </c>
      <c r="K11" s="94">
        <v>10.009201505727505</v>
      </c>
      <c r="L11" s="94">
        <v>8.3286330734886818</v>
      </c>
      <c r="M11" s="94">
        <v>3.9881233517978325</v>
      </c>
    </row>
    <row r="12" spans="1:13" x14ac:dyDescent="0.25">
      <c r="A12" t="s">
        <v>82</v>
      </c>
      <c r="B12" s="94">
        <v>1.9929873359800536</v>
      </c>
      <c r="C12" s="94">
        <v>2.9652297824948146</v>
      </c>
      <c r="D12" s="94">
        <v>5.3864402120822863</v>
      </c>
      <c r="E12" s="94">
        <v>6.1243293748986236</v>
      </c>
      <c r="F12" s="94">
        <v>6.5340808763097407</v>
      </c>
      <c r="G12" s="94">
        <v>9.2930689568564677</v>
      </c>
      <c r="H12" s="94">
        <v>10.710219907100829</v>
      </c>
      <c r="I12" s="94">
        <v>7.7212208504869215</v>
      </c>
      <c r="J12" s="94">
        <v>4.0595916115135324</v>
      </c>
      <c r="K12" s="94">
        <v>1.7876986969888966</v>
      </c>
      <c r="L12" s="94">
        <v>1.2532759214412936</v>
      </c>
      <c r="M12" s="94">
        <v>1.0966301022522369</v>
      </c>
    </row>
    <row r="13" spans="1:13" x14ac:dyDescent="0.25">
      <c r="A13" t="s">
        <v>83</v>
      </c>
      <c r="B13" s="94">
        <v>7.2112879047619066E-2</v>
      </c>
      <c r="C13" s="94">
        <v>0</v>
      </c>
      <c r="D13" s="94">
        <v>0</v>
      </c>
      <c r="E13" s="94">
        <v>0</v>
      </c>
      <c r="F13" s="94">
        <v>0</v>
      </c>
      <c r="G13" s="94">
        <v>0</v>
      </c>
      <c r="H13" s="94">
        <v>0</v>
      </c>
      <c r="I13" s="94">
        <v>0.23665582194705512</v>
      </c>
      <c r="J13" s="94">
        <v>8.053046664631891</v>
      </c>
      <c r="K13" s="94">
        <v>15.394324622575185</v>
      </c>
      <c r="L13" s="94">
        <v>12.752036115253759</v>
      </c>
      <c r="M13" s="94">
        <v>3.9443196266776317</v>
      </c>
    </row>
    <row r="14" spans="1:13" x14ac:dyDescent="0.25">
      <c r="A14" t="s">
        <v>84</v>
      </c>
      <c r="B14" s="94">
        <v>6.8034758700113537E-2</v>
      </c>
      <c r="C14" s="94">
        <v>8.6604895071536681E-2</v>
      </c>
      <c r="D14" s="94">
        <v>0.14600708905496501</v>
      </c>
      <c r="E14" s="94">
        <v>0.22524064250364223</v>
      </c>
      <c r="F14" s="94">
        <v>0.31591031976995693</v>
      </c>
      <c r="G14" s="94">
        <v>0.51559999268194723</v>
      </c>
      <c r="H14" s="94">
        <v>0.51736607750083141</v>
      </c>
      <c r="I14" s="94">
        <v>0.96178612442992606</v>
      </c>
      <c r="J14" s="94">
        <v>1.3406623807320603</v>
      </c>
      <c r="K14" s="94">
        <v>1.8100850725596627</v>
      </c>
      <c r="L14" s="94">
        <v>1.5792308160612369</v>
      </c>
      <c r="M14" s="94">
        <v>0.61810500788889366</v>
      </c>
    </row>
  </sheetData>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0445-4454-47A6-96D8-E378D043A26B}">
  <sheetPr codeName="Sheet80">
    <tabColor theme="4" tint="0.39997558519241921"/>
  </sheetPr>
  <dimension ref="A1:B14"/>
  <sheetViews>
    <sheetView workbookViewId="0">
      <selection activeCell="B1" sqref="A1:B14"/>
    </sheetView>
  </sheetViews>
  <sheetFormatPr defaultRowHeight="15" x14ac:dyDescent="0.25"/>
  <cols>
    <col min="1" max="1" width="23" customWidth="1"/>
    <col min="2" max="2" width="10.109375" customWidth="1"/>
  </cols>
  <sheetData>
    <row r="1" spans="1:2" x14ac:dyDescent="0.25">
      <c r="A1" s="34" t="s">
        <v>104</v>
      </c>
      <c r="B1" s="73" t="s">
        <v>165</v>
      </c>
    </row>
    <row r="2" spans="1:2" x14ac:dyDescent="0.25">
      <c r="A2" t="s">
        <v>72</v>
      </c>
      <c r="B2" s="77">
        <v>0</v>
      </c>
    </row>
    <row r="3" spans="1:2" x14ac:dyDescent="0.25">
      <c r="A3" t="s">
        <v>73</v>
      </c>
      <c r="B3" s="77">
        <v>0</v>
      </c>
    </row>
    <row r="4" spans="1:2" x14ac:dyDescent="0.25">
      <c r="A4" t="s">
        <v>74</v>
      </c>
      <c r="B4" s="77">
        <v>0</v>
      </c>
    </row>
    <row r="5" spans="1:2" x14ac:dyDescent="0.25">
      <c r="A5" s="2" t="s">
        <v>75</v>
      </c>
      <c r="B5" s="78">
        <v>1006.7536902317303</v>
      </c>
    </row>
    <row r="6" spans="1:2" x14ac:dyDescent="0.25">
      <c r="A6" s="2" t="s">
        <v>76</v>
      </c>
      <c r="B6" s="64">
        <v>45.2</v>
      </c>
    </row>
    <row r="7" spans="1:2" x14ac:dyDescent="0.25">
      <c r="A7" t="s">
        <v>77</v>
      </c>
      <c r="B7" s="77">
        <v>0</v>
      </c>
    </row>
    <row r="8" spans="1:2" x14ac:dyDescent="0.25">
      <c r="A8" s="2" t="s">
        <v>78</v>
      </c>
      <c r="B8" s="78">
        <v>1194.4420235493906</v>
      </c>
    </row>
    <row r="9" spans="1:2" x14ac:dyDescent="0.25">
      <c r="A9" s="2" t="s">
        <v>79</v>
      </c>
      <c r="B9" s="78">
        <v>921.19064266655471</v>
      </c>
    </row>
    <row r="10" spans="1:2" x14ac:dyDescent="0.25">
      <c r="A10" s="2" t="s">
        <v>80</v>
      </c>
      <c r="B10" s="64">
        <v>58.214000000000091</v>
      </c>
    </row>
    <row r="11" spans="1:2" x14ac:dyDescent="0.25">
      <c r="A11" t="s">
        <v>81</v>
      </c>
      <c r="B11" s="77">
        <v>0</v>
      </c>
    </row>
    <row r="12" spans="1:2" x14ac:dyDescent="0.25">
      <c r="A12" t="s">
        <v>82</v>
      </c>
      <c r="B12" s="77">
        <v>0</v>
      </c>
    </row>
    <row r="13" spans="1:2" x14ac:dyDescent="0.25">
      <c r="A13" t="s">
        <v>83</v>
      </c>
      <c r="B13" s="77">
        <v>0</v>
      </c>
    </row>
    <row r="14" spans="1:2" x14ac:dyDescent="0.25">
      <c r="A14" t="s">
        <v>84</v>
      </c>
      <c r="B14" s="77">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5B7A9-58D9-41BB-99EF-A6FED0551B6A}">
  <sheetPr codeName="Sheet29">
    <tabColor theme="4" tint="0.39997558519241921"/>
  </sheetPr>
  <dimension ref="A1:B14"/>
  <sheetViews>
    <sheetView workbookViewId="0">
      <selection sqref="A1:B14"/>
    </sheetView>
  </sheetViews>
  <sheetFormatPr defaultRowHeight="15" x14ac:dyDescent="0.25"/>
  <cols>
    <col min="1" max="1" width="23" customWidth="1"/>
  </cols>
  <sheetData>
    <row r="1" spans="1:2" x14ac:dyDescent="0.25">
      <c r="A1" s="34" t="s">
        <v>30</v>
      </c>
      <c r="B1" s="34"/>
    </row>
    <row r="2" spans="1:2" x14ac:dyDescent="0.25">
      <c r="A2" t="s">
        <v>72</v>
      </c>
      <c r="B2" s="42">
        <v>0</v>
      </c>
    </row>
    <row r="3" spans="1:2" x14ac:dyDescent="0.25">
      <c r="A3" t="s">
        <v>73</v>
      </c>
      <c r="B3" s="42">
        <v>0</v>
      </c>
    </row>
    <row r="4" spans="1:2" x14ac:dyDescent="0.25">
      <c r="A4" t="s">
        <v>74</v>
      </c>
      <c r="B4" s="42">
        <v>0</v>
      </c>
    </row>
    <row r="5" spans="1:2" x14ac:dyDescent="0.25">
      <c r="A5" s="2" t="s">
        <v>75</v>
      </c>
      <c r="B5" s="75">
        <v>471.11999999999995</v>
      </c>
    </row>
    <row r="6" spans="1:2" x14ac:dyDescent="0.25">
      <c r="A6" s="2" t="s">
        <v>76</v>
      </c>
      <c r="B6" s="75">
        <v>35.792000000000044</v>
      </c>
    </row>
    <row r="7" spans="1:2" x14ac:dyDescent="0.25">
      <c r="A7" t="s">
        <v>77</v>
      </c>
      <c r="B7" s="42">
        <v>0</v>
      </c>
    </row>
    <row r="8" spans="1:2" x14ac:dyDescent="0.25">
      <c r="A8" s="2" t="s">
        <v>78</v>
      </c>
      <c r="B8" s="75">
        <v>591.66584660000001</v>
      </c>
    </row>
    <row r="9" spans="1:2" x14ac:dyDescent="0.25">
      <c r="A9" s="2" t="s">
        <v>79</v>
      </c>
      <c r="B9" s="75">
        <v>731.85583333333329</v>
      </c>
    </row>
    <row r="10" spans="1:2" x14ac:dyDescent="0.25">
      <c r="A10" s="2" t="s">
        <v>80</v>
      </c>
      <c r="B10" s="75">
        <v>53.88</v>
      </c>
    </row>
    <row r="11" spans="1:2" x14ac:dyDescent="0.25">
      <c r="A11" t="s">
        <v>81</v>
      </c>
      <c r="B11" s="42">
        <v>0</v>
      </c>
    </row>
    <row r="12" spans="1:2" x14ac:dyDescent="0.25">
      <c r="A12" t="s">
        <v>82</v>
      </c>
      <c r="B12" s="42">
        <v>0</v>
      </c>
    </row>
    <row r="13" spans="1:2" x14ac:dyDescent="0.25">
      <c r="A13" t="s">
        <v>83</v>
      </c>
      <c r="B13" s="42">
        <v>0</v>
      </c>
    </row>
    <row r="14" spans="1:2" x14ac:dyDescent="0.25">
      <c r="A14" t="s">
        <v>84</v>
      </c>
      <c r="B14" s="4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3D8-453F-44AC-91FF-FCA73BCC3DBB}">
  <sheetPr codeName="Sheet30">
    <tabColor theme="4" tint="0.39997558519241921"/>
  </sheetPr>
  <dimension ref="A1:B14"/>
  <sheetViews>
    <sheetView workbookViewId="0">
      <selection activeCell="B14" sqref="A1:B14"/>
    </sheetView>
  </sheetViews>
  <sheetFormatPr defaultRowHeight="15" x14ac:dyDescent="0.25"/>
  <cols>
    <col min="1" max="1" width="23" customWidth="1"/>
    <col min="2" max="2" width="9.6640625" customWidth="1"/>
  </cols>
  <sheetData>
    <row r="1" spans="1:2" x14ac:dyDescent="0.25">
      <c r="A1" s="34" t="s">
        <v>29</v>
      </c>
      <c r="B1" s="34"/>
    </row>
    <row r="2" spans="1:2" x14ac:dyDescent="0.25">
      <c r="A2" t="s">
        <v>72</v>
      </c>
      <c r="B2" s="42">
        <v>0</v>
      </c>
    </row>
    <row r="3" spans="1:2" x14ac:dyDescent="0.25">
      <c r="A3" t="s">
        <v>73</v>
      </c>
      <c r="B3" s="42">
        <v>0</v>
      </c>
    </row>
    <row r="4" spans="1:2" x14ac:dyDescent="0.25">
      <c r="A4" t="s">
        <v>74</v>
      </c>
      <c r="B4" s="42">
        <v>0</v>
      </c>
    </row>
    <row r="5" spans="1:2" x14ac:dyDescent="0.25">
      <c r="A5" s="2" t="s">
        <v>75</v>
      </c>
      <c r="B5" s="50">
        <v>1102.92</v>
      </c>
    </row>
    <row r="6" spans="1:2" x14ac:dyDescent="0.25">
      <c r="A6" s="2" t="s">
        <v>76</v>
      </c>
      <c r="B6" s="76">
        <v>45.2</v>
      </c>
    </row>
    <row r="7" spans="1:2" x14ac:dyDescent="0.25">
      <c r="A7" t="s">
        <v>77</v>
      </c>
      <c r="B7" s="42">
        <v>0</v>
      </c>
    </row>
    <row r="8" spans="1:2" x14ac:dyDescent="0.25">
      <c r="A8" s="2" t="s">
        <v>78</v>
      </c>
      <c r="B8" s="50">
        <v>1411.0845767999999</v>
      </c>
    </row>
    <row r="9" spans="1:2" x14ac:dyDescent="0.25">
      <c r="A9" s="2" t="s">
        <v>79</v>
      </c>
      <c r="B9" s="50">
        <v>953.65449999999998</v>
      </c>
    </row>
    <row r="10" spans="1:2" x14ac:dyDescent="0.25">
      <c r="A10" s="2" t="s">
        <v>80</v>
      </c>
      <c r="B10" s="76">
        <v>58.214000000000091</v>
      </c>
    </row>
    <row r="11" spans="1:2" x14ac:dyDescent="0.25">
      <c r="A11" t="s">
        <v>81</v>
      </c>
      <c r="B11" s="42">
        <v>0</v>
      </c>
    </row>
    <row r="12" spans="1:2" x14ac:dyDescent="0.25">
      <c r="A12" t="s">
        <v>82</v>
      </c>
      <c r="B12" s="42">
        <v>0</v>
      </c>
    </row>
    <row r="13" spans="1:2" x14ac:dyDescent="0.25">
      <c r="A13" t="s">
        <v>83</v>
      </c>
      <c r="B13" s="42">
        <v>0</v>
      </c>
    </row>
    <row r="14" spans="1:2" x14ac:dyDescent="0.25">
      <c r="A14" t="s">
        <v>84</v>
      </c>
      <c r="B14" s="42">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92AC0-8CB7-4A1A-A258-A5E8AF57C1D8}">
  <sheetPr codeName="Sheet83">
    <tabColor rgb="FF7030A0"/>
  </sheetPr>
  <dimension ref="A1:E14"/>
  <sheetViews>
    <sheetView workbookViewId="0">
      <selection activeCell="C4" sqref="C4"/>
    </sheetView>
  </sheetViews>
  <sheetFormatPr defaultRowHeight="15" x14ac:dyDescent="0.25"/>
  <cols>
    <col min="1" max="1" width="23" customWidth="1"/>
    <col min="2" max="5" width="9.6640625" customWidth="1"/>
  </cols>
  <sheetData>
    <row r="1" spans="1:5" x14ac:dyDescent="0.25">
      <c r="A1" s="72" t="s">
        <v>104</v>
      </c>
      <c r="B1" s="73" t="s">
        <v>165</v>
      </c>
      <c r="C1" s="73" t="s">
        <v>163</v>
      </c>
      <c r="D1" s="73" t="s">
        <v>164</v>
      </c>
      <c r="E1" s="73" t="s">
        <v>162</v>
      </c>
    </row>
    <row r="2" spans="1:5" x14ac:dyDescent="0.25">
      <c r="A2" s="3" t="s">
        <v>72</v>
      </c>
      <c r="B2" s="77">
        <v>0</v>
      </c>
      <c r="C2" s="77">
        <v>0</v>
      </c>
      <c r="D2" s="77">
        <v>0</v>
      </c>
      <c r="E2" s="77">
        <v>0</v>
      </c>
    </row>
    <row r="3" spans="1:5" x14ac:dyDescent="0.25">
      <c r="A3" s="3" t="s">
        <v>73</v>
      </c>
      <c r="B3" s="77">
        <v>0</v>
      </c>
      <c r="C3" s="77">
        <v>0</v>
      </c>
      <c r="D3" s="77">
        <v>0</v>
      </c>
      <c r="E3" s="77">
        <v>0</v>
      </c>
    </row>
    <row r="4" spans="1:5" x14ac:dyDescent="0.25">
      <c r="A4" s="3" t="s">
        <v>74</v>
      </c>
      <c r="B4" s="77">
        <v>0</v>
      </c>
      <c r="C4" s="77">
        <v>0</v>
      </c>
      <c r="D4" s="77">
        <v>0</v>
      </c>
      <c r="E4" s="77">
        <v>0</v>
      </c>
    </row>
    <row r="5" spans="1:5" x14ac:dyDescent="0.25">
      <c r="A5" s="6" t="s">
        <v>75</v>
      </c>
      <c r="B5" s="78">
        <v>1006.7536902317303</v>
      </c>
      <c r="C5" s="78">
        <v>893.88866523899185</v>
      </c>
      <c r="D5" s="78">
        <v>1073.4029916563513</v>
      </c>
      <c r="E5" s="78">
        <v>1102.92</v>
      </c>
    </row>
    <row r="6" spans="1:5" x14ac:dyDescent="0.25">
      <c r="A6" s="6" t="s">
        <v>76</v>
      </c>
      <c r="B6" s="64">
        <v>45.2</v>
      </c>
      <c r="C6" s="64">
        <v>41.936070000691196</v>
      </c>
      <c r="D6" s="64">
        <v>45.2</v>
      </c>
      <c r="E6" s="64">
        <v>45.2</v>
      </c>
    </row>
    <row r="7" spans="1:5" x14ac:dyDescent="0.25">
      <c r="A7" s="3" t="s">
        <v>77</v>
      </c>
      <c r="B7" s="77">
        <v>0</v>
      </c>
      <c r="C7" s="77">
        <v>0</v>
      </c>
      <c r="D7" s="77">
        <v>0</v>
      </c>
      <c r="E7" s="77">
        <v>0</v>
      </c>
    </row>
    <row r="8" spans="1:5" x14ac:dyDescent="0.25">
      <c r="A8" s="6" t="s">
        <v>78</v>
      </c>
      <c r="B8" s="78">
        <v>1194.4420235493906</v>
      </c>
      <c r="C8" s="78">
        <v>1022.3256286885954</v>
      </c>
      <c r="D8" s="78">
        <v>1222.4385583108492</v>
      </c>
      <c r="E8" s="78">
        <v>1350.205142284889</v>
      </c>
    </row>
    <row r="9" spans="1:5" x14ac:dyDescent="0.25">
      <c r="A9" s="6" t="s">
        <v>79</v>
      </c>
      <c r="B9" s="78">
        <v>921.19064266655471</v>
      </c>
      <c r="C9" s="78">
        <v>915.67020878532935</v>
      </c>
      <c r="D9" s="78">
        <v>931.59564831888326</v>
      </c>
      <c r="E9" s="78">
        <v>940.08509304150311</v>
      </c>
    </row>
    <row r="10" spans="1:5" x14ac:dyDescent="0.25">
      <c r="A10" s="6" t="s">
        <v>80</v>
      </c>
      <c r="B10" s="64">
        <v>58.214000000000091</v>
      </c>
      <c r="C10" s="64">
        <v>57.386958583472413</v>
      </c>
      <c r="D10" s="64">
        <v>58.214000000000091</v>
      </c>
      <c r="E10" s="64">
        <v>58.214000000000091</v>
      </c>
    </row>
    <row r="11" spans="1:5" x14ac:dyDescent="0.25">
      <c r="A11" s="3" t="s">
        <v>81</v>
      </c>
      <c r="B11" s="77">
        <v>0</v>
      </c>
      <c r="C11" s="77">
        <v>0</v>
      </c>
      <c r="D11" s="77">
        <v>0</v>
      </c>
      <c r="E11" s="77">
        <v>0</v>
      </c>
    </row>
    <row r="12" spans="1:5" x14ac:dyDescent="0.25">
      <c r="A12" s="3" t="s">
        <v>82</v>
      </c>
      <c r="B12" s="77">
        <v>0</v>
      </c>
      <c r="C12" s="77">
        <v>0</v>
      </c>
      <c r="D12" s="77">
        <v>0</v>
      </c>
      <c r="E12" s="77">
        <v>0</v>
      </c>
    </row>
    <row r="13" spans="1:5" x14ac:dyDescent="0.25">
      <c r="A13" s="3" t="s">
        <v>83</v>
      </c>
      <c r="B13" s="77">
        <v>0</v>
      </c>
      <c r="C13" s="77">
        <v>0</v>
      </c>
      <c r="D13" s="77">
        <v>0</v>
      </c>
      <c r="E13" s="77">
        <v>0</v>
      </c>
    </row>
    <row r="14" spans="1:5" x14ac:dyDescent="0.25">
      <c r="A14" s="3" t="s">
        <v>84</v>
      </c>
      <c r="B14" s="77">
        <v>0</v>
      </c>
      <c r="C14" s="77">
        <v>0</v>
      </c>
      <c r="D14" s="77">
        <v>0</v>
      </c>
      <c r="E14" s="77">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8E654-16A7-47D1-AABF-C182AAF502DB}">
  <sheetPr codeName="Sheet24">
    <tabColor rgb="FF002060"/>
  </sheetPr>
  <dimension ref="A1:M14"/>
  <sheetViews>
    <sheetView workbookViewId="0">
      <selection activeCell="C20" sqref="C20:D33"/>
    </sheetView>
  </sheetViews>
  <sheetFormatPr defaultRowHeight="15" x14ac:dyDescent="0.25"/>
  <cols>
    <col min="1" max="1" width="23" customWidth="1"/>
  </cols>
  <sheetData>
    <row r="1" spans="1:13" x14ac:dyDescent="0.25">
      <c r="A1" s="68" t="s">
        <v>159</v>
      </c>
      <c r="B1" s="33" t="s">
        <v>1</v>
      </c>
      <c r="C1" s="33" t="s">
        <v>2</v>
      </c>
      <c r="D1" s="33" t="s">
        <v>3</v>
      </c>
      <c r="E1" s="33" t="s">
        <v>4</v>
      </c>
      <c r="F1" s="33" t="s">
        <v>5</v>
      </c>
      <c r="G1" s="33" t="s">
        <v>6</v>
      </c>
      <c r="H1" s="33" t="s">
        <v>7</v>
      </c>
      <c r="I1" s="33" t="s">
        <v>8</v>
      </c>
      <c r="J1" s="33" t="s">
        <v>9</v>
      </c>
      <c r="K1" s="33" t="s">
        <v>10</v>
      </c>
      <c r="L1" s="33" t="s">
        <v>11</v>
      </c>
      <c r="M1" s="33" t="s">
        <v>12</v>
      </c>
    </row>
    <row r="2" spans="1:13" x14ac:dyDescent="0.25">
      <c r="A2" t="s">
        <v>72</v>
      </c>
      <c r="B2" s="69">
        <v>0</v>
      </c>
      <c r="C2" s="69">
        <v>0</v>
      </c>
      <c r="D2" s="69">
        <v>0</v>
      </c>
      <c r="E2" s="69">
        <v>0</v>
      </c>
      <c r="F2" s="69">
        <v>0</v>
      </c>
      <c r="G2" s="69">
        <v>0</v>
      </c>
      <c r="H2" s="69">
        <v>0</v>
      </c>
      <c r="I2" s="69">
        <v>0</v>
      </c>
      <c r="J2" s="69">
        <v>0</v>
      </c>
      <c r="K2" s="69">
        <v>0</v>
      </c>
      <c r="L2" s="69">
        <v>0</v>
      </c>
      <c r="M2" s="69">
        <v>0</v>
      </c>
    </row>
    <row r="3" spans="1:13" x14ac:dyDescent="0.25">
      <c r="A3" t="s">
        <v>73</v>
      </c>
      <c r="B3" s="69">
        <v>0</v>
      </c>
      <c r="C3" s="69">
        <v>0</v>
      </c>
      <c r="D3" s="69">
        <v>0</v>
      </c>
      <c r="E3" s="69">
        <v>0</v>
      </c>
      <c r="F3" s="69">
        <v>0</v>
      </c>
      <c r="G3" s="69">
        <v>0</v>
      </c>
      <c r="H3" s="69">
        <v>0</v>
      </c>
      <c r="I3" s="69">
        <v>0</v>
      </c>
      <c r="J3" s="69">
        <v>0</v>
      </c>
      <c r="K3" s="69">
        <v>0</v>
      </c>
      <c r="L3" s="69">
        <v>0</v>
      </c>
      <c r="M3" s="69">
        <v>0</v>
      </c>
    </row>
    <row r="4" spans="1:13" x14ac:dyDescent="0.25">
      <c r="A4" t="s">
        <v>74</v>
      </c>
      <c r="B4" s="69">
        <v>0</v>
      </c>
      <c r="C4" s="69">
        <v>0</v>
      </c>
      <c r="D4" s="69">
        <v>0</v>
      </c>
      <c r="E4" s="69">
        <v>0</v>
      </c>
      <c r="F4" s="69">
        <v>0</v>
      </c>
      <c r="G4" s="69">
        <v>0</v>
      </c>
      <c r="H4" s="69">
        <v>0</v>
      </c>
      <c r="I4" s="69">
        <v>0</v>
      </c>
      <c r="J4" s="69">
        <v>0</v>
      </c>
      <c r="K4" s="69">
        <v>0</v>
      </c>
      <c r="L4" s="69">
        <v>0</v>
      </c>
      <c r="M4" s="69">
        <v>0</v>
      </c>
    </row>
    <row r="5" spans="1:13" x14ac:dyDescent="0.25">
      <c r="A5" s="2" t="s">
        <v>75</v>
      </c>
      <c r="B5" s="70">
        <v>905.59548181283583</v>
      </c>
      <c r="C5" s="70">
        <v>905.59548181283583</v>
      </c>
      <c r="D5" s="70">
        <v>905.59548181283583</v>
      </c>
      <c r="E5" s="70">
        <v>905.59548181283583</v>
      </c>
      <c r="F5" s="70">
        <v>905.59548181283583</v>
      </c>
      <c r="G5" s="70">
        <v>905.59548181283583</v>
      </c>
      <c r="H5" s="70">
        <v>905.59548181283583</v>
      </c>
      <c r="I5" s="70">
        <v>905.59548181283583</v>
      </c>
      <c r="J5" s="70">
        <v>905.59548181283583</v>
      </c>
      <c r="K5" s="70">
        <v>905.59548181283583</v>
      </c>
      <c r="L5" s="70">
        <v>905.59548181283583</v>
      </c>
      <c r="M5" s="70">
        <v>905.59548181283583</v>
      </c>
    </row>
    <row r="6" spans="1:13" x14ac:dyDescent="0.25">
      <c r="A6" s="2" t="s">
        <v>76</v>
      </c>
      <c r="B6" s="71">
        <v>41.936070000691196</v>
      </c>
      <c r="C6" s="71">
        <v>41.936070000691196</v>
      </c>
      <c r="D6" s="71">
        <v>41.936070000691196</v>
      </c>
      <c r="E6" s="71">
        <v>41.936070000691196</v>
      </c>
      <c r="F6" s="71">
        <v>41.936070000691196</v>
      </c>
      <c r="G6" s="71">
        <v>41.936070000691196</v>
      </c>
      <c r="H6" s="71">
        <v>41.936070000691196</v>
      </c>
      <c r="I6" s="71">
        <v>41.936070000691196</v>
      </c>
      <c r="J6" s="71">
        <v>41.936070000691196</v>
      </c>
      <c r="K6" s="71">
        <v>41.936070000691196</v>
      </c>
      <c r="L6" s="71">
        <v>41.936070000691196</v>
      </c>
      <c r="M6" s="71">
        <v>41.936070000691196</v>
      </c>
    </row>
    <row r="7" spans="1:13" x14ac:dyDescent="0.25">
      <c r="A7" t="s">
        <v>77</v>
      </c>
      <c r="B7" s="69">
        <v>0</v>
      </c>
      <c r="C7" s="69">
        <v>0</v>
      </c>
      <c r="D7" s="69">
        <v>0</v>
      </c>
      <c r="E7" s="69">
        <v>0</v>
      </c>
      <c r="F7" s="69">
        <v>0</v>
      </c>
      <c r="G7" s="69">
        <v>0</v>
      </c>
      <c r="H7" s="69">
        <v>0</v>
      </c>
      <c r="I7" s="69">
        <v>0</v>
      </c>
      <c r="J7" s="69">
        <v>0</v>
      </c>
      <c r="K7" s="69">
        <v>0</v>
      </c>
      <c r="L7" s="69">
        <v>0</v>
      </c>
      <c r="M7" s="69">
        <v>0</v>
      </c>
    </row>
    <row r="8" spans="1:13" x14ac:dyDescent="0.25">
      <c r="A8" s="2" t="s">
        <v>78</v>
      </c>
      <c r="B8" s="70">
        <v>1118.6171299116772</v>
      </c>
      <c r="C8" s="70">
        <v>1118.6171299116772</v>
      </c>
      <c r="D8" s="70">
        <v>1118.6171299116772</v>
      </c>
      <c r="E8" s="70">
        <v>1118.6171299116772</v>
      </c>
      <c r="F8" s="70">
        <v>1118.6171299116772</v>
      </c>
      <c r="G8" s="70">
        <v>1118.6171299116772</v>
      </c>
      <c r="H8" s="70">
        <v>1118.6171299116772</v>
      </c>
      <c r="I8" s="70">
        <v>1118.6171299116772</v>
      </c>
      <c r="J8" s="70">
        <v>1118.6171299116772</v>
      </c>
      <c r="K8" s="70">
        <v>1118.6171299116772</v>
      </c>
      <c r="L8" s="70">
        <v>1118.6171299116772</v>
      </c>
      <c r="M8" s="70">
        <v>1118.6171299116772</v>
      </c>
    </row>
    <row r="9" spans="1:13" x14ac:dyDescent="0.25">
      <c r="A9" s="2" t="s">
        <v>79</v>
      </c>
      <c r="B9" s="70">
        <v>909.82829259984885</v>
      </c>
      <c r="C9" s="70">
        <v>909.82829259984885</v>
      </c>
      <c r="D9" s="70">
        <v>909.82829259984885</v>
      </c>
      <c r="E9" s="70">
        <v>909.82829259984885</v>
      </c>
      <c r="F9" s="70">
        <v>909.82829259984885</v>
      </c>
      <c r="G9" s="70">
        <v>909.82829259984885</v>
      </c>
      <c r="H9" s="70">
        <v>909.82829259984885</v>
      </c>
      <c r="I9" s="70">
        <v>909.82829259984885</v>
      </c>
      <c r="J9" s="70">
        <v>909.82829259984885</v>
      </c>
      <c r="K9" s="70">
        <v>909.82829259984885</v>
      </c>
      <c r="L9" s="70">
        <v>909.82829259984885</v>
      </c>
      <c r="M9" s="70">
        <v>909.82829259984885</v>
      </c>
    </row>
    <row r="10" spans="1:13" x14ac:dyDescent="0.25">
      <c r="A10" s="2" t="s">
        <v>80</v>
      </c>
      <c r="B10" s="71">
        <v>57.386958583472413</v>
      </c>
      <c r="C10" s="71">
        <v>57.386958583472413</v>
      </c>
      <c r="D10" s="71">
        <v>57.386958583472413</v>
      </c>
      <c r="E10" s="71">
        <v>57.386958583472413</v>
      </c>
      <c r="F10" s="71">
        <v>57.386958583472413</v>
      </c>
      <c r="G10" s="71">
        <v>57.386958583472413</v>
      </c>
      <c r="H10" s="71">
        <v>57.386958583472413</v>
      </c>
      <c r="I10" s="71">
        <v>57.386958583472413</v>
      </c>
      <c r="J10" s="71">
        <v>57.386958583472413</v>
      </c>
      <c r="K10" s="71">
        <v>57.386958583472413</v>
      </c>
      <c r="L10" s="71">
        <v>57.386958583472413</v>
      </c>
      <c r="M10" s="71">
        <v>57.386958583472413</v>
      </c>
    </row>
    <row r="11" spans="1:13" x14ac:dyDescent="0.25">
      <c r="A11" t="s">
        <v>81</v>
      </c>
      <c r="B11" s="69">
        <v>0</v>
      </c>
      <c r="C11" s="69">
        <v>0</v>
      </c>
      <c r="D11" s="69">
        <v>0</v>
      </c>
      <c r="E11" s="69">
        <v>0</v>
      </c>
      <c r="F11" s="69">
        <v>0</v>
      </c>
      <c r="G11" s="69">
        <v>0</v>
      </c>
      <c r="H11" s="69">
        <v>0</v>
      </c>
      <c r="I11" s="69">
        <v>0</v>
      </c>
      <c r="J11" s="69">
        <v>0</v>
      </c>
      <c r="K11" s="69">
        <v>0</v>
      </c>
      <c r="L11" s="69">
        <v>0</v>
      </c>
      <c r="M11" s="69">
        <v>0</v>
      </c>
    </row>
    <row r="12" spans="1:13" x14ac:dyDescent="0.25">
      <c r="A12" t="s">
        <v>82</v>
      </c>
      <c r="B12" s="69">
        <v>0</v>
      </c>
      <c r="C12" s="69">
        <v>0</v>
      </c>
      <c r="D12" s="69">
        <v>0</v>
      </c>
      <c r="E12" s="69">
        <v>0</v>
      </c>
      <c r="F12" s="69">
        <v>0</v>
      </c>
      <c r="G12" s="69">
        <v>0</v>
      </c>
      <c r="H12" s="69">
        <v>0</v>
      </c>
      <c r="I12" s="69">
        <v>0</v>
      </c>
      <c r="J12" s="69">
        <v>0</v>
      </c>
      <c r="K12" s="69">
        <v>0</v>
      </c>
      <c r="L12" s="69">
        <v>0</v>
      </c>
      <c r="M12" s="69">
        <v>0</v>
      </c>
    </row>
    <row r="13" spans="1:13" x14ac:dyDescent="0.25">
      <c r="A13" t="s">
        <v>83</v>
      </c>
      <c r="B13" s="69">
        <v>0</v>
      </c>
      <c r="C13" s="69">
        <v>0</v>
      </c>
      <c r="D13" s="69">
        <v>0</v>
      </c>
      <c r="E13" s="69">
        <v>0</v>
      </c>
      <c r="F13" s="69">
        <v>0</v>
      </c>
      <c r="G13" s="69">
        <v>0</v>
      </c>
      <c r="H13" s="69">
        <v>0</v>
      </c>
      <c r="I13" s="69">
        <v>0</v>
      </c>
      <c r="J13" s="69">
        <v>0</v>
      </c>
      <c r="K13" s="69">
        <v>0</v>
      </c>
      <c r="L13" s="69">
        <v>0</v>
      </c>
      <c r="M13" s="69">
        <v>0</v>
      </c>
    </row>
    <row r="14" spans="1:13" x14ac:dyDescent="0.25">
      <c r="A14" t="s">
        <v>84</v>
      </c>
      <c r="B14" s="69">
        <v>0</v>
      </c>
      <c r="C14" s="69">
        <v>0</v>
      </c>
      <c r="D14" s="69">
        <v>0</v>
      </c>
      <c r="E14" s="69">
        <v>0</v>
      </c>
      <c r="F14" s="69">
        <v>0</v>
      </c>
      <c r="G14" s="69">
        <v>0</v>
      </c>
      <c r="H14" s="69">
        <v>0</v>
      </c>
      <c r="I14" s="69">
        <v>0</v>
      </c>
      <c r="J14" s="69">
        <v>0</v>
      </c>
      <c r="K14" s="69">
        <v>0</v>
      </c>
      <c r="L14" s="69">
        <v>0</v>
      </c>
      <c r="M14" s="69">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E04AE-9BEE-4E40-9B82-CD11025AF26D}">
  <sheetPr codeName="Sheet25">
    <tabColor theme="4" tint="0.39997558519241921"/>
  </sheetPr>
  <dimension ref="A1:M14"/>
  <sheetViews>
    <sheetView workbookViewId="0">
      <selection activeCell="G32" sqref="G32"/>
    </sheetView>
  </sheetViews>
  <sheetFormatPr defaultRowHeight="15" x14ac:dyDescent="0.25"/>
  <cols>
    <col min="1" max="1" width="23" customWidth="1"/>
  </cols>
  <sheetData>
    <row r="1" spans="1:13" x14ac:dyDescent="0.25">
      <c r="A1" s="32" t="s">
        <v>157</v>
      </c>
      <c r="B1" s="33" t="s">
        <v>1</v>
      </c>
      <c r="C1" s="33" t="s">
        <v>2</v>
      </c>
      <c r="D1" s="33" t="s">
        <v>3</v>
      </c>
      <c r="E1" s="33" t="s">
        <v>4</v>
      </c>
      <c r="F1" s="33" t="s">
        <v>5</v>
      </c>
      <c r="G1" s="33" t="s">
        <v>6</v>
      </c>
      <c r="H1" s="33" t="s">
        <v>7</v>
      </c>
      <c r="I1" s="33" t="s">
        <v>8</v>
      </c>
      <c r="J1" s="33" t="s">
        <v>9</v>
      </c>
      <c r="K1" s="33" t="s">
        <v>10</v>
      </c>
      <c r="L1" s="33" t="s">
        <v>11</v>
      </c>
      <c r="M1" s="33" t="s">
        <v>12</v>
      </c>
    </row>
    <row r="2" spans="1:13" x14ac:dyDescent="0.25">
      <c r="A2" t="s">
        <v>72</v>
      </c>
      <c r="B2" s="5">
        <v>0</v>
      </c>
      <c r="C2" s="5">
        <v>0</v>
      </c>
      <c r="D2" s="5">
        <v>0</v>
      </c>
      <c r="E2" s="5">
        <v>0</v>
      </c>
      <c r="F2" s="5">
        <v>0</v>
      </c>
      <c r="G2" s="5">
        <v>0</v>
      </c>
      <c r="H2" s="5">
        <v>0</v>
      </c>
      <c r="I2" s="5">
        <v>0</v>
      </c>
      <c r="J2" s="5">
        <v>0</v>
      </c>
      <c r="K2" s="5">
        <v>0</v>
      </c>
      <c r="L2" s="5">
        <v>0</v>
      </c>
      <c r="M2" s="5">
        <v>0</v>
      </c>
    </row>
    <row r="3" spans="1:13" x14ac:dyDescent="0.25">
      <c r="A3" t="s">
        <v>73</v>
      </c>
      <c r="B3" s="5">
        <v>0</v>
      </c>
      <c r="C3" s="5">
        <v>0</v>
      </c>
      <c r="D3" s="5">
        <v>0</v>
      </c>
      <c r="E3" s="5">
        <v>0</v>
      </c>
      <c r="F3" s="5">
        <v>0</v>
      </c>
      <c r="G3" s="5">
        <v>0</v>
      </c>
      <c r="H3" s="5">
        <v>0</v>
      </c>
      <c r="I3" s="5">
        <v>0</v>
      </c>
      <c r="J3" s="5">
        <v>0</v>
      </c>
      <c r="K3" s="5">
        <v>0</v>
      </c>
      <c r="L3" s="5">
        <v>0</v>
      </c>
      <c r="M3" s="5">
        <v>0</v>
      </c>
    </row>
    <row r="4" spans="1:13" x14ac:dyDescent="0.25">
      <c r="A4" t="s">
        <v>74</v>
      </c>
      <c r="B4" s="5">
        <v>0</v>
      </c>
      <c r="C4" s="5">
        <v>0</v>
      </c>
      <c r="D4" s="5">
        <v>0</v>
      </c>
      <c r="E4" s="5">
        <v>0</v>
      </c>
      <c r="F4" s="5">
        <v>0</v>
      </c>
      <c r="G4" s="5">
        <v>0</v>
      </c>
      <c r="H4" s="5">
        <v>0</v>
      </c>
      <c r="I4" s="5">
        <v>0</v>
      </c>
      <c r="J4" s="5">
        <v>0</v>
      </c>
      <c r="K4" s="5">
        <v>0</v>
      </c>
      <c r="L4" s="5">
        <v>0</v>
      </c>
      <c r="M4" s="5">
        <v>0</v>
      </c>
    </row>
    <row r="5" spans="1:13" x14ac:dyDescent="0.25">
      <c r="A5" s="2" t="s">
        <v>75</v>
      </c>
      <c r="B5" s="23">
        <v>1102.92</v>
      </c>
      <c r="C5" s="23">
        <v>1102.92</v>
      </c>
      <c r="D5" s="23">
        <v>1102.92</v>
      </c>
      <c r="E5" s="23">
        <v>1102.92</v>
      </c>
      <c r="F5" s="23">
        <v>1102.92</v>
      </c>
      <c r="G5" s="23">
        <v>1102.92</v>
      </c>
      <c r="H5" s="23">
        <v>1102.92</v>
      </c>
      <c r="I5" s="23">
        <v>1102.92</v>
      </c>
      <c r="J5" s="23">
        <v>1102.92</v>
      </c>
      <c r="K5" s="23">
        <v>1102.92</v>
      </c>
      <c r="L5" s="23">
        <v>1102.92</v>
      </c>
      <c r="M5" s="23">
        <v>1102.92</v>
      </c>
    </row>
    <row r="6" spans="1:13" x14ac:dyDescent="0.25">
      <c r="A6" s="2" t="s">
        <v>76</v>
      </c>
      <c r="B6" s="63">
        <v>45.2</v>
      </c>
      <c r="C6" s="63">
        <v>45.2</v>
      </c>
      <c r="D6" s="63">
        <v>45.2</v>
      </c>
      <c r="E6" s="63">
        <v>45.2</v>
      </c>
      <c r="F6" s="63">
        <v>45.2</v>
      </c>
      <c r="G6" s="63">
        <v>45.2</v>
      </c>
      <c r="H6" s="63">
        <v>45.2</v>
      </c>
      <c r="I6" s="63">
        <v>45.2</v>
      </c>
      <c r="J6" s="63">
        <v>45.2</v>
      </c>
      <c r="K6" s="63">
        <v>45.2</v>
      </c>
      <c r="L6" s="63">
        <v>45.2</v>
      </c>
      <c r="M6" s="63">
        <v>45.2</v>
      </c>
    </row>
    <row r="7" spans="1:13" x14ac:dyDescent="0.25">
      <c r="A7" t="s">
        <v>77</v>
      </c>
      <c r="B7" s="5">
        <v>0</v>
      </c>
      <c r="C7" s="5">
        <v>0</v>
      </c>
      <c r="D7" s="5">
        <v>0</v>
      </c>
      <c r="E7" s="5">
        <v>0</v>
      </c>
      <c r="F7" s="5">
        <v>0</v>
      </c>
      <c r="G7" s="5">
        <v>0</v>
      </c>
      <c r="H7" s="5">
        <v>0</v>
      </c>
      <c r="I7" s="5">
        <v>0</v>
      </c>
      <c r="J7" s="5">
        <v>0</v>
      </c>
      <c r="K7" s="5">
        <v>0</v>
      </c>
      <c r="L7" s="5">
        <v>0</v>
      </c>
      <c r="M7" s="5">
        <v>0</v>
      </c>
    </row>
    <row r="8" spans="1:13" x14ac:dyDescent="0.25">
      <c r="A8" s="2" t="s">
        <v>78</v>
      </c>
      <c r="B8" s="23">
        <v>1411.0845767999999</v>
      </c>
      <c r="C8" s="23">
        <v>1411.0845767999999</v>
      </c>
      <c r="D8" s="23">
        <v>1411.0845767999999</v>
      </c>
      <c r="E8" s="23">
        <v>1411.0845767999999</v>
      </c>
      <c r="F8" s="23">
        <v>1411.0845767999999</v>
      </c>
      <c r="G8" s="23">
        <v>1411.0845767999999</v>
      </c>
      <c r="H8" s="23">
        <v>1411.0845767999999</v>
      </c>
      <c r="I8" s="23">
        <v>1411.0845767999999</v>
      </c>
      <c r="J8" s="23">
        <v>1411.0845767999999</v>
      </c>
      <c r="K8" s="23">
        <v>1411.0845767999999</v>
      </c>
      <c r="L8" s="23">
        <v>1411.0845767999999</v>
      </c>
      <c r="M8" s="23">
        <v>1411.0845767999999</v>
      </c>
    </row>
    <row r="9" spans="1:13" x14ac:dyDescent="0.25">
      <c r="A9" s="2" t="s">
        <v>79</v>
      </c>
      <c r="B9" s="23">
        <v>953.65449999999998</v>
      </c>
      <c r="C9" s="23">
        <v>953.65449999999998</v>
      </c>
      <c r="D9" s="23">
        <v>953.65449999999998</v>
      </c>
      <c r="E9" s="23">
        <v>953.65449999999998</v>
      </c>
      <c r="F9" s="23">
        <v>953.65449999999998</v>
      </c>
      <c r="G9" s="23">
        <v>953.65449999999998</v>
      </c>
      <c r="H9" s="23">
        <v>953.65449999999998</v>
      </c>
      <c r="I9" s="23">
        <v>953.65449999999998</v>
      </c>
      <c r="J9" s="23">
        <v>953.65449999999998</v>
      </c>
      <c r="K9" s="23">
        <v>953.65449999999998</v>
      </c>
      <c r="L9" s="23">
        <v>953.65449999999998</v>
      </c>
      <c r="M9" s="23">
        <v>953.65449999999998</v>
      </c>
    </row>
    <row r="10" spans="1:13" x14ac:dyDescent="0.25">
      <c r="A10" s="2" t="s">
        <v>80</v>
      </c>
      <c r="B10" s="63">
        <v>58.214000000000091</v>
      </c>
      <c r="C10" s="63">
        <v>58.214000000000091</v>
      </c>
      <c r="D10" s="63">
        <v>58.214000000000091</v>
      </c>
      <c r="E10" s="63">
        <v>58.214000000000091</v>
      </c>
      <c r="F10" s="63">
        <v>58.214000000000091</v>
      </c>
      <c r="G10" s="63">
        <v>58.214000000000091</v>
      </c>
      <c r="H10" s="63">
        <v>58.214000000000091</v>
      </c>
      <c r="I10" s="63">
        <v>58.214000000000091</v>
      </c>
      <c r="J10" s="63">
        <v>58.214000000000091</v>
      </c>
      <c r="K10" s="63">
        <v>58.214000000000091</v>
      </c>
      <c r="L10" s="63">
        <v>58.214000000000091</v>
      </c>
      <c r="M10" s="63">
        <v>58.214000000000091</v>
      </c>
    </row>
    <row r="11" spans="1:13" x14ac:dyDescent="0.25">
      <c r="A11" t="s">
        <v>81</v>
      </c>
      <c r="B11" s="5">
        <v>0</v>
      </c>
      <c r="C11" s="5">
        <v>0</v>
      </c>
      <c r="D11" s="5">
        <v>0</v>
      </c>
      <c r="E11" s="5">
        <v>0</v>
      </c>
      <c r="F11" s="5">
        <v>0</v>
      </c>
      <c r="G11" s="5">
        <v>0</v>
      </c>
      <c r="H11" s="5">
        <v>0</v>
      </c>
      <c r="I11" s="5">
        <v>0</v>
      </c>
      <c r="J11" s="5">
        <v>0</v>
      </c>
      <c r="K11" s="5">
        <v>0</v>
      </c>
      <c r="L11" s="5">
        <v>0</v>
      </c>
      <c r="M11" s="5">
        <v>0</v>
      </c>
    </row>
    <row r="12" spans="1:13" x14ac:dyDescent="0.25">
      <c r="A12" t="s">
        <v>82</v>
      </c>
      <c r="B12" s="5">
        <v>0</v>
      </c>
      <c r="C12" s="5">
        <v>0</v>
      </c>
      <c r="D12" s="5">
        <v>0</v>
      </c>
      <c r="E12" s="5">
        <v>0</v>
      </c>
      <c r="F12" s="5">
        <v>0</v>
      </c>
      <c r="G12" s="5">
        <v>0</v>
      </c>
      <c r="H12" s="5">
        <v>0</v>
      </c>
      <c r="I12" s="5">
        <v>0</v>
      </c>
      <c r="J12" s="5">
        <v>0</v>
      </c>
      <c r="K12" s="5">
        <v>0</v>
      </c>
      <c r="L12" s="5">
        <v>0</v>
      </c>
      <c r="M12" s="5">
        <v>0</v>
      </c>
    </row>
    <row r="13" spans="1:13" x14ac:dyDescent="0.25">
      <c r="A13" t="s">
        <v>83</v>
      </c>
      <c r="B13" s="5">
        <v>0</v>
      </c>
      <c r="C13" s="5">
        <v>0</v>
      </c>
      <c r="D13" s="5">
        <v>0</v>
      </c>
      <c r="E13" s="5">
        <v>0</v>
      </c>
      <c r="F13" s="5">
        <v>0</v>
      </c>
      <c r="G13" s="5">
        <v>0</v>
      </c>
      <c r="H13" s="5">
        <v>0</v>
      </c>
      <c r="I13" s="5">
        <v>0</v>
      </c>
      <c r="J13" s="5">
        <v>0</v>
      </c>
      <c r="K13" s="5">
        <v>0</v>
      </c>
      <c r="L13" s="5">
        <v>0</v>
      </c>
      <c r="M13" s="5">
        <v>0</v>
      </c>
    </row>
    <row r="14" spans="1:13" x14ac:dyDescent="0.25">
      <c r="A14" t="s">
        <v>84</v>
      </c>
      <c r="B14" s="5">
        <v>0</v>
      </c>
      <c r="C14" s="5">
        <v>0</v>
      </c>
      <c r="D14" s="5">
        <v>0</v>
      </c>
      <c r="E14" s="5">
        <v>0</v>
      </c>
      <c r="F14" s="5">
        <v>0</v>
      </c>
      <c r="G14" s="5">
        <v>0</v>
      </c>
      <c r="H14" s="5">
        <v>0</v>
      </c>
      <c r="I14" s="5">
        <v>0</v>
      </c>
      <c r="J14" s="5">
        <v>0</v>
      </c>
      <c r="K14" s="5">
        <v>0</v>
      </c>
      <c r="L14" s="5">
        <v>0</v>
      </c>
      <c r="M14" s="5">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085FC-D01D-4BE8-AC4C-E2FE4E5A78C8}">
  <sheetPr codeName="Sheet54">
    <tabColor theme="0" tint="-0.34998626667073579"/>
  </sheetPr>
  <dimension ref="A1:M14"/>
  <sheetViews>
    <sheetView workbookViewId="0">
      <selection activeCell="B18" sqref="B18"/>
    </sheetView>
  </sheetViews>
  <sheetFormatPr defaultRowHeight="15" x14ac:dyDescent="0.25"/>
  <cols>
    <col min="1" max="1" width="22.5546875" customWidth="1"/>
    <col min="2" max="13" width="9.6640625" customWidth="1"/>
  </cols>
  <sheetData>
    <row r="1" spans="1:13" x14ac:dyDescent="0.25">
      <c r="A1" s="92" t="s">
        <v>187</v>
      </c>
      <c r="B1" t="s">
        <v>1</v>
      </c>
      <c r="C1" t="s">
        <v>2</v>
      </c>
      <c r="D1" t="s">
        <v>3</v>
      </c>
      <c r="E1" t="s">
        <v>4</v>
      </c>
      <c r="F1" t="s">
        <v>5</v>
      </c>
      <c r="G1" t="s">
        <v>6</v>
      </c>
      <c r="H1" t="s">
        <v>7</v>
      </c>
      <c r="I1" t="s">
        <v>8</v>
      </c>
      <c r="J1" t="s">
        <v>9</v>
      </c>
      <c r="K1" t="s">
        <v>10</v>
      </c>
      <c r="L1" t="s">
        <v>11</v>
      </c>
      <c r="M1" t="s">
        <v>12</v>
      </c>
    </row>
    <row r="2" spans="1:13" x14ac:dyDescent="0.25">
      <c r="A2" t="s">
        <v>72</v>
      </c>
      <c r="B2" s="91">
        <v>9.114648421900533</v>
      </c>
      <c r="C2" s="91">
        <v>12.606738983969969</v>
      </c>
      <c r="D2" s="91">
        <v>17.628723897566275</v>
      </c>
      <c r="E2" s="91">
        <v>19.931757904717841</v>
      </c>
      <c r="F2" s="91">
        <v>23.578841502203659</v>
      </c>
      <c r="G2" s="91">
        <v>28.168842435721078</v>
      </c>
      <c r="H2" s="91">
        <v>25.26265516676904</v>
      </c>
      <c r="I2" s="91">
        <v>10.58088818805515</v>
      </c>
      <c r="J2" s="91">
        <v>-4.6912780906224736</v>
      </c>
      <c r="K2" s="91">
        <v>-15.141831977813165</v>
      </c>
      <c r="L2" s="91">
        <v>-10.695753235751212</v>
      </c>
      <c r="M2" s="91">
        <v>4.3499313441476826</v>
      </c>
    </row>
    <row r="3" spans="1:13" x14ac:dyDescent="0.25">
      <c r="A3" t="s">
        <v>73</v>
      </c>
      <c r="B3" s="91">
        <v>2.8215078133705953</v>
      </c>
      <c r="C3" s="91">
        <v>3.9756245742278313</v>
      </c>
      <c r="D3" s="91">
        <v>9.7746116765221345</v>
      </c>
      <c r="E3" s="91">
        <v>6.7576305667686132</v>
      </c>
      <c r="F3" s="91">
        <v>15.630764288670322</v>
      </c>
      <c r="G3" s="91">
        <v>24.233473318193582</v>
      </c>
      <c r="H3" s="91">
        <v>12.100594227159217</v>
      </c>
      <c r="I3" s="91">
        <v>13.912471642812269</v>
      </c>
      <c r="J3" s="91">
        <v>14.540605661313977</v>
      </c>
      <c r="K3" s="91">
        <v>8.3017977073665978</v>
      </c>
      <c r="L3" s="91">
        <v>7.4946858142443649</v>
      </c>
      <c r="M3" s="91">
        <v>1.5848738962652424</v>
      </c>
    </row>
    <row r="4" spans="1:13" x14ac:dyDescent="0.25">
      <c r="A4" t="s">
        <v>74</v>
      </c>
      <c r="B4" s="91">
        <v>-24.736968526002364</v>
      </c>
      <c r="C4" s="91">
        <v>-19.273928817683675</v>
      </c>
      <c r="D4" s="91">
        <v>-8.7959757256326316</v>
      </c>
      <c r="E4" s="91">
        <v>-9.4334925226627853</v>
      </c>
      <c r="F4" s="91">
        <v>-4.1557821881895229</v>
      </c>
      <c r="G4" s="91">
        <v>7.2943342101432362</v>
      </c>
      <c r="H4" s="91">
        <v>-3.958696588336405E-2</v>
      </c>
      <c r="I4" s="91">
        <v>-15.992295769424103</v>
      </c>
      <c r="J4" s="91">
        <v>-24.832228419132445</v>
      </c>
      <c r="K4" s="91">
        <v>-34.485708267665821</v>
      </c>
      <c r="L4" s="91">
        <v>-36.933078970759446</v>
      </c>
      <c r="M4" s="91">
        <v>-31.268828609276078</v>
      </c>
    </row>
    <row r="5" spans="1:13" x14ac:dyDescent="0.25">
      <c r="A5" s="2" t="s">
        <v>75</v>
      </c>
      <c r="B5" s="91">
        <v>0</v>
      </c>
      <c r="C5" s="91">
        <v>0</v>
      </c>
      <c r="D5" s="91">
        <v>0</v>
      </c>
      <c r="E5" s="91">
        <v>0</v>
      </c>
      <c r="F5" s="91">
        <v>0</v>
      </c>
      <c r="G5" s="91">
        <v>0</v>
      </c>
      <c r="H5" s="91">
        <v>0</v>
      </c>
      <c r="I5" s="91">
        <v>0</v>
      </c>
      <c r="J5" s="91">
        <v>0</v>
      </c>
      <c r="K5" s="91">
        <v>0</v>
      </c>
      <c r="L5" s="91">
        <v>0</v>
      </c>
      <c r="M5" s="91">
        <v>0</v>
      </c>
    </row>
    <row r="6" spans="1:13" x14ac:dyDescent="0.25">
      <c r="A6" s="2" t="s">
        <v>76</v>
      </c>
      <c r="B6" s="91">
        <v>0</v>
      </c>
      <c r="C6" s="91">
        <v>0</v>
      </c>
      <c r="D6" s="91">
        <v>0</v>
      </c>
      <c r="E6" s="91">
        <v>0</v>
      </c>
      <c r="F6" s="91">
        <v>0</v>
      </c>
      <c r="G6" s="91">
        <v>0</v>
      </c>
      <c r="H6" s="91">
        <v>0</v>
      </c>
      <c r="I6" s="91">
        <v>0</v>
      </c>
      <c r="J6" s="91">
        <v>0</v>
      </c>
      <c r="K6" s="91">
        <v>0</v>
      </c>
      <c r="L6" s="91">
        <v>0</v>
      </c>
      <c r="M6" s="91">
        <v>0</v>
      </c>
    </row>
    <row r="7" spans="1:13" x14ac:dyDescent="0.25">
      <c r="A7" t="s">
        <v>77</v>
      </c>
      <c r="B7" s="91">
        <v>16.630869852275985</v>
      </c>
      <c r="C7" s="91">
        <v>14.652122679521625</v>
      </c>
      <c r="D7" s="91">
        <v>13.720880230469607</v>
      </c>
      <c r="E7" s="91">
        <v>13.875041920069499</v>
      </c>
      <c r="F7" s="91">
        <v>12.992873340125936</v>
      </c>
      <c r="G7" s="91">
        <v>16.565932810558884</v>
      </c>
      <c r="H7" s="91">
        <v>15.973482827530358</v>
      </c>
      <c r="I7" s="91">
        <v>17.324899118365146</v>
      </c>
      <c r="J7" s="91">
        <v>20.084262623923308</v>
      </c>
      <c r="K7" s="91">
        <v>19.678321556832017</v>
      </c>
      <c r="L7" s="91">
        <v>20.462789654572006</v>
      </c>
      <c r="M7" s="91">
        <v>18.179962352644601</v>
      </c>
    </row>
    <row r="8" spans="1:13" x14ac:dyDescent="0.25">
      <c r="A8" s="2" t="s">
        <v>78</v>
      </c>
      <c r="B8" s="91">
        <v>0</v>
      </c>
      <c r="C8" s="91">
        <v>0</v>
      </c>
      <c r="D8" s="91">
        <v>0</v>
      </c>
      <c r="E8" s="91">
        <v>0</v>
      </c>
      <c r="F8" s="91">
        <v>0</v>
      </c>
      <c r="G8" s="91">
        <v>0</v>
      </c>
      <c r="H8" s="91">
        <v>0</v>
      </c>
      <c r="I8" s="91">
        <v>0</v>
      </c>
      <c r="J8" s="91">
        <v>0</v>
      </c>
      <c r="K8" s="91">
        <v>0</v>
      </c>
      <c r="L8" s="91">
        <v>0</v>
      </c>
      <c r="M8" s="91">
        <v>0</v>
      </c>
    </row>
    <row r="9" spans="1:13" x14ac:dyDescent="0.25">
      <c r="A9" s="2" t="s">
        <v>79</v>
      </c>
      <c r="B9" s="91">
        <v>1.8516374444625501</v>
      </c>
      <c r="C9" s="91">
        <v>1.2640251109564364</v>
      </c>
      <c r="D9" s="91">
        <v>1.8852651130404892</v>
      </c>
      <c r="E9" s="91">
        <v>2.3992041211329598</v>
      </c>
      <c r="F9" s="91">
        <v>3.250833751354707</v>
      </c>
      <c r="G9" s="91">
        <v>5.1973516870262495</v>
      </c>
      <c r="H9" s="91">
        <v>5.3053911043871524</v>
      </c>
      <c r="I9" s="91">
        <v>5.3003121159295326</v>
      </c>
      <c r="J9" s="91">
        <v>5.6827671485542375</v>
      </c>
      <c r="K9" s="91">
        <v>3.847365495197836</v>
      </c>
      <c r="L9" s="91">
        <v>3.1311031734009642</v>
      </c>
      <c r="M9" s="91">
        <v>1.7922535149515726</v>
      </c>
    </row>
    <row r="10" spans="1:13" x14ac:dyDescent="0.25">
      <c r="A10" s="2" t="s">
        <v>80</v>
      </c>
      <c r="B10" s="91">
        <v>0</v>
      </c>
      <c r="C10" s="91">
        <v>0</v>
      </c>
      <c r="D10" s="91">
        <v>0</v>
      </c>
      <c r="E10" s="91">
        <v>0</v>
      </c>
      <c r="F10" s="91">
        <v>0</v>
      </c>
      <c r="G10" s="91">
        <v>0</v>
      </c>
      <c r="H10" s="91">
        <v>0</v>
      </c>
      <c r="I10" s="91">
        <v>0</v>
      </c>
      <c r="J10" s="91">
        <v>0</v>
      </c>
      <c r="K10" s="91">
        <v>0</v>
      </c>
      <c r="L10" s="91">
        <v>0</v>
      </c>
      <c r="M10" s="91">
        <v>0</v>
      </c>
    </row>
    <row r="11" spans="1:13" x14ac:dyDescent="0.25">
      <c r="A11" t="s">
        <v>81</v>
      </c>
      <c r="B11" s="91">
        <v>3.0929398419102649</v>
      </c>
      <c r="C11" s="91">
        <v>1.4512567382409152</v>
      </c>
      <c r="D11" s="91">
        <v>2.2396207711025569</v>
      </c>
      <c r="E11" s="91">
        <v>2.7993249963461881</v>
      </c>
      <c r="F11" s="91">
        <v>4.5665531938984021</v>
      </c>
      <c r="G11" s="91">
        <v>16.225808883734572</v>
      </c>
      <c r="H11" s="91">
        <v>17.111365280525337</v>
      </c>
      <c r="I11" s="91">
        <v>13.48339662066533</v>
      </c>
      <c r="J11" s="91">
        <v>17.309333151070248</v>
      </c>
      <c r="K11" s="91">
        <v>11.422776211562004</v>
      </c>
      <c r="L11" s="91">
        <v>9.2168041761823964</v>
      </c>
      <c r="M11" s="91">
        <v>1.4977399206048041</v>
      </c>
    </row>
    <row r="12" spans="1:13" x14ac:dyDescent="0.25">
      <c r="A12" t="s">
        <v>82</v>
      </c>
      <c r="B12" s="91">
        <v>1.1219977998705011</v>
      </c>
      <c r="C12" s="91">
        <v>0.52792718338241751</v>
      </c>
      <c r="D12" s="91">
        <v>0.98155051025989448</v>
      </c>
      <c r="E12" s="91">
        <v>2.3566884151935277</v>
      </c>
      <c r="F12" s="91">
        <v>2.8158865762306964</v>
      </c>
      <c r="G12" s="91">
        <v>7.1204763314907309</v>
      </c>
      <c r="H12" s="91">
        <v>11.318371667661166</v>
      </c>
      <c r="I12" s="91">
        <v>6.7966791717704265</v>
      </c>
      <c r="J12" s="91">
        <v>7.7137659959208893</v>
      </c>
      <c r="K12" s="91">
        <v>10.164461389198427</v>
      </c>
      <c r="L12" s="91">
        <v>7.8446505817909511</v>
      </c>
      <c r="M12" s="91">
        <v>2.177619483689464</v>
      </c>
    </row>
    <row r="13" spans="1:13" x14ac:dyDescent="0.25">
      <c r="A13" t="s">
        <v>83</v>
      </c>
      <c r="B13" s="91">
        <v>8.6243261013102701E-2</v>
      </c>
      <c r="C13" s="91">
        <v>0.16358304373806398</v>
      </c>
      <c r="D13" s="91">
        <v>0.37377450988295197</v>
      </c>
      <c r="E13" s="91">
        <v>0.53773646056906044</v>
      </c>
      <c r="F13" s="91">
        <v>0.48474969645927146</v>
      </c>
      <c r="G13" s="91">
        <v>0.76086378183827663</v>
      </c>
      <c r="H13" s="91">
        <v>0.73460847048261735</v>
      </c>
      <c r="I13" s="91">
        <v>0.28999662423776507</v>
      </c>
      <c r="J13" s="91">
        <v>1.3453919070195957</v>
      </c>
      <c r="K13" s="91">
        <v>2.208031391671696</v>
      </c>
      <c r="L13" s="91">
        <v>1.8114974611606591</v>
      </c>
      <c r="M13" s="91">
        <v>0.54719013050767273</v>
      </c>
    </row>
    <row r="14" spans="1:13" x14ac:dyDescent="0.25">
      <c r="A14" t="s">
        <v>84</v>
      </c>
      <c r="B14" s="91">
        <v>15.430372721198838</v>
      </c>
      <c r="C14" s="91">
        <v>22.935179578336516</v>
      </c>
      <c r="D14" s="91">
        <v>27.268845869296101</v>
      </c>
      <c r="E14" s="91">
        <v>28.896289877285945</v>
      </c>
      <c r="F14" s="91">
        <v>22.467848473463768</v>
      </c>
      <c r="G14" s="91">
        <v>21.357608719737641</v>
      </c>
      <c r="H14" s="91">
        <v>11.82587121138242</v>
      </c>
      <c r="I14" s="91">
        <v>16.73054112112413</v>
      </c>
      <c r="J14" s="91">
        <v>21.851761655108021</v>
      </c>
      <c r="K14" s="91">
        <v>26.035212888951918</v>
      </c>
      <c r="L14" s="91">
        <v>27.196820117639074</v>
      </c>
      <c r="M14" s="91">
        <v>17.781971504890748</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A6811-0EA4-48B6-AAF4-B4AAC5AF3FE1}">
  <sheetPr codeName="Sheet55">
    <tabColor theme="0" tint="-0.34998626667073579"/>
  </sheetPr>
  <dimension ref="A1:M14"/>
  <sheetViews>
    <sheetView workbookViewId="0">
      <selection activeCell="B18" sqref="B18"/>
    </sheetView>
  </sheetViews>
  <sheetFormatPr defaultRowHeight="15" x14ac:dyDescent="0.25"/>
  <cols>
    <col min="1" max="1" width="22.5546875" customWidth="1"/>
    <col min="2" max="13" width="9.6640625" customWidth="1"/>
  </cols>
  <sheetData>
    <row r="1" spans="1:13" x14ac:dyDescent="0.25">
      <c r="A1" s="9" t="s">
        <v>57</v>
      </c>
      <c r="B1" t="s">
        <v>1</v>
      </c>
      <c r="C1" t="s">
        <v>2</v>
      </c>
      <c r="D1" t="s">
        <v>3</v>
      </c>
      <c r="E1" t="s">
        <v>4</v>
      </c>
      <c r="F1" t="s">
        <v>5</v>
      </c>
      <c r="G1" t="s">
        <v>6</v>
      </c>
      <c r="H1" t="s">
        <v>7</v>
      </c>
      <c r="I1" t="s">
        <v>8</v>
      </c>
      <c r="J1" t="s">
        <v>9</v>
      </c>
      <c r="K1" t="s">
        <v>10</v>
      </c>
      <c r="L1" t="s">
        <v>11</v>
      </c>
      <c r="M1" t="s">
        <v>12</v>
      </c>
    </row>
    <row r="2" spans="1:13" x14ac:dyDescent="0.25">
      <c r="A2" t="s">
        <v>72</v>
      </c>
      <c r="B2" s="43">
        <v>0</v>
      </c>
      <c r="C2" s="43">
        <v>0</v>
      </c>
      <c r="D2" s="43">
        <v>0</v>
      </c>
      <c r="E2" s="43">
        <v>0</v>
      </c>
      <c r="F2" s="43">
        <v>0</v>
      </c>
      <c r="G2" s="43">
        <v>0</v>
      </c>
      <c r="H2" s="43">
        <v>0</v>
      </c>
      <c r="I2" s="43">
        <v>0</v>
      </c>
      <c r="J2" s="43">
        <v>0</v>
      </c>
      <c r="K2" s="43">
        <v>0</v>
      </c>
      <c r="L2" s="43">
        <v>0</v>
      </c>
      <c r="M2" s="43">
        <v>0</v>
      </c>
    </row>
    <row r="3" spans="1:13" x14ac:dyDescent="0.25">
      <c r="A3" t="s">
        <v>73</v>
      </c>
      <c r="B3" s="43">
        <v>0</v>
      </c>
      <c r="C3" s="43">
        <v>0</v>
      </c>
      <c r="D3" s="43">
        <v>0</v>
      </c>
      <c r="E3" s="43">
        <v>0</v>
      </c>
      <c r="F3" s="43">
        <v>0</v>
      </c>
      <c r="G3" s="43">
        <v>0</v>
      </c>
      <c r="H3" s="43">
        <v>0</v>
      </c>
      <c r="I3" s="43">
        <v>0</v>
      </c>
      <c r="J3" s="43">
        <v>0</v>
      </c>
      <c r="K3" s="43">
        <v>0</v>
      </c>
      <c r="L3" s="43">
        <v>0</v>
      </c>
      <c r="M3" s="43">
        <v>0</v>
      </c>
    </row>
    <row r="4" spans="1:13" x14ac:dyDescent="0.25">
      <c r="A4" t="s">
        <v>74</v>
      </c>
      <c r="B4" s="43">
        <v>0</v>
      </c>
      <c r="C4" s="43">
        <v>0</v>
      </c>
      <c r="D4" s="43">
        <v>0</v>
      </c>
      <c r="E4" s="43">
        <v>0</v>
      </c>
      <c r="F4" s="43">
        <v>0</v>
      </c>
      <c r="G4" s="43">
        <v>0</v>
      </c>
      <c r="H4" s="43">
        <v>0</v>
      </c>
      <c r="I4" s="43">
        <v>0</v>
      </c>
      <c r="J4" s="43">
        <v>0</v>
      </c>
      <c r="K4" s="43">
        <v>0</v>
      </c>
      <c r="L4" s="43">
        <v>0</v>
      </c>
      <c r="M4" s="43">
        <v>0</v>
      </c>
    </row>
    <row r="5" spans="1:13" x14ac:dyDescent="0.25">
      <c r="A5" s="2" t="s">
        <v>75</v>
      </c>
      <c r="B5" s="43">
        <v>0</v>
      </c>
      <c r="C5" s="43">
        <v>0</v>
      </c>
      <c r="D5" s="43">
        <v>0</v>
      </c>
      <c r="E5" s="43">
        <v>0</v>
      </c>
      <c r="F5" s="43">
        <v>0</v>
      </c>
      <c r="G5" s="43">
        <v>0</v>
      </c>
      <c r="H5" s="43">
        <v>0</v>
      </c>
      <c r="I5" s="43">
        <v>0</v>
      </c>
      <c r="J5" s="43">
        <v>0</v>
      </c>
      <c r="K5" s="43">
        <v>0</v>
      </c>
      <c r="L5" s="43">
        <v>0</v>
      </c>
      <c r="M5" s="43">
        <v>0</v>
      </c>
    </row>
    <row r="6" spans="1:13" x14ac:dyDescent="0.25">
      <c r="A6" s="2" t="s">
        <v>76</v>
      </c>
      <c r="B6" s="43">
        <v>0.14683992279880442</v>
      </c>
      <c r="C6" s="43">
        <v>0.15546271544599222</v>
      </c>
      <c r="D6" s="43">
        <v>0.18846689003200368</v>
      </c>
      <c r="E6" s="43">
        <v>0.20076805745139836</v>
      </c>
      <c r="F6" s="43">
        <v>0.21848292274435721</v>
      </c>
      <c r="G6" s="43">
        <v>0.28117431653123504</v>
      </c>
      <c r="H6" s="43">
        <v>0.27774541920049955</v>
      </c>
      <c r="I6" s="43">
        <v>0.22876934367201329</v>
      </c>
      <c r="J6" s="43">
        <v>0.19488385453718138</v>
      </c>
      <c r="K6" s="43">
        <v>0.14750125307455164</v>
      </c>
      <c r="L6" s="43">
        <v>0.13288000716394777</v>
      </c>
      <c r="M6" s="43">
        <v>0.12864534711015096</v>
      </c>
    </row>
    <row r="7" spans="1:13" x14ac:dyDescent="0.25">
      <c r="A7" t="s">
        <v>77</v>
      </c>
      <c r="B7" s="43">
        <v>0</v>
      </c>
      <c r="C7" s="43">
        <v>0</v>
      </c>
      <c r="D7" s="43">
        <v>0</v>
      </c>
      <c r="E7" s="43">
        <v>0</v>
      </c>
      <c r="F7" s="43">
        <v>0</v>
      </c>
      <c r="G7" s="43">
        <v>0</v>
      </c>
      <c r="H7" s="43">
        <v>0</v>
      </c>
      <c r="I7" s="43">
        <v>0</v>
      </c>
      <c r="J7" s="43">
        <v>0</v>
      </c>
      <c r="K7" s="43">
        <v>0</v>
      </c>
      <c r="L7" s="43">
        <v>0</v>
      </c>
      <c r="M7" s="43">
        <v>0</v>
      </c>
    </row>
    <row r="8" spans="1:13" x14ac:dyDescent="0.25">
      <c r="A8" s="2" t="s">
        <v>78</v>
      </c>
      <c r="B8" s="43">
        <v>-10.433023304421928</v>
      </c>
      <c r="C8" s="43">
        <v>-8.7195336225343336</v>
      </c>
      <c r="D8" s="43">
        <v>-5.4824527936555247</v>
      </c>
      <c r="E8" s="43">
        <v>-4.5206371501656522</v>
      </c>
      <c r="F8" s="43">
        <v>-1.9392179721357876</v>
      </c>
      <c r="G8" s="43">
        <v>-1.2199444641987602</v>
      </c>
      <c r="H8" s="43">
        <v>-4.432264545389728</v>
      </c>
      <c r="I8" s="43">
        <v>0.72341550248985165</v>
      </c>
      <c r="J8" s="43">
        <v>13.818540828960554</v>
      </c>
      <c r="K8" s="43">
        <v>24.600529651184594</v>
      </c>
      <c r="L8" s="43">
        <v>22.991693612382946</v>
      </c>
      <c r="M8" s="43">
        <v>-1.7825424438705626</v>
      </c>
    </row>
    <row r="9" spans="1:13" x14ac:dyDescent="0.25">
      <c r="A9" s="2" t="s">
        <v>79</v>
      </c>
      <c r="B9" s="43">
        <v>2.1343351134790396</v>
      </c>
      <c r="C9" s="43">
        <v>0.60918715491072817</v>
      </c>
      <c r="D9" s="43">
        <v>-1.1001769316041248</v>
      </c>
      <c r="E9" s="43">
        <v>-2.266286496057603</v>
      </c>
      <c r="F9" s="43">
        <v>-0.42468673313561567</v>
      </c>
      <c r="G9" s="43">
        <v>-2.3776883807622653</v>
      </c>
      <c r="H9" s="43">
        <v>-3.2303345988748333</v>
      </c>
      <c r="I9" s="43">
        <v>-1.2767442989416793</v>
      </c>
      <c r="J9" s="43">
        <v>1.4004818804371837</v>
      </c>
      <c r="K9" s="43">
        <v>2.3103623430112634</v>
      </c>
      <c r="L9" s="43">
        <v>2.3957023950947871</v>
      </c>
      <c r="M9" s="43">
        <v>2.4145013894899705</v>
      </c>
    </row>
    <row r="10" spans="1:13" x14ac:dyDescent="0.25">
      <c r="A10" s="2" t="s">
        <v>80</v>
      </c>
      <c r="B10" s="43">
        <v>0.64340757348998068</v>
      </c>
      <c r="C10" s="43">
        <v>0.76946019193960069</v>
      </c>
      <c r="D10" s="43">
        <v>1.1205588620329934</v>
      </c>
      <c r="E10" s="43">
        <v>1.1942817802362811</v>
      </c>
      <c r="F10" s="43">
        <v>1.4105273400875262</v>
      </c>
      <c r="G10" s="43">
        <v>2.1098799114234907</v>
      </c>
      <c r="H10" s="43">
        <v>2.2272111513898949</v>
      </c>
      <c r="I10" s="43">
        <v>1.5102790061254723</v>
      </c>
      <c r="J10" s="43">
        <v>0.98059236607630851</v>
      </c>
      <c r="K10" s="43">
        <v>0.67216375927097261</v>
      </c>
      <c r="L10" s="43">
        <v>0.59589345334168797</v>
      </c>
      <c r="M10" s="43">
        <v>0.56462827469133003</v>
      </c>
    </row>
    <row r="11" spans="1:13" x14ac:dyDescent="0.25">
      <c r="A11" t="s">
        <v>81</v>
      </c>
      <c r="B11" s="43">
        <v>-2.8710633162338297</v>
      </c>
      <c r="C11" s="43">
        <v>-27.122506789913984</v>
      </c>
      <c r="D11" s="43">
        <v>-39.974645981431252</v>
      </c>
      <c r="E11" s="43">
        <v>-36.301601742506449</v>
      </c>
      <c r="F11" s="43">
        <v>-28.0611967533236</v>
      </c>
      <c r="G11" s="43">
        <v>-39.425200293797502</v>
      </c>
      <c r="H11" s="43">
        <v>-24.547041429809667</v>
      </c>
      <c r="I11" s="43">
        <v>0.68063555822703847</v>
      </c>
      <c r="J11" s="43">
        <v>8.0208328720798647</v>
      </c>
      <c r="K11" s="43">
        <v>39.51571825368741</v>
      </c>
      <c r="L11" s="43">
        <v>46.013242391626719</v>
      </c>
      <c r="M11" s="43">
        <v>19.603469213403585</v>
      </c>
    </row>
    <row r="12" spans="1:13" x14ac:dyDescent="0.25">
      <c r="A12" t="s">
        <v>82</v>
      </c>
      <c r="B12" s="43">
        <v>0</v>
      </c>
      <c r="C12" s="43">
        <v>0</v>
      </c>
      <c r="D12" s="43">
        <v>0</v>
      </c>
      <c r="E12" s="43">
        <v>0</v>
      </c>
      <c r="F12" s="43">
        <v>0</v>
      </c>
      <c r="G12" s="43">
        <v>0</v>
      </c>
      <c r="H12" s="43">
        <v>0</v>
      </c>
      <c r="I12" s="43">
        <v>0</v>
      </c>
      <c r="J12" s="43">
        <v>0</v>
      </c>
      <c r="K12" s="43">
        <v>0</v>
      </c>
      <c r="L12" s="43">
        <v>0</v>
      </c>
      <c r="M12" s="43">
        <v>0</v>
      </c>
    </row>
    <row r="13" spans="1:13" x14ac:dyDescent="0.25">
      <c r="A13" t="s">
        <v>83</v>
      </c>
      <c r="B13" s="43">
        <v>0</v>
      </c>
      <c r="C13" s="43">
        <v>0</v>
      </c>
      <c r="D13" s="43">
        <v>0</v>
      </c>
      <c r="E13" s="43">
        <v>0</v>
      </c>
      <c r="F13" s="43">
        <v>0</v>
      </c>
      <c r="G13" s="43">
        <v>0</v>
      </c>
      <c r="H13" s="43">
        <v>0</v>
      </c>
      <c r="I13" s="43">
        <v>0</v>
      </c>
      <c r="J13" s="43">
        <v>0</v>
      </c>
      <c r="K13" s="43">
        <v>0</v>
      </c>
      <c r="L13" s="43">
        <v>0</v>
      </c>
      <c r="M13" s="43">
        <v>0</v>
      </c>
    </row>
    <row r="14" spans="1:13" x14ac:dyDescent="0.25">
      <c r="A14" t="s">
        <v>84</v>
      </c>
      <c r="B14" s="43">
        <v>-1.4953232761097865</v>
      </c>
      <c r="C14" s="43">
        <v>-1.7821219117225837</v>
      </c>
      <c r="D14" s="43">
        <v>-2.1396459801674155</v>
      </c>
      <c r="E14" s="43">
        <v>-9.8349103845180252E-2</v>
      </c>
      <c r="F14" s="43">
        <v>2.5897077914022475</v>
      </c>
      <c r="G14" s="43">
        <v>3.2277625910569441</v>
      </c>
      <c r="H14" s="43">
        <v>6.3235138193999774</v>
      </c>
      <c r="I14" s="43">
        <v>7.2992025952323729</v>
      </c>
      <c r="J14" s="43">
        <v>6.942453521121422</v>
      </c>
      <c r="K14" s="43">
        <v>7.7601498345711093</v>
      </c>
      <c r="L14" s="43">
        <v>2.8654050016696146</v>
      </c>
      <c r="M14" s="43">
        <v>1.2920938743100407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D7A82-8B89-4A0C-94E2-190E7C735AE5}">
  <sheetPr codeName="Sheet16">
    <tabColor theme="7" tint="0.59999389629810485"/>
  </sheetPr>
  <dimension ref="A1:M14"/>
  <sheetViews>
    <sheetView workbookViewId="0">
      <selection activeCell="N36" sqref="N36"/>
    </sheetView>
  </sheetViews>
  <sheetFormatPr defaultRowHeight="15" x14ac:dyDescent="0.25"/>
  <cols>
    <col min="1" max="1" width="23" customWidth="1"/>
  </cols>
  <sheetData>
    <row r="1" spans="1:13" x14ac:dyDescent="0.25">
      <c r="A1" s="51" t="s">
        <v>111</v>
      </c>
      <c r="B1" s="5" t="s">
        <v>1</v>
      </c>
      <c r="C1" s="5" t="s">
        <v>2</v>
      </c>
      <c r="D1" s="5" t="s">
        <v>3</v>
      </c>
      <c r="E1" s="5" t="s">
        <v>4</v>
      </c>
      <c r="F1" s="5" t="s">
        <v>5</v>
      </c>
      <c r="G1" s="5" t="s">
        <v>6</v>
      </c>
      <c r="H1" s="5" t="s">
        <v>7</v>
      </c>
      <c r="I1" s="5" t="s">
        <v>8</v>
      </c>
      <c r="J1" s="5" t="s">
        <v>9</v>
      </c>
      <c r="K1" s="5" t="s">
        <v>10</v>
      </c>
      <c r="L1" s="5" t="s">
        <v>11</v>
      </c>
      <c r="M1" s="5" t="s">
        <v>12</v>
      </c>
    </row>
    <row r="2" spans="1:13" x14ac:dyDescent="0.25">
      <c r="A2" s="5" t="s">
        <v>72</v>
      </c>
      <c r="B2" s="21">
        <v>0</v>
      </c>
      <c r="C2" s="21">
        <v>0</v>
      </c>
      <c r="D2" s="21">
        <v>0</v>
      </c>
      <c r="E2" s="21">
        <v>0</v>
      </c>
      <c r="F2" s="21">
        <v>0</v>
      </c>
      <c r="G2" s="21">
        <v>0</v>
      </c>
      <c r="H2" s="21">
        <v>0</v>
      </c>
      <c r="I2" s="21">
        <v>0</v>
      </c>
      <c r="J2" s="21">
        <v>0</v>
      </c>
      <c r="K2" s="21">
        <v>0</v>
      </c>
      <c r="L2" s="21">
        <v>0</v>
      </c>
      <c r="M2" s="21">
        <v>0</v>
      </c>
    </row>
    <row r="3" spans="1:13" x14ac:dyDescent="0.25">
      <c r="A3" s="5" t="s">
        <v>73</v>
      </c>
      <c r="B3" s="21">
        <v>0</v>
      </c>
      <c r="C3" s="21">
        <v>0</v>
      </c>
      <c r="D3" s="21">
        <v>0</v>
      </c>
      <c r="E3" s="21">
        <v>0</v>
      </c>
      <c r="F3" s="21">
        <v>0</v>
      </c>
      <c r="G3" s="21">
        <v>0</v>
      </c>
      <c r="H3" s="21">
        <v>0</v>
      </c>
      <c r="I3" s="21">
        <v>0</v>
      </c>
      <c r="J3" s="21">
        <v>0</v>
      </c>
      <c r="K3" s="21">
        <v>0</v>
      </c>
      <c r="L3" s="21">
        <v>0</v>
      </c>
      <c r="M3" s="21">
        <v>0</v>
      </c>
    </row>
    <row r="4" spans="1:13" x14ac:dyDescent="0.25">
      <c r="A4" s="5" t="s">
        <v>74</v>
      </c>
      <c r="B4" s="21">
        <v>0</v>
      </c>
      <c r="C4" s="21">
        <v>0</v>
      </c>
      <c r="D4" s="21">
        <v>0</v>
      </c>
      <c r="E4" s="21">
        <v>0</v>
      </c>
      <c r="F4" s="21">
        <v>0</v>
      </c>
      <c r="G4" s="21">
        <v>0</v>
      </c>
      <c r="H4" s="21">
        <v>0</v>
      </c>
      <c r="I4" s="21">
        <v>0</v>
      </c>
      <c r="J4" s="21">
        <v>0</v>
      </c>
      <c r="K4" s="21">
        <v>0</v>
      </c>
      <c r="L4" s="21">
        <v>0</v>
      </c>
      <c r="M4" s="21">
        <v>0</v>
      </c>
    </row>
    <row r="5" spans="1:13" x14ac:dyDescent="0.25">
      <c r="A5" s="23" t="s">
        <v>75</v>
      </c>
      <c r="B5" s="27">
        <v>233.61299894720221</v>
      </c>
      <c r="C5" s="22">
        <v>233.61299894720221</v>
      </c>
      <c r="D5" s="22">
        <v>233.61299894720221</v>
      </c>
      <c r="E5" s="22">
        <v>233.61299894720221</v>
      </c>
      <c r="F5" s="22">
        <v>233.61299894720221</v>
      </c>
      <c r="G5" s="22">
        <v>233.61299894720221</v>
      </c>
      <c r="H5" s="22">
        <v>233.61299894720221</v>
      </c>
      <c r="I5" s="22">
        <v>233.61299894720221</v>
      </c>
      <c r="J5" s="22">
        <v>233.61299894720221</v>
      </c>
      <c r="K5" s="22">
        <v>233.61299894720221</v>
      </c>
      <c r="L5" s="22">
        <v>233.61299894720221</v>
      </c>
      <c r="M5" s="22">
        <v>233.61299894720221</v>
      </c>
    </row>
    <row r="6" spans="1:13" x14ac:dyDescent="0.25">
      <c r="A6" s="23" t="s">
        <v>76</v>
      </c>
      <c r="B6" s="27">
        <v>344.04209467992547</v>
      </c>
      <c r="C6" s="22">
        <v>344.04209467992547</v>
      </c>
      <c r="D6" s="22">
        <v>344.04209467992547</v>
      </c>
      <c r="E6" s="22">
        <v>344.04209467992547</v>
      </c>
      <c r="F6" s="22">
        <v>344.04209467992547</v>
      </c>
      <c r="G6" s="22">
        <v>344.04209467992547</v>
      </c>
      <c r="H6" s="22">
        <v>344.04209467992547</v>
      </c>
      <c r="I6" s="22">
        <v>344.04209467992547</v>
      </c>
      <c r="J6" s="22">
        <v>344.04209467992547</v>
      </c>
      <c r="K6" s="22">
        <v>344.04209467992547</v>
      </c>
      <c r="L6" s="22">
        <v>344.04209467992547</v>
      </c>
      <c r="M6" s="22">
        <v>344.04209467992547</v>
      </c>
    </row>
    <row r="7" spans="1:13" x14ac:dyDescent="0.25">
      <c r="A7" s="5" t="s">
        <v>77</v>
      </c>
      <c r="B7" s="21">
        <v>0</v>
      </c>
      <c r="C7" s="21">
        <v>0</v>
      </c>
      <c r="D7" s="21">
        <v>0</v>
      </c>
      <c r="E7" s="21">
        <v>0</v>
      </c>
      <c r="F7" s="21">
        <v>0</v>
      </c>
      <c r="G7" s="21">
        <v>0</v>
      </c>
      <c r="H7" s="21">
        <v>0</v>
      </c>
      <c r="I7" s="21">
        <v>0</v>
      </c>
      <c r="J7" s="21">
        <v>0</v>
      </c>
      <c r="K7" s="21">
        <v>0</v>
      </c>
      <c r="L7" s="21">
        <v>0</v>
      </c>
      <c r="M7" s="21">
        <v>0</v>
      </c>
    </row>
    <row r="8" spans="1:13" x14ac:dyDescent="0.25">
      <c r="A8" s="23" t="s">
        <v>78</v>
      </c>
      <c r="B8" s="27">
        <v>521.15252211870359</v>
      </c>
      <c r="C8" s="22">
        <v>521.15252211870359</v>
      </c>
      <c r="D8" s="22">
        <v>521.15252211870359</v>
      </c>
      <c r="E8" s="22">
        <v>521.15252211870359</v>
      </c>
      <c r="F8" s="22">
        <v>521.15252211870359</v>
      </c>
      <c r="G8" s="22">
        <v>521.15252211870359</v>
      </c>
      <c r="H8" s="22">
        <v>521.15252211870359</v>
      </c>
      <c r="I8" s="22">
        <v>521.15252211870359</v>
      </c>
      <c r="J8" s="22">
        <v>521.15252211870359</v>
      </c>
      <c r="K8" s="22">
        <v>521.15252211870359</v>
      </c>
      <c r="L8" s="22">
        <v>521.15252211870359</v>
      </c>
      <c r="M8" s="22">
        <v>521.15252211870359</v>
      </c>
    </row>
    <row r="9" spans="1:13" x14ac:dyDescent="0.25">
      <c r="A9" s="23" t="s">
        <v>79</v>
      </c>
      <c r="B9" s="27">
        <v>280.55207794720252</v>
      </c>
      <c r="C9" s="22">
        <v>280.55207794720252</v>
      </c>
      <c r="D9" s="22">
        <v>280.55207794720252</v>
      </c>
      <c r="E9" s="22">
        <v>280.55207794720252</v>
      </c>
      <c r="F9" s="22">
        <v>280.55207794720252</v>
      </c>
      <c r="G9" s="22">
        <v>280.55207794720252</v>
      </c>
      <c r="H9" s="22">
        <v>280.55207794720252</v>
      </c>
      <c r="I9" s="22">
        <v>280.55207794720252</v>
      </c>
      <c r="J9" s="22">
        <v>280.55207794720252</v>
      </c>
      <c r="K9" s="22">
        <v>280.55207794720252</v>
      </c>
      <c r="L9" s="22">
        <v>280.55207794720252</v>
      </c>
      <c r="M9" s="22">
        <v>280.55207794720252</v>
      </c>
    </row>
    <row r="10" spans="1:13" x14ac:dyDescent="0.25">
      <c r="A10" s="23" t="s">
        <v>80</v>
      </c>
      <c r="B10" s="27">
        <v>280.55207794720252</v>
      </c>
      <c r="C10" s="22">
        <v>280.55207794720252</v>
      </c>
      <c r="D10" s="22">
        <v>280.55207794720252</v>
      </c>
      <c r="E10" s="22">
        <v>280.55207794720252</v>
      </c>
      <c r="F10" s="22">
        <v>280.55207794720252</v>
      </c>
      <c r="G10" s="22">
        <v>280.55207794720252</v>
      </c>
      <c r="H10" s="22">
        <v>280.55207794720252</v>
      </c>
      <c r="I10" s="22">
        <v>280.55207794720252</v>
      </c>
      <c r="J10" s="22">
        <v>280.55207794720252</v>
      </c>
      <c r="K10" s="22">
        <v>280.55207794720252</v>
      </c>
      <c r="L10" s="22">
        <v>280.55207794720252</v>
      </c>
      <c r="M10" s="22">
        <v>280.55207794720252</v>
      </c>
    </row>
    <row r="11" spans="1:13" x14ac:dyDescent="0.25">
      <c r="A11" s="5" t="s">
        <v>81</v>
      </c>
      <c r="B11" s="21">
        <v>0</v>
      </c>
      <c r="C11" s="21">
        <v>0</v>
      </c>
      <c r="D11" s="21">
        <v>0</v>
      </c>
      <c r="E11" s="21">
        <v>0</v>
      </c>
      <c r="F11" s="21">
        <v>0</v>
      </c>
      <c r="G11" s="21">
        <v>0</v>
      </c>
      <c r="H11" s="21">
        <v>0</v>
      </c>
      <c r="I11" s="21">
        <v>0</v>
      </c>
      <c r="J11" s="21">
        <v>0</v>
      </c>
      <c r="K11" s="21">
        <v>0</v>
      </c>
      <c r="L11" s="21">
        <v>0</v>
      </c>
      <c r="M11" s="21">
        <v>0</v>
      </c>
    </row>
    <row r="12" spans="1:13" x14ac:dyDescent="0.25">
      <c r="A12" s="5" t="s">
        <v>82</v>
      </c>
      <c r="B12" s="21">
        <v>0</v>
      </c>
      <c r="C12" s="21">
        <v>0</v>
      </c>
      <c r="D12" s="21">
        <v>0</v>
      </c>
      <c r="E12" s="21">
        <v>0</v>
      </c>
      <c r="F12" s="21">
        <v>0</v>
      </c>
      <c r="G12" s="21">
        <v>0</v>
      </c>
      <c r="H12" s="21">
        <v>0</v>
      </c>
      <c r="I12" s="21">
        <v>0</v>
      </c>
      <c r="J12" s="21">
        <v>0</v>
      </c>
      <c r="K12" s="21">
        <v>0</v>
      </c>
      <c r="L12" s="21">
        <v>0</v>
      </c>
      <c r="M12" s="21">
        <v>0</v>
      </c>
    </row>
    <row r="13" spans="1:13" x14ac:dyDescent="0.25">
      <c r="A13" s="5" t="s">
        <v>83</v>
      </c>
      <c r="B13" s="21">
        <v>0</v>
      </c>
      <c r="C13" s="21">
        <v>0</v>
      </c>
      <c r="D13" s="21">
        <v>0</v>
      </c>
      <c r="E13" s="21">
        <v>0</v>
      </c>
      <c r="F13" s="21">
        <v>0</v>
      </c>
      <c r="G13" s="21">
        <v>0</v>
      </c>
      <c r="H13" s="21">
        <v>0</v>
      </c>
      <c r="I13" s="21">
        <v>0</v>
      </c>
      <c r="J13" s="21">
        <v>0</v>
      </c>
      <c r="K13" s="21">
        <v>0</v>
      </c>
      <c r="L13" s="21">
        <v>0</v>
      </c>
      <c r="M13" s="21">
        <v>0</v>
      </c>
    </row>
    <row r="14" spans="1:13" x14ac:dyDescent="0.25">
      <c r="A14" s="5" t="s">
        <v>84</v>
      </c>
      <c r="B14" s="21">
        <v>0</v>
      </c>
      <c r="C14" s="21">
        <v>0</v>
      </c>
      <c r="D14" s="21">
        <v>0</v>
      </c>
      <c r="E14" s="21">
        <v>0</v>
      </c>
      <c r="F14" s="21">
        <v>0</v>
      </c>
      <c r="G14" s="21">
        <v>0</v>
      </c>
      <c r="H14" s="21">
        <v>0</v>
      </c>
      <c r="I14" s="21">
        <v>0</v>
      </c>
      <c r="J14" s="21">
        <v>0</v>
      </c>
      <c r="K14" s="21">
        <v>0</v>
      </c>
      <c r="L14" s="21">
        <v>0</v>
      </c>
      <c r="M14" s="21">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C737F-27F5-4DB2-B42C-8A0F0DCFEFA5}">
  <sheetPr codeName="Sheet82">
    <tabColor theme="7" tint="0.59999389629810485"/>
  </sheetPr>
  <dimension ref="A1:B14"/>
  <sheetViews>
    <sheetView workbookViewId="0">
      <selection activeCell="I36" sqref="I36"/>
    </sheetView>
  </sheetViews>
  <sheetFormatPr defaultRowHeight="15" x14ac:dyDescent="0.25"/>
  <cols>
    <col min="1" max="1" width="23" customWidth="1"/>
  </cols>
  <sheetData>
    <row r="1" spans="1:2" x14ac:dyDescent="0.25">
      <c r="A1" s="34" t="s">
        <v>160</v>
      </c>
      <c r="B1" s="34" t="s">
        <v>161</v>
      </c>
    </row>
    <row r="2" spans="1:2" x14ac:dyDescent="0.25">
      <c r="A2" t="s">
        <v>72</v>
      </c>
      <c r="B2" s="5">
        <v>0</v>
      </c>
    </row>
    <row r="3" spans="1:2" x14ac:dyDescent="0.25">
      <c r="A3" t="s">
        <v>73</v>
      </c>
      <c r="B3" s="5">
        <v>0</v>
      </c>
    </row>
    <row r="4" spans="1:2" x14ac:dyDescent="0.25">
      <c r="A4" t="s">
        <v>74</v>
      </c>
      <c r="B4" s="5">
        <v>0</v>
      </c>
    </row>
    <row r="5" spans="1:2" x14ac:dyDescent="0.25">
      <c r="A5" s="2" t="s">
        <v>75</v>
      </c>
      <c r="B5" s="5">
        <v>70.599999999999994</v>
      </c>
    </row>
    <row r="6" spans="1:2" x14ac:dyDescent="0.25">
      <c r="A6" s="2" t="s">
        <v>76</v>
      </c>
      <c r="B6" s="5">
        <v>97.44</v>
      </c>
    </row>
    <row r="7" spans="1:2" x14ac:dyDescent="0.25">
      <c r="A7" t="s">
        <v>77</v>
      </c>
      <c r="B7" s="5">
        <v>0</v>
      </c>
    </row>
    <row r="8" spans="1:2" x14ac:dyDescent="0.25">
      <c r="A8" s="2" t="s">
        <v>78</v>
      </c>
      <c r="B8" s="5">
        <v>160</v>
      </c>
    </row>
    <row r="9" spans="1:2" x14ac:dyDescent="0.25">
      <c r="A9" s="2" t="s">
        <v>79</v>
      </c>
      <c r="B9" s="5">
        <v>278.39999999999998</v>
      </c>
    </row>
    <row r="10" spans="1:2" x14ac:dyDescent="0.25">
      <c r="A10" s="2" t="s">
        <v>80</v>
      </c>
      <c r="B10" s="5">
        <v>37.9</v>
      </c>
    </row>
    <row r="11" spans="1:2" x14ac:dyDescent="0.25">
      <c r="A11" t="s">
        <v>81</v>
      </c>
      <c r="B11" s="5">
        <v>0</v>
      </c>
    </row>
    <row r="12" spans="1:2" x14ac:dyDescent="0.25">
      <c r="A12" t="s">
        <v>82</v>
      </c>
      <c r="B12" s="5">
        <v>0</v>
      </c>
    </row>
    <row r="13" spans="1:2" x14ac:dyDescent="0.25">
      <c r="A13" t="s">
        <v>83</v>
      </c>
      <c r="B13" s="5">
        <v>0</v>
      </c>
    </row>
    <row r="14" spans="1:2" x14ac:dyDescent="0.25">
      <c r="A14" t="s">
        <v>84</v>
      </c>
      <c r="B14" s="5">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EE68B-2220-4936-A6DA-780E0236F3D8}">
  <sheetPr codeName="Sheet18">
    <tabColor theme="7" tint="0.59999389629810485"/>
  </sheetPr>
  <dimension ref="A1:B14"/>
  <sheetViews>
    <sheetView workbookViewId="0">
      <selection activeCell="B8" sqref="B7:B8"/>
    </sheetView>
  </sheetViews>
  <sheetFormatPr defaultRowHeight="15" x14ac:dyDescent="0.25"/>
  <cols>
    <col min="1" max="1" width="23" customWidth="1"/>
    <col min="2" max="2" width="8.88671875" style="19"/>
  </cols>
  <sheetData>
    <row r="1" spans="1:2" x14ac:dyDescent="0.25">
      <c r="A1" t="s">
        <v>125</v>
      </c>
    </row>
    <row r="2" spans="1:2" x14ac:dyDescent="0.25">
      <c r="A2" t="s">
        <v>72</v>
      </c>
      <c r="B2" s="19">
        <v>0</v>
      </c>
    </row>
    <row r="3" spans="1:2" x14ac:dyDescent="0.25">
      <c r="A3" t="s">
        <v>73</v>
      </c>
      <c r="B3" s="19">
        <v>0</v>
      </c>
    </row>
    <row r="4" spans="1:2" x14ac:dyDescent="0.25">
      <c r="A4" t="s">
        <v>74</v>
      </c>
      <c r="B4" s="19">
        <v>0</v>
      </c>
    </row>
    <row r="5" spans="1:2" x14ac:dyDescent="0.25">
      <c r="A5" s="2" t="s">
        <v>75</v>
      </c>
      <c r="B5" s="20">
        <v>557.5</v>
      </c>
    </row>
    <row r="6" spans="1:2" x14ac:dyDescent="0.25">
      <c r="A6" s="2" t="s">
        <v>76</v>
      </c>
      <c r="B6" s="20">
        <v>475</v>
      </c>
    </row>
    <row r="7" spans="1:2" x14ac:dyDescent="0.25">
      <c r="A7" t="s">
        <v>77</v>
      </c>
      <c r="B7" s="19">
        <v>0</v>
      </c>
    </row>
    <row r="8" spans="1:2" x14ac:dyDescent="0.25">
      <c r="A8" s="2" t="s">
        <v>78</v>
      </c>
      <c r="B8" s="20">
        <v>389</v>
      </c>
    </row>
    <row r="9" spans="1:2" x14ac:dyDescent="0.25">
      <c r="A9" s="2" t="s">
        <v>79</v>
      </c>
      <c r="B9" s="20">
        <v>273.10000000000002</v>
      </c>
    </row>
    <row r="10" spans="1:2" x14ac:dyDescent="0.25">
      <c r="A10" s="2" t="s">
        <v>80</v>
      </c>
      <c r="B10" s="20">
        <v>244.85</v>
      </c>
    </row>
    <row r="11" spans="1:2" x14ac:dyDescent="0.25">
      <c r="A11" t="s">
        <v>81</v>
      </c>
      <c r="B11" s="19">
        <v>0</v>
      </c>
    </row>
    <row r="12" spans="1:2" x14ac:dyDescent="0.25">
      <c r="A12" t="s">
        <v>82</v>
      </c>
      <c r="B12" s="19">
        <v>0</v>
      </c>
    </row>
    <row r="13" spans="1:2" x14ac:dyDescent="0.25">
      <c r="A13" t="s">
        <v>83</v>
      </c>
      <c r="B13" s="19">
        <v>0</v>
      </c>
    </row>
    <row r="14" spans="1:2" x14ac:dyDescent="0.25">
      <c r="A14" t="s">
        <v>84</v>
      </c>
      <c r="B14" s="19">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F1F85-3E0C-4FE9-BE59-45A07FDE5BA9}">
  <sheetPr codeName="Sheet19">
    <tabColor theme="7" tint="0.59999389629810485"/>
  </sheetPr>
  <dimension ref="A1:B14"/>
  <sheetViews>
    <sheetView workbookViewId="0">
      <selection activeCell="M14" sqref="A1:M14"/>
    </sheetView>
  </sheetViews>
  <sheetFormatPr defaultRowHeight="15" x14ac:dyDescent="0.25"/>
  <cols>
    <col min="1" max="1" width="23" customWidth="1"/>
    <col min="2" max="2" width="8.88671875" style="19"/>
  </cols>
  <sheetData>
    <row r="1" spans="1:2" x14ac:dyDescent="0.25">
      <c r="A1" t="s">
        <v>124</v>
      </c>
    </row>
    <row r="2" spans="1:2" x14ac:dyDescent="0.25">
      <c r="A2" t="s">
        <v>72</v>
      </c>
      <c r="B2" s="19">
        <v>0</v>
      </c>
    </row>
    <row r="3" spans="1:2" x14ac:dyDescent="0.25">
      <c r="A3" t="s">
        <v>73</v>
      </c>
      <c r="B3" s="19">
        <v>0</v>
      </c>
    </row>
    <row r="4" spans="1:2" x14ac:dyDescent="0.25">
      <c r="A4" t="s">
        <v>74</v>
      </c>
      <c r="B4" s="19">
        <v>0</v>
      </c>
    </row>
    <row r="5" spans="1:2" x14ac:dyDescent="0.25">
      <c r="A5" s="2" t="s">
        <v>75</v>
      </c>
      <c r="B5" s="20">
        <v>6.5</v>
      </c>
    </row>
    <row r="6" spans="1:2" x14ac:dyDescent="0.25">
      <c r="A6" s="2" t="s">
        <v>76</v>
      </c>
      <c r="B6" s="20">
        <v>6.5</v>
      </c>
    </row>
    <row r="7" spans="1:2" x14ac:dyDescent="0.25">
      <c r="A7" t="s">
        <v>77</v>
      </c>
      <c r="B7" s="19">
        <v>0</v>
      </c>
    </row>
    <row r="8" spans="1:2" x14ac:dyDescent="0.25">
      <c r="A8" s="2" t="s">
        <v>78</v>
      </c>
      <c r="B8" s="20">
        <v>8</v>
      </c>
    </row>
    <row r="9" spans="1:2" x14ac:dyDescent="0.25">
      <c r="A9" s="2" t="s">
        <v>79</v>
      </c>
      <c r="B9" s="20">
        <v>9.25</v>
      </c>
    </row>
    <row r="10" spans="1:2" x14ac:dyDescent="0.25">
      <c r="A10" s="2" t="s">
        <v>80</v>
      </c>
      <c r="B10" s="20">
        <v>6</v>
      </c>
    </row>
    <row r="11" spans="1:2" x14ac:dyDescent="0.25">
      <c r="A11" t="s">
        <v>81</v>
      </c>
      <c r="B11" s="19">
        <v>0</v>
      </c>
    </row>
    <row r="12" spans="1:2" x14ac:dyDescent="0.25">
      <c r="A12" t="s">
        <v>82</v>
      </c>
      <c r="B12" s="19">
        <v>0</v>
      </c>
    </row>
    <row r="13" spans="1:2" x14ac:dyDescent="0.25">
      <c r="A13" t="s">
        <v>83</v>
      </c>
      <c r="B13" s="19">
        <v>0</v>
      </c>
    </row>
    <row r="14" spans="1:2" x14ac:dyDescent="0.25">
      <c r="A14" t="s">
        <v>84</v>
      </c>
      <c r="B14" s="19">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307D2-6C7D-4870-93DC-425A473F341D}">
  <sheetPr codeName="Sheet20">
    <tabColor theme="7" tint="0.59999389629810485"/>
  </sheetPr>
  <dimension ref="A1:B14"/>
  <sheetViews>
    <sheetView workbookViewId="0">
      <selection activeCell="K35" sqref="K35"/>
    </sheetView>
  </sheetViews>
  <sheetFormatPr defaultRowHeight="15" x14ac:dyDescent="0.25"/>
  <cols>
    <col min="1" max="1" width="23" customWidth="1"/>
    <col min="2" max="2" width="8.88671875" style="19"/>
  </cols>
  <sheetData>
    <row r="1" spans="1:2" x14ac:dyDescent="0.25">
      <c r="A1" s="19" t="s">
        <v>126</v>
      </c>
    </row>
    <row r="2" spans="1:2" x14ac:dyDescent="0.25">
      <c r="A2" t="s">
        <v>72</v>
      </c>
      <c r="B2" s="19">
        <v>0</v>
      </c>
    </row>
    <row r="3" spans="1:2" x14ac:dyDescent="0.25">
      <c r="A3" t="s">
        <v>73</v>
      </c>
      <c r="B3" s="19">
        <v>0</v>
      </c>
    </row>
    <row r="4" spans="1:2" x14ac:dyDescent="0.25">
      <c r="A4" t="s">
        <v>74</v>
      </c>
      <c r="B4" s="19">
        <v>0</v>
      </c>
    </row>
    <row r="5" spans="1:2" x14ac:dyDescent="0.25">
      <c r="A5" s="2" t="s">
        <v>75</v>
      </c>
      <c r="B5" s="20">
        <v>440</v>
      </c>
    </row>
    <row r="6" spans="1:2" x14ac:dyDescent="0.25">
      <c r="A6" s="2" t="s">
        <v>76</v>
      </c>
      <c r="B6" s="20">
        <v>440</v>
      </c>
    </row>
    <row r="7" spans="1:2" x14ac:dyDescent="0.25">
      <c r="A7" t="s">
        <v>77</v>
      </c>
      <c r="B7" s="19">
        <v>0</v>
      </c>
    </row>
    <row r="8" spans="1:2" x14ac:dyDescent="0.25">
      <c r="A8" s="2" t="s">
        <v>78</v>
      </c>
      <c r="B8" s="20">
        <v>945</v>
      </c>
    </row>
    <row r="9" spans="1:2" x14ac:dyDescent="0.25">
      <c r="A9" s="2" t="s">
        <v>79</v>
      </c>
      <c r="B9" s="20">
        <v>473.2</v>
      </c>
    </row>
    <row r="10" spans="1:2" x14ac:dyDescent="0.25">
      <c r="A10" s="2" t="s">
        <v>80</v>
      </c>
      <c r="B10" s="20">
        <v>50</v>
      </c>
    </row>
    <row r="11" spans="1:2" x14ac:dyDescent="0.25">
      <c r="A11" t="s">
        <v>81</v>
      </c>
      <c r="B11" s="19">
        <v>0</v>
      </c>
    </row>
    <row r="12" spans="1:2" x14ac:dyDescent="0.25">
      <c r="A12" t="s">
        <v>82</v>
      </c>
      <c r="B12" s="19">
        <v>0</v>
      </c>
    </row>
    <row r="13" spans="1:2" x14ac:dyDescent="0.25">
      <c r="A13" t="s">
        <v>83</v>
      </c>
      <c r="B13" s="19">
        <v>0</v>
      </c>
    </row>
    <row r="14" spans="1:2" x14ac:dyDescent="0.25">
      <c r="A14" t="s">
        <v>84</v>
      </c>
      <c r="B14" s="19">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7E90E-4C01-4BCC-97E3-189F2F4FA53F}">
  <sheetPr codeName="Sheet21">
    <tabColor theme="7" tint="0.59999389629810485"/>
  </sheetPr>
  <dimension ref="A1:B14"/>
  <sheetViews>
    <sheetView zoomScale="115" zoomScaleNormal="115" workbookViewId="0">
      <selection activeCell="M14" sqref="A1:M14"/>
    </sheetView>
  </sheetViews>
  <sheetFormatPr defaultRowHeight="15" x14ac:dyDescent="0.25"/>
  <cols>
    <col min="1" max="1" width="23" customWidth="1"/>
    <col min="2" max="2" width="8.88671875" style="19"/>
  </cols>
  <sheetData>
    <row r="1" spans="1:2" x14ac:dyDescent="0.25">
      <c r="A1" t="s">
        <v>67</v>
      </c>
    </row>
    <row r="2" spans="1:2" x14ac:dyDescent="0.25">
      <c r="A2" t="s">
        <v>72</v>
      </c>
      <c r="B2" s="19">
        <v>24</v>
      </c>
    </row>
    <row r="3" spans="1:2" x14ac:dyDescent="0.25">
      <c r="A3" t="s">
        <v>73</v>
      </c>
      <c r="B3" s="19">
        <v>24</v>
      </c>
    </row>
    <row r="4" spans="1:2" x14ac:dyDescent="0.25">
      <c r="A4" t="s">
        <v>74</v>
      </c>
      <c r="B4" s="19">
        <v>24</v>
      </c>
    </row>
    <row r="5" spans="1:2" x14ac:dyDescent="0.25">
      <c r="A5" s="2" t="s">
        <v>75</v>
      </c>
      <c r="B5" s="20">
        <v>24</v>
      </c>
    </row>
    <row r="6" spans="1:2" x14ac:dyDescent="0.25">
      <c r="A6" s="2" t="s">
        <v>76</v>
      </c>
      <c r="B6" s="20">
        <v>24</v>
      </c>
    </row>
    <row r="7" spans="1:2" x14ac:dyDescent="0.25">
      <c r="A7" t="s">
        <v>77</v>
      </c>
      <c r="B7" s="19">
        <v>24</v>
      </c>
    </row>
    <row r="8" spans="1:2" x14ac:dyDescent="0.25">
      <c r="A8" s="2" t="s">
        <v>78</v>
      </c>
      <c r="B8" s="20">
        <v>24</v>
      </c>
    </row>
    <row r="9" spans="1:2" x14ac:dyDescent="0.25">
      <c r="A9" s="2" t="s">
        <v>79</v>
      </c>
      <c r="B9" s="20">
        <v>24</v>
      </c>
    </row>
    <row r="10" spans="1:2" x14ac:dyDescent="0.25">
      <c r="A10" s="2" t="s">
        <v>80</v>
      </c>
      <c r="B10" s="20">
        <v>24</v>
      </c>
    </row>
    <row r="11" spans="1:2" x14ac:dyDescent="0.25">
      <c r="A11" t="s">
        <v>81</v>
      </c>
      <c r="B11" s="19">
        <v>24</v>
      </c>
    </row>
    <row r="12" spans="1:2" x14ac:dyDescent="0.25">
      <c r="A12" t="s">
        <v>82</v>
      </c>
      <c r="B12" s="19">
        <v>24</v>
      </c>
    </row>
    <row r="13" spans="1:2" x14ac:dyDescent="0.25">
      <c r="A13" t="s">
        <v>83</v>
      </c>
      <c r="B13" s="19">
        <v>24</v>
      </c>
    </row>
    <row r="14" spans="1:2" x14ac:dyDescent="0.25">
      <c r="A14" t="s">
        <v>84</v>
      </c>
      <c r="B14" s="19">
        <v>24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8CB95-C51B-459D-9A8F-A6E86FB37D9F}">
  <sheetPr codeName="Sheet36">
    <tabColor theme="7" tint="0.59999389629810485"/>
  </sheetPr>
  <dimension ref="A1:B14"/>
  <sheetViews>
    <sheetView workbookViewId="0">
      <selection activeCell="O32" sqref="O32"/>
    </sheetView>
  </sheetViews>
  <sheetFormatPr defaultRowHeight="15" x14ac:dyDescent="0.25"/>
  <cols>
    <col min="1" max="1" width="23" customWidth="1"/>
  </cols>
  <sheetData>
    <row r="1" spans="1:2" x14ac:dyDescent="0.25">
      <c r="A1" s="3" t="s">
        <v>119</v>
      </c>
      <c r="B1" s="3" t="s">
        <v>120</v>
      </c>
    </row>
    <row r="2" spans="1:2" x14ac:dyDescent="0.25">
      <c r="A2" s="3" t="s">
        <v>72</v>
      </c>
      <c r="B2" s="3">
        <v>0</v>
      </c>
    </row>
    <row r="3" spans="1:2" x14ac:dyDescent="0.25">
      <c r="A3" s="3" t="s">
        <v>73</v>
      </c>
      <c r="B3" s="3">
        <v>0</v>
      </c>
    </row>
    <row r="4" spans="1:2" x14ac:dyDescent="0.25">
      <c r="A4" s="3" t="s">
        <v>74</v>
      </c>
      <c r="B4" s="3">
        <v>0</v>
      </c>
    </row>
    <row r="5" spans="1:2" x14ac:dyDescent="0.25">
      <c r="A5" s="6" t="s">
        <v>75</v>
      </c>
      <c r="B5" s="3">
        <v>7500</v>
      </c>
    </row>
    <row r="6" spans="1:2" x14ac:dyDescent="0.25">
      <c r="A6" s="6" t="s">
        <v>76</v>
      </c>
      <c r="B6" s="3">
        <v>7500</v>
      </c>
    </row>
    <row r="7" spans="1:2" x14ac:dyDescent="0.25">
      <c r="A7" s="3" t="s">
        <v>77</v>
      </c>
      <c r="B7" s="3">
        <v>0</v>
      </c>
    </row>
    <row r="8" spans="1:2" x14ac:dyDescent="0.25">
      <c r="A8" s="6" t="s">
        <v>78</v>
      </c>
      <c r="B8" s="3">
        <v>7500</v>
      </c>
    </row>
    <row r="9" spans="1:2" x14ac:dyDescent="0.25">
      <c r="A9" s="6" t="s">
        <v>79</v>
      </c>
      <c r="B9" s="3">
        <v>5300</v>
      </c>
    </row>
    <row r="10" spans="1:2" x14ac:dyDescent="0.25">
      <c r="A10" s="6" t="s">
        <v>80</v>
      </c>
      <c r="B10" s="3">
        <v>5600</v>
      </c>
    </row>
    <row r="11" spans="1:2" x14ac:dyDescent="0.25">
      <c r="A11" s="3" t="s">
        <v>81</v>
      </c>
      <c r="B11" s="3">
        <v>0</v>
      </c>
    </row>
    <row r="12" spans="1:2" x14ac:dyDescent="0.25">
      <c r="A12" s="3" t="s">
        <v>82</v>
      </c>
      <c r="B12" s="3">
        <v>0</v>
      </c>
    </row>
    <row r="13" spans="1:2" x14ac:dyDescent="0.25">
      <c r="A13" s="3" t="s">
        <v>83</v>
      </c>
      <c r="B13" s="3">
        <v>0</v>
      </c>
    </row>
    <row r="14" spans="1:2" x14ac:dyDescent="0.25">
      <c r="A14" s="3" t="s">
        <v>84</v>
      </c>
      <c r="B14" s="3">
        <v>0</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5BFBE-E0A3-4918-A5A8-829C52192AB7}">
  <sheetPr codeName="Sheet66">
    <tabColor theme="7" tint="0.59999389629810485"/>
  </sheetPr>
  <dimension ref="A1:D14"/>
  <sheetViews>
    <sheetView workbookViewId="0">
      <selection activeCell="B6" sqref="B6:D6"/>
    </sheetView>
  </sheetViews>
  <sheetFormatPr defaultRowHeight="15" x14ac:dyDescent="0.25"/>
  <cols>
    <col min="1" max="1" width="23" customWidth="1"/>
    <col min="2" max="4" width="18" customWidth="1"/>
  </cols>
  <sheetData>
    <row r="1" spans="1:4" x14ac:dyDescent="0.25">
      <c r="A1" t="s">
        <v>97</v>
      </c>
      <c r="B1" s="31" t="s">
        <v>98</v>
      </c>
      <c r="C1" s="31" t="s">
        <v>99</v>
      </c>
      <c r="D1" s="31" t="s">
        <v>100</v>
      </c>
    </row>
    <row r="2" spans="1:4" x14ac:dyDescent="0.25">
      <c r="A2" t="s">
        <v>72</v>
      </c>
      <c r="B2">
        <v>0</v>
      </c>
      <c r="C2">
        <v>0</v>
      </c>
      <c r="D2">
        <v>0</v>
      </c>
    </row>
    <row r="3" spans="1:4" x14ac:dyDescent="0.25">
      <c r="A3" t="s">
        <v>73</v>
      </c>
      <c r="B3">
        <v>0</v>
      </c>
      <c r="C3">
        <v>0</v>
      </c>
      <c r="D3">
        <v>0</v>
      </c>
    </row>
    <row r="4" spans="1:4" x14ac:dyDescent="0.25">
      <c r="A4" t="s">
        <v>74</v>
      </c>
      <c r="B4">
        <v>0</v>
      </c>
      <c r="C4">
        <v>0</v>
      </c>
      <c r="D4">
        <v>0</v>
      </c>
    </row>
    <row r="5" spans="1:4" x14ac:dyDescent="0.25">
      <c r="A5" s="2" t="s">
        <v>75</v>
      </c>
      <c r="B5" s="2">
        <v>16.309999999999999</v>
      </c>
      <c r="C5" s="2">
        <v>0.26319999999999999</v>
      </c>
      <c r="D5" s="2">
        <v>544.9</v>
      </c>
    </row>
    <row r="6" spans="1:4" x14ac:dyDescent="0.25">
      <c r="A6" s="2" t="s">
        <v>76</v>
      </c>
      <c r="B6" s="2">
        <v>30.82</v>
      </c>
      <c r="C6" s="2">
        <v>0.2351</v>
      </c>
      <c r="D6" s="63">
        <v>482</v>
      </c>
    </row>
    <row r="7" spans="1:4" x14ac:dyDescent="0.25">
      <c r="A7" t="s">
        <v>77</v>
      </c>
      <c r="B7">
        <v>0</v>
      </c>
      <c r="C7">
        <v>0</v>
      </c>
      <c r="D7">
        <v>0</v>
      </c>
    </row>
    <row r="8" spans="1:4" x14ac:dyDescent="0.25">
      <c r="A8" s="2" t="s">
        <v>78</v>
      </c>
      <c r="B8" s="2">
        <v>18.59</v>
      </c>
      <c r="C8" s="2">
        <v>0.215</v>
      </c>
      <c r="D8" s="2">
        <v>386.8</v>
      </c>
    </row>
    <row r="9" spans="1:4" x14ac:dyDescent="0.25">
      <c r="A9" s="2" t="s">
        <v>79</v>
      </c>
      <c r="B9" s="2">
        <v>7.2830000000000004</v>
      </c>
      <c r="C9" s="2">
        <v>0.39989999999999998</v>
      </c>
      <c r="D9" s="2">
        <v>275.8</v>
      </c>
    </row>
    <row r="10" spans="1:4" x14ac:dyDescent="0.25">
      <c r="A10" s="2" t="s">
        <v>80</v>
      </c>
      <c r="B10" s="2">
        <v>3.581</v>
      </c>
      <c r="C10" s="2">
        <v>0.51029999999999998</v>
      </c>
      <c r="D10" s="63">
        <v>244.61</v>
      </c>
    </row>
    <row r="11" spans="1:4" x14ac:dyDescent="0.25">
      <c r="A11" t="s">
        <v>81</v>
      </c>
      <c r="B11">
        <v>0</v>
      </c>
      <c r="C11">
        <v>0</v>
      </c>
      <c r="D11">
        <v>0</v>
      </c>
    </row>
    <row r="12" spans="1:4" x14ac:dyDescent="0.25">
      <c r="A12" t="s">
        <v>82</v>
      </c>
      <c r="B12">
        <v>0</v>
      </c>
      <c r="C12">
        <v>0</v>
      </c>
      <c r="D12">
        <v>0</v>
      </c>
    </row>
    <row r="13" spans="1:4" x14ac:dyDescent="0.25">
      <c r="A13" t="s">
        <v>83</v>
      </c>
      <c r="B13">
        <v>0</v>
      </c>
      <c r="C13">
        <v>0</v>
      </c>
      <c r="D13">
        <v>0</v>
      </c>
    </row>
    <row r="14" spans="1:4" x14ac:dyDescent="0.25">
      <c r="A14" t="s">
        <v>84</v>
      </c>
      <c r="B14">
        <v>0</v>
      </c>
      <c r="C14">
        <v>0</v>
      </c>
      <c r="D14">
        <v>0</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07C3E-BCB3-4183-8B76-141D02505603}">
  <sheetPr codeName="Sheet67">
    <tabColor theme="7" tint="0.59999389629810485"/>
  </sheetPr>
  <dimension ref="A1:C14"/>
  <sheetViews>
    <sheetView workbookViewId="0"/>
  </sheetViews>
  <sheetFormatPr defaultRowHeight="15" x14ac:dyDescent="0.25"/>
  <cols>
    <col min="1" max="1" width="23" customWidth="1"/>
    <col min="2" max="3" width="18" customWidth="1"/>
  </cols>
  <sheetData>
    <row r="1" spans="1:3" x14ac:dyDescent="0.25">
      <c r="A1" t="s">
        <v>143</v>
      </c>
      <c r="B1" s="31" t="s">
        <v>98</v>
      </c>
      <c r="C1" s="31" t="s">
        <v>99</v>
      </c>
    </row>
    <row r="2" spans="1:3" x14ac:dyDescent="0.25">
      <c r="A2" t="s">
        <v>72</v>
      </c>
      <c r="B2" s="19">
        <v>0</v>
      </c>
      <c r="C2" s="19">
        <v>0</v>
      </c>
    </row>
    <row r="3" spans="1:3" x14ac:dyDescent="0.25">
      <c r="A3" t="s">
        <v>73</v>
      </c>
      <c r="B3" s="19">
        <v>0</v>
      </c>
      <c r="C3" s="19">
        <v>0</v>
      </c>
    </row>
    <row r="4" spans="1:3" x14ac:dyDescent="0.25">
      <c r="A4" t="s">
        <v>74</v>
      </c>
      <c r="B4" s="19">
        <v>0</v>
      </c>
      <c r="C4" s="19">
        <v>0</v>
      </c>
    </row>
    <row r="5" spans="1:3" x14ac:dyDescent="0.25">
      <c r="A5" s="2" t="s">
        <v>75</v>
      </c>
      <c r="B5" s="52">
        <v>2.305E-88</v>
      </c>
      <c r="C5">
        <v>31.7</v>
      </c>
    </row>
    <row r="6" spans="1:3" x14ac:dyDescent="0.25">
      <c r="A6" s="2" t="s">
        <v>76</v>
      </c>
      <c r="B6" s="52">
        <v>1.4130000000000001E-58</v>
      </c>
      <c r="C6">
        <v>21.19</v>
      </c>
    </row>
    <row r="7" spans="1:3" x14ac:dyDescent="0.25">
      <c r="A7" t="s">
        <v>77</v>
      </c>
      <c r="B7" s="19">
        <v>0</v>
      </c>
      <c r="C7" s="19">
        <v>0</v>
      </c>
    </row>
    <row r="8" spans="1:3" x14ac:dyDescent="0.25">
      <c r="A8" s="2" t="s">
        <v>78</v>
      </c>
      <c r="B8" s="52">
        <v>1.7489999999999999E-65</v>
      </c>
      <c r="C8">
        <v>24.9</v>
      </c>
    </row>
    <row r="9" spans="1:3" x14ac:dyDescent="0.25">
      <c r="A9" s="2" t="s">
        <v>79</v>
      </c>
      <c r="B9" s="52">
        <v>9.1359999999999998E-18</v>
      </c>
      <c r="C9">
        <v>7.0919999999999996</v>
      </c>
    </row>
    <row r="10" spans="1:3" x14ac:dyDescent="0.25">
      <c r="A10" s="2" t="s">
        <v>80</v>
      </c>
      <c r="B10" s="52">
        <v>3.4859999999999998E-36</v>
      </c>
      <c r="C10">
        <v>14.78</v>
      </c>
    </row>
    <row r="11" spans="1:3" x14ac:dyDescent="0.25">
      <c r="A11" t="s">
        <v>81</v>
      </c>
      <c r="B11" s="19">
        <v>0</v>
      </c>
      <c r="C11" s="19">
        <v>0</v>
      </c>
    </row>
    <row r="12" spans="1:3" x14ac:dyDescent="0.25">
      <c r="A12" t="s">
        <v>82</v>
      </c>
      <c r="B12" s="19">
        <v>0</v>
      </c>
      <c r="C12" s="19">
        <v>0</v>
      </c>
    </row>
    <row r="13" spans="1:3" x14ac:dyDescent="0.25">
      <c r="A13" t="s">
        <v>83</v>
      </c>
      <c r="B13" s="19">
        <v>0</v>
      </c>
      <c r="C13" s="19">
        <v>0</v>
      </c>
    </row>
    <row r="14" spans="1:3" x14ac:dyDescent="0.25">
      <c r="A14" t="s">
        <v>84</v>
      </c>
      <c r="B14" s="19">
        <v>0</v>
      </c>
      <c r="C14" s="19">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B50EF-4379-435F-9CB1-837EEE926628}">
  <sheetPr codeName="Sheet85">
    <tabColor rgb="FF7030A0"/>
  </sheetPr>
  <dimension ref="A1:M14"/>
  <sheetViews>
    <sheetView workbookViewId="0">
      <selection activeCell="G31" sqref="G31"/>
    </sheetView>
  </sheetViews>
  <sheetFormatPr defaultRowHeight="15" x14ac:dyDescent="0.25"/>
  <cols>
    <col min="1" max="1" width="23" customWidth="1"/>
    <col min="10" max="10" width="9.5546875" customWidth="1"/>
  </cols>
  <sheetData>
    <row r="1" spans="1:13" x14ac:dyDescent="0.25">
      <c r="A1" s="14" t="s">
        <v>166</v>
      </c>
      <c r="B1" s="3" t="s">
        <v>1</v>
      </c>
      <c r="C1" s="3" t="s">
        <v>2</v>
      </c>
      <c r="D1" s="3" t="s">
        <v>3</v>
      </c>
      <c r="E1" s="3" t="s">
        <v>4</v>
      </c>
      <c r="F1" s="3" t="s">
        <v>5</v>
      </c>
      <c r="G1" s="3" t="s">
        <v>6</v>
      </c>
      <c r="H1" s="3" t="s">
        <v>7</v>
      </c>
      <c r="I1" s="3" t="s">
        <v>8</v>
      </c>
      <c r="J1" s="3" t="s">
        <v>9</v>
      </c>
      <c r="K1" s="3" t="s">
        <v>10</v>
      </c>
      <c r="L1" s="3" t="s">
        <v>11</v>
      </c>
      <c r="M1" s="3" t="s">
        <v>12</v>
      </c>
    </row>
    <row r="2" spans="1:13" x14ac:dyDescent="0.25">
      <c r="A2" s="3" t="s">
        <v>72</v>
      </c>
      <c r="B2" s="12">
        <v>0</v>
      </c>
      <c r="C2" s="12">
        <v>0</v>
      </c>
      <c r="D2" s="12">
        <v>0</v>
      </c>
      <c r="E2" s="12">
        <v>0</v>
      </c>
      <c r="F2" s="12">
        <v>0</v>
      </c>
      <c r="G2" s="12">
        <v>0</v>
      </c>
      <c r="H2" s="12">
        <v>0</v>
      </c>
      <c r="I2" s="12">
        <v>0</v>
      </c>
      <c r="J2" s="12">
        <v>0</v>
      </c>
      <c r="K2" s="12">
        <v>0</v>
      </c>
      <c r="L2" s="12">
        <v>0</v>
      </c>
      <c r="M2" s="12">
        <v>0</v>
      </c>
    </row>
    <row r="3" spans="1:13" x14ac:dyDescent="0.25">
      <c r="A3" s="3" t="s">
        <v>73</v>
      </c>
      <c r="B3" s="12">
        <v>0</v>
      </c>
      <c r="C3" s="12">
        <v>0</v>
      </c>
      <c r="D3" s="12">
        <v>0</v>
      </c>
      <c r="E3" s="12">
        <v>0</v>
      </c>
      <c r="F3" s="12">
        <v>0</v>
      </c>
      <c r="G3" s="12">
        <v>0</v>
      </c>
      <c r="H3" s="12">
        <v>0</v>
      </c>
      <c r="I3" s="12">
        <v>0</v>
      </c>
      <c r="J3" s="12">
        <v>0</v>
      </c>
      <c r="K3" s="12">
        <v>0</v>
      </c>
      <c r="L3" s="12">
        <v>0</v>
      </c>
      <c r="M3" s="12">
        <v>0</v>
      </c>
    </row>
    <row r="4" spans="1:13" x14ac:dyDescent="0.25">
      <c r="A4" s="3" t="s">
        <v>74</v>
      </c>
      <c r="B4" s="12">
        <v>0</v>
      </c>
      <c r="C4" s="12">
        <v>0</v>
      </c>
      <c r="D4" s="12">
        <v>0</v>
      </c>
      <c r="E4" s="12">
        <v>0</v>
      </c>
      <c r="F4" s="12">
        <v>0</v>
      </c>
      <c r="G4" s="12">
        <v>0</v>
      </c>
      <c r="H4" s="12">
        <v>0</v>
      </c>
      <c r="I4" s="12">
        <v>0</v>
      </c>
      <c r="J4" s="12">
        <v>0</v>
      </c>
      <c r="K4" s="12">
        <v>0</v>
      </c>
      <c r="L4" s="12">
        <v>0</v>
      </c>
      <c r="M4" s="12">
        <v>0</v>
      </c>
    </row>
    <row r="5" spans="1:13" x14ac:dyDescent="0.25">
      <c r="A5" s="6" t="s">
        <v>75</v>
      </c>
      <c r="B5" s="74">
        <v>78.943626276599318</v>
      </c>
      <c r="C5" s="74">
        <v>76.932845059167562</v>
      </c>
      <c r="D5" s="74">
        <v>79.429135333529558</v>
      </c>
      <c r="E5" s="74">
        <v>79.286265500699969</v>
      </c>
      <c r="F5" s="74">
        <v>71.374327732882307</v>
      </c>
      <c r="G5" s="74">
        <v>83.126732832624114</v>
      </c>
      <c r="H5" s="74">
        <v>79.230330135604092</v>
      </c>
      <c r="I5" s="74">
        <v>78.421660846077287</v>
      </c>
      <c r="J5" s="74">
        <v>75.855485149704208</v>
      </c>
      <c r="K5" s="74">
        <v>78.398532286100703</v>
      </c>
      <c r="L5" s="74">
        <v>78.374396213401937</v>
      </c>
      <c r="M5" s="74">
        <v>76.371650799818184</v>
      </c>
    </row>
    <row r="6" spans="1:13" x14ac:dyDescent="0.25">
      <c r="A6" s="6" t="s">
        <v>76</v>
      </c>
      <c r="B6" s="74">
        <v>79.262801714898728</v>
      </c>
      <c r="C6" s="74">
        <v>76.932845059167562</v>
      </c>
      <c r="D6" s="74">
        <v>79.429135333529558</v>
      </c>
      <c r="E6" s="74">
        <v>79.286265500699969</v>
      </c>
      <c r="F6" s="74">
        <v>71.374327732882307</v>
      </c>
      <c r="G6" s="74">
        <v>83.126732832624114</v>
      </c>
      <c r="H6" s="74">
        <v>79.181534910127709</v>
      </c>
      <c r="I6" s="74">
        <v>79.080547778549558</v>
      </c>
      <c r="J6" s="74">
        <v>76.444030857063325</v>
      </c>
      <c r="K6" s="74">
        <v>79.007352372586126</v>
      </c>
      <c r="L6" s="74">
        <v>79.293261091098685</v>
      </c>
      <c r="M6" s="74">
        <v>76.892409241011833</v>
      </c>
    </row>
    <row r="7" spans="1:13" x14ac:dyDescent="0.25">
      <c r="A7" s="3" t="s">
        <v>77</v>
      </c>
      <c r="B7" s="12">
        <v>0</v>
      </c>
      <c r="C7" s="12">
        <v>0</v>
      </c>
      <c r="D7" s="12">
        <v>0</v>
      </c>
      <c r="E7" s="12">
        <v>0</v>
      </c>
      <c r="F7" s="12">
        <v>0</v>
      </c>
      <c r="G7" s="12">
        <v>0</v>
      </c>
      <c r="H7" s="12">
        <v>0</v>
      </c>
      <c r="I7" s="12">
        <v>0</v>
      </c>
      <c r="J7" s="12">
        <v>0</v>
      </c>
      <c r="K7" s="12">
        <v>0</v>
      </c>
      <c r="L7" s="12">
        <v>0</v>
      </c>
      <c r="M7" s="12">
        <v>0</v>
      </c>
    </row>
    <row r="8" spans="1:13" x14ac:dyDescent="0.25">
      <c r="A8" s="6" t="s">
        <v>78</v>
      </c>
      <c r="B8" s="74">
        <v>105.0031062214737</v>
      </c>
      <c r="C8" s="74">
        <v>101.87401613599326</v>
      </c>
      <c r="D8" s="74">
        <v>106.13377439249443</v>
      </c>
      <c r="E8" s="74">
        <v>105.71672866142244</v>
      </c>
      <c r="F8" s="74">
        <v>95.265586099377273</v>
      </c>
      <c r="G8" s="74">
        <v>105.92745310423163</v>
      </c>
      <c r="H8" s="74">
        <v>102.28764308226863</v>
      </c>
      <c r="I8" s="74">
        <v>104.78490128653492</v>
      </c>
      <c r="J8" s="74">
        <v>101.38107856175971</v>
      </c>
      <c r="K8" s="74">
        <v>104.82458152754329</v>
      </c>
      <c r="L8" s="74">
        <v>105.18504094249198</v>
      </c>
      <c r="M8" s="74">
        <v>101.72169170522268</v>
      </c>
    </row>
    <row r="9" spans="1:13" x14ac:dyDescent="0.25">
      <c r="A9" s="6" t="s">
        <v>79</v>
      </c>
      <c r="B9" s="74">
        <v>112.63424898162677</v>
      </c>
      <c r="C9" s="74">
        <v>108.93375403270703</v>
      </c>
      <c r="D9" s="74">
        <v>112.69090690562373</v>
      </c>
      <c r="E9" s="74">
        <v>112.61524125614649</v>
      </c>
      <c r="F9" s="74">
        <v>102.55423188235471</v>
      </c>
      <c r="G9" s="74">
        <v>114.19156112163009</v>
      </c>
      <c r="H9" s="74">
        <v>109.86078065035173</v>
      </c>
      <c r="I9" s="74">
        <v>112.49100842909233</v>
      </c>
      <c r="J9" s="74">
        <v>108.75319447727014</v>
      </c>
      <c r="K9" s="74">
        <v>112.38897064207097</v>
      </c>
      <c r="L9" s="74">
        <v>112.5263470218501</v>
      </c>
      <c r="M9" s="74">
        <v>109.0653330536534</v>
      </c>
    </row>
    <row r="10" spans="1:13" x14ac:dyDescent="0.25">
      <c r="A10" s="6" t="s">
        <v>80</v>
      </c>
      <c r="B10" s="74">
        <v>112.36242954658779</v>
      </c>
      <c r="C10" s="74">
        <v>108.87085119826735</v>
      </c>
      <c r="D10" s="74">
        <v>112.69665711799874</v>
      </c>
      <c r="E10" s="74">
        <v>112.6152412561465</v>
      </c>
      <c r="F10" s="74">
        <v>102.55423188235471</v>
      </c>
      <c r="G10" s="74">
        <v>114.19156112163009</v>
      </c>
      <c r="H10" s="74">
        <v>109.68475274201839</v>
      </c>
      <c r="I10" s="74">
        <v>112.10742885909235</v>
      </c>
      <c r="J10" s="74">
        <v>108.23273815957117</v>
      </c>
      <c r="K10" s="74">
        <v>111.84397313395749</v>
      </c>
      <c r="L10" s="74">
        <v>111.91995233359471</v>
      </c>
      <c r="M10" s="74">
        <v>108.69411304418399</v>
      </c>
    </row>
    <row r="11" spans="1:13" x14ac:dyDescent="0.25">
      <c r="A11" s="3" t="s">
        <v>81</v>
      </c>
      <c r="B11" s="12">
        <v>0</v>
      </c>
      <c r="C11" s="12">
        <v>0</v>
      </c>
      <c r="D11" s="12">
        <v>0</v>
      </c>
      <c r="E11" s="12">
        <v>0</v>
      </c>
      <c r="F11" s="12">
        <v>0</v>
      </c>
      <c r="G11" s="12">
        <v>0</v>
      </c>
      <c r="H11" s="12">
        <v>0</v>
      </c>
      <c r="I11" s="12">
        <v>0</v>
      </c>
      <c r="J11" s="12">
        <v>0</v>
      </c>
      <c r="K11" s="12">
        <v>0</v>
      </c>
      <c r="L11" s="12">
        <v>0</v>
      </c>
      <c r="M11" s="12">
        <v>0</v>
      </c>
    </row>
    <row r="12" spans="1:13" x14ac:dyDescent="0.25">
      <c r="A12" s="3" t="s">
        <v>82</v>
      </c>
      <c r="B12" s="12">
        <v>0</v>
      </c>
      <c r="C12" s="12">
        <v>0</v>
      </c>
      <c r="D12" s="12">
        <v>0</v>
      </c>
      <c r="E12" s="12">
        <v>0</v>
      </c>
      <c r="F12" s="12">
        <v>0</v>
      </c>
      <c r="G12" s="12">
        <v>0</v>
      </c>
      <c r="H12" s="12">
        <v>0</v>
      </c>
      <c r="I12" s="12">
        <v>0</v>
      </c>
      <c r="J12" s="12">
        <v>0</v>
      </c>
      <c r="K12" s="12">
        <v>0</v>
      </c>
      <c r="L12" s="12">
        <v>0</v>
      </c>
      <c r="M12" s="12">
        <v>0</v>
      </c>
    </row>
    <row r="13" spans="1:13" x14ac:dyDescent="0.25">
      <c r="A13" s="3" t="s">
        <v>83</v>
      </c>
      <c r="B13" s="12">
        <v>0</v>
      </c>
      <c r="C13" s="12">
        <v>0</v>
      </c>
      <c r="D13" s="12">
        <v>0</v>
      </c>
      <c r="E13" s="12">
        <v>0</v>
      </c>
      <c r="F13" s="12">
        <v>0</v>
      </c>
      <c r="G13" s="12">
        <v>0</v>
      </c>
      <c r="H13" s="12">
        <v>0</v>
      </c>
      <c r="I13" s="12">
        <v>0</v>
      </c>
      <c r="J13" s="12">
        <v>0</v>
      </c>
      <c r="K13" s="12">
        <v>0</v>
      </c>
      <c r="L13" s="12">
        <v>0</v>
      </c>
      <c r="M13" s="12">
        <v>0</v>
      </c>
    </row>
    <row r="14" spans="1:13" x14ac:dyDescent="0.25">
      <c r="A14" s="3"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1ADA-A9A2-4E6A-AA3E-52C96301BA77}">
  <sheetPr codeName="Sheet86">
    <tabColor rgb="FF7030A0"/>
  </sheetPr>
  <dimension ref="A1:M14"/>
  <sheetViews>
    <sheetView workbookViewId="0">
      <selection activeCell="G31" sqref="G31"/>
    </sheetView>
  </sheetViews>
  <sheetFormatPr defaultRowHeight="15" x14ac:dyDescent="0.25"/>
  <cols>
    <col min="1" max="1" width="23" customWidth="1"/>
    <col min="10" max="10" width="9.5546875" customWidth="1"/>
  </cols>
  <sheetData>
    <row r="1" spans="1:13" x14ac:dyDescent="0.25">
      <c r="A1" s="14" t="s">
        <v>168</v>
      </c>
      <c r="B1" s="3" t="s">
        <v>1</v>
      </c>
      <c r="C1" s="3" t="s">
        <v>2</v>
      </c>
      <c r="D1" s="3" t="s">
        <v>3</v>
      </c>
      <c r="E1" s="3" t="s">
        <v>4</v>
      </c>
      <c r="F1" s="3" t="s">
        <v>5</v>
      </c>
      <c r="G1" s="3" t="s">
        <v>6</v>
      </c>
      <c r="H1" s="3" t="s">
        <v>7</v>
      </c>
      <c r="I1" s="3" t="s">
        <v>8</v>
      </c>
      <c r="J1" s="3" t="s">
        <v>9</v>
      </c>
      <c r="K1" s="3" t="s">
        <v>10</v>
      </c>
      <c r="L1" s="3" t="s">
        <v>11</v>
      </c>
      <c r="M1" s="3" t="s">
        <v>12</v>
      </c>
    </row>
    <row r="2" spans="1:13" x14ac:dyDescent="0.25">
      <c r="A2" s="3" t="s">
        <v>72</v>
      </c>
      <c r="B2" s="12">
        <v>0</v>
      </c>
      <c r="C2" s="12">
        <v>0</v>
      </c>
      <c r="D2" s="12">
        <v>0</v>
      </c>
      <c r="E2" s="12">
        <v>0</v>
      </c>
      <c r="F2" s="12">
        <v>0</v>
      </c>
      <c r="G2" s="12">
        <v>0</v>
      </c>
      <c r="H2" s="12">
        <v>0</v>
      </c>
      <c r="I2" s="12">
        <v>0</v>
      </c>
      <c r="J2" s="12">
        <v>0</v>
      </c>
      <c r="K2" s="12">
        <v>0</v>
      </c>
      <c r="L2" s="12">
        <v>0</v>
      </c>
      <c r="M2" s="12">
        <v>0</v>
      </c>
    </row>
    <row r="3" spans="1:13" x14ac:dyDescent="0.25">
      <c r="A3" s="3" t="s">
        <v>73</v>
      </c>
      <c r="B3" s="12">
        <v>0</v>
      </c>
      <c r="C3" s="12">
        <v>0</v>
      </c>
      <c r="D3" s="12">
        <v>0</v>
      </c>
      <c r="E3" s="12">
        <v>0</v>
      </c>
      <c r="F3" s="12">
        <v>0</v>
      </c>
      <c r="G3" s="12">
        <v>0</v>
      </c>
      <c r="H3" s="12">
        <v>0</v>
      </c>
      <c r="I3" s="12">
        <v>0</v>
      </c>
      <c r="J3" s="12">
        <v>0</v>
      </c>
      <c r="K3" s="12">
        <v>0</v>
      </c>
      <c r="L3" s="12">
        <v>0</v>
      </c>
      <c r="M3" s="12">
        <v>0</v>
      </c>
    </row>
    <row r="4" spans="1:13" x14ac:dyDescent="0.25">
      <c r="A4" s="3" t="s">
        <v>74</v>
      </c>
      <c r="B4" s="12">
        <v>0</v>
      </c>
      <c r="C4" s="12">
        <v>0</v>
      </c>
      <c r="D4" s="12">
        <v>0</v>
      </c>
      <c r="E4" s="12">
        <v>0</v>
      </c>
      <c r="F4" s="12">
        <v>0</v>
      </c>
      <c r="G4" s="12">
        <v>0</v>
      </c>
      <c r="H4" s="12">
        <v>0</v>
      </c>
      <c r="I4" s="12">
        <v>0</v>
      </c>
      <c r="J4" s="12">
        <v>0</v>
      </c>
      <c r="K4" s="12">
        <v>0</v>
      </c>
      <c r="L4" s="12">
        <v>0</v>
      </c>
      <c r="M4" s="12">
        <v>0</v>
      </c>
    </row>
    <row r="5" spans="1:13" x14ac:dyDescent="0.25">
      <c r="A5" s="6" t="s">
        <v>75</v>
      </c>
      <c r="B5" s="74">
        <v>17.234759999999994</v>
      </c>
      <c r="C5" s="74">
        <v>16.678799999999995</v>
      </c>
      <c r="D5" s="74">
        <v>17.234759999999994</v>
      </c>
      <c r="E5" s="74">
        <v>17.234759999999994</v>
      </c>
      <c r="F5" s="74">
        <v>15.566879999999998</v>
      </c>
      <c r="G5" s="74">
        <v>17.234759999999994</v>
      </c>
      <c r="H5" s="74">
        <v>16.678799999999999</v>
      </c>
      <c r="I5" s="74">
        <v>17.234759999999994</v>
      </c>
      <c r="J5" s="74">
        <v>16.678799999999995</v>
      </c>
      <c r="K5" s="74">
        <v>17.234759999999991</v>
      </c>
      <c r="L5" s="74">
        <v>17.234759999999994</v>
      </c>
      <c r="M5" s="74">
        <v>16.678799999999995</v>
      </c>
    </row>
    <row r="6" spans="1:13" x14ac:dyDescent="0.25">
      <c r="A6" s="6" t="s">
        <v>76</v>
      </c>
      <c r="B6" s="74">
        <v>15.824879999999993</v>
      </c>
      <c r="C6" s="74">
        <v>15.433379928493274</v>
      </c>
      <c r="D6" s="74">
        <v>15.934181731388303</v>
      </c>
      <c r="E6" s="74">
        <v>15.905572717668255</v>
      </c>
      <c r="F6" s="74">
        <v>14.318449756343416</v>
      </c>
      <c r="G6" s="74">
        <v>16.674509088341587</v>
      </c>
      <c r="H6" s="74">
        <v>15.883628856939655</v>
      </c>
      <c r="I6" s="74">
        <v>15.824879999999997</v>
      </c>
      <c r="J6" s="74">
        <v>15.314399999999994</v>
      </c>
      <c r="K6" s="74">
        <v>15.824879999999993</v>
      </c>
      <c r="L6" s="74">
        <v>15.824879999999997</v>
      </c>
      <c r="M6" s="74">
        <v>15.314399999999997</v>
      </c>
    </row>
    <row r="7" spans="1:13" x14ac:dyDescent="0.25">
      <c r="A7" s="3" t="s">
        <v>77</v>
      </c>
      <c r="B7" s="12">
        <v>0</v>
      </c>
      <c r="C7" s="12">
        <v>0</v>
      </c>
      <c r="D7" s="12">
        <v>0</v>
      </c>
      <c r="E7" s="12">
        <v>0</v>
      </c>
      <c r="F7" s="12">
        <v>0</v>
      </c>
      <c r="G7" s="12">
        <v>0</v>
      </c>
      <c r="H7" s="12">
        <v>0</v>
      </c>
      <c r="I7" s="12">
        <v>0</v>
      </c>
      <c r="J7" s="12">
        <v>0</v>
      </c>
      <c r="K7" s="12">
        <v>0</v>
      </c>
      <c r="L7" s="12">
        <v>0</v>
      </c>
      <c r="M7" s="12">
        <v>0</v>
      </c>
    </row>
    <row r="8" spans="1:13" x14ac:dyDescent="0.25">
      <c r="A8" s="6" t="s">
        <v>78</v>
      </c>
      <c r="B8" s="74">
        <v>21.896663999999994</v>
      </c>
      <c r="C8" s="74">
        <v>21.190319999999996</v>
      </c>
      <c r="D8" s="74">
        <v>21.896663999999994</v>
      </c>
      <c r="E8" s="74">
        <v>21.896663999999998</v>
      </c>
      <c r="F8" s="74">
        <v>19.777631999999993</v>
      </c>
      <c r="G8" s="74">
        <v>21.896664000000001</v>
      </c>
      <c r="H8" s="74">
        <v>21.19032</v>
      </c>
      <c r="I8" s="74">
        <v>21.896663999999994</v>
      </c>
      <c r="J8" s="74">
        <v>21.190319999999996</v>
      </c>
      <c r="K8" s="74">
        <v>21.896663999999994</v>
      </c>
      <c r="L8" s="74">
        <v>21.896663999999994</v>
      </c>
      <c r="M8" s="74">
        <v>21.190319999999996</v>
      </c>
    </row>
    <row r="9" spans="1:13" x14ac:dyDescent="0.25">
      <c r="A9" s="6" t="s">
        <v>79</v>
      </c>
      <c r="B9" s="74">
        <v>31.570895999999983</v>
      </c>
      <c r="C9" s="74">
        <v>30.552479999999985</v>
      </c>
      <c r="D9" s="74">
        <v>31.57089599999998</v>
      </c>
      <c r="E9" s="74">
        <v>31.570895999999983</v>
      </c>
      <c r="F9" s="74">
        <v>28.515647999999988</v>
      </c>
      <c r="G9" s="74">
        <v>31.570895999999987</v>
      </c>
      <c r="H9" s="74">
        <v>30.552479999999985</v>
      </c>
      <c r="I9" s="74">
        <v>31.570895999999983</v>
      </c>
      <c r="J9" s="74">
        <v>30.552479999999985</v>
      </c>
      <c r="K9" s="74">
        <v>31.57089599999998</v>
      </c>
      <c r="L9" s="74">
        <v>31.57089599999998</v>
      </c>
      <c r="M9" s="74">
        <v>30.552479999999978</v>
      </c>
    </row>
    <row r="10" spans="1:13" x14ac:dyDescent="0.25">
      <c r="A10" s="6" t="s">
        <v>80</v>
      </c>
      <c r="B10" s="74">
        <v>7.6795680000000006</v>
      </c>
      <c r="C10" s="74">
        <v>7.4318400000000002</v>
      </c>
      <c r="D10" s="74">
        <v>7.6795680000000006</v>
      </c>
      <c r="E10" s="74">
        <v>7.7284790102877157</v>
      </c>
      <c r="F10" s="74">
        <v>7.0423908889351354</v>
      </c>
      <c r="G10" s="74">
        <v>7.8414129816067479</v>
      </c>
      <c r="H10" s="74">
        <v>7.5320765159618146</v>
      </c>
      <c r="I10" s="74">
        <v>7.6986496815888996</v>
      </c>
      <c r="J10" s="74">
        <v>7.4318400000000002</v>
      </c>
      <c r="K10" s="74">
        <v>7.6795679999999997</v>
      </c>
      <c r="L10" s="74">
        <v>7.6795679999999997</v>
      </c>
      <c r="M10" s="74">
        <v>7.4318400000000002</v>
      </c>
    </row>
    <row r="11" spans="1:13" x14ac:dyDescent="0.25">
      <c r="A11" s="3" t="s">
        <v>81</v>
      </c>
      <c r="B11" s="12">
        <v>0</v>
      </c>
      <c r="C11" s="12">
        <v>0</v>
      </c>
      <c r="D11" s="12">
        <v>0</v>
      </c>
      <c r="E11" s="12">
        <v>0</v>
      </c>
      <c r="F11" s="12">
        <v>0</v>
      </c>
      <c r="G11" s="12">
        <v>0</v>
      </c>
      <c r="H11" s="12">
        <v>0</v>
      </c>
      <c r="I11" s="12">
        <v>0</v>
      </c>
      <c r="J11" s="12">
        <v>0</v>
      </c>
      <c r="K11" s="12">
        <v>0</v>
      </c>
      <c r="L11" s="12">
        <v>0</v>
      </c>
      <c r="M11" s="12">
        <v>0</v>
      </c>
    </row>
    <row r="12" spans="1:13" x14ac:dyDescent="0.25">
      <c r="A12" s="3" t="s">
        <v>82</v>
      </c>
      <c r="B12" s="12">
        <v>0</v>
      </c>
      <c r="C12" s="12">
        <v>0</v>
      </c>
      <c r="D12" s="12">
        <v>0</v>
      </c>
      <c r="E12" s="12">
        <v>0</v>
      </c>
      <c r="F12" s="12">
        <v>0</v>
      </c>
      <c r="G12" s="12">
        <v>0</v>
      </c>
      <c r="H12" s="12">
        <v>0</v>
      </c>
      <c r="I12" s="12">
        <v>0</v>
      </c>
      <c r="J12" s="12">
        <v>0</v>
      </c>
      <c r="K12" s="12">
        <v>0</v>
      </c>
      <c r="L12" s="12">
        <v>0</v>
      </c>
      <c r="M12" s="12">
        <v>0</v>
      </c>
    </row>
    <row r="13" spans="1:13" x14ac:dyDescent="0.25">
      <c r="A13" s="3" t="s">
        <v>83</v>
      </c>
      <c r="B13" s="12">
        <v>0</v>
      </c>
      <c r="C13" s="12">
        <v>0</v>
      </c>
      <c r="D13" s="12">
        <v>0</v>
      </c>
      <c r="E13" s="12">
        <v>0</v>
      </c>
      <c r="F13" s="12">
        <v>0</v>
      </c>
      <c r="G13" s="12">
        <v>0</v>
      </c>
      <c r="H13" s="12">
        <v>0</v>
      </c>
      <c r="I13" s="12">
        <v>0</v>
      </c>
      <c r="J13" s="12">
        <v>0</v>
      </c>
      <c r="K13" s="12">
        <v>0</v>
      </c>
      <c r="L13" s="12">
        <v>0</v>
      </c>
      <c r="M13" s="12">
        <v>0</v>
      </c>
    </row>
    <row r="14" spans="1:13" x14ac:dyDescent="0.25">
      <c r="A14" s="3"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27DCD-7D8B-48D4-A438-F005AE4DE87D}">
  <sheetPr codeName="Sheet88">
    <tabColor rgb="FF7030A0"/>
  </sheetPr>
  <dimension ref="A1:M14"/>
  <sheetViews>
    <sheetView workbookViewId="0">
      <selection activeCell="G31" sqref="G31"/>
    </sheetView>
  </sheetViews>
  <sheetFormatPr defaultRowHeight="15" x14ac:dyDescent="0.25"/>
  <cols>
    <col min="1" max="1" width="23" customWidth="1"/>
    <col min="10" max="10" width="9.5546875" customWidth="1"/>
  </cols>
  <sheetData>
    <row r="1" spans="1:13" x14ac:dyDescent="0.25">
      <c r="A1" s="14" t="s">
        <v>167</v>
      </c>
      <c r="B1" s="3" t="s">
        <v>1</v>
      </c>
      <c r="C1" s="3" t="s">
        <v>2</v>
      </c>
      <c r="D1" s="3" t="s">
        <v>3</v>
      </c>
      <c r="E1" s="3" t="s">
        <v>4</v>
      </c>
      <c r="F1" s="3" t="s">
        <v>5</v>
      </c>
      <c r="G1" s="3" t="s">
        <v>6</v>
      </c>
      <c r="H1" s="3" t="s">
        <v>7</v>
      </c>
      <c r="I1" s="3" t="s">
        <v>8</v>
      </c>
      <c r="J1" s="3" t="s">
        <v>9</v>
      </c>
      <c r="K1" s="3" t="s">
        <v>10</v>
      </c>
      <c r="L1" s="3" t="s">
        <v>11</v>
      </c>
      <c r="M1" s="3" t="s">
        <v>12</v>
      </c>
    </row>
    <row r="2" spans="1:13" x14ac:dyDescent="0.25">
      <c r="A2" s="3" t="s">
        <v>72</v>
      </c>
      <c r="B2" s="12">
        <v>0</v>
      </c>
      <c r="C2" s="12">
        <v>0</v>
      </c>
      <c r="D2" s="12">
        <v>0</v>
      </c>
      <c r="E2" s="12">
        <v>0</v>
      </c>
      <c r="F2" s="12">
        <v>0</v>
      </c>
      <c r="G2" s="12">
        <v>0</v>
      </c>
      <c r="H2" s="12">
        <v>0</v>
      </c>
      <c r="I2" s="12">
        <v>0</v>
      </c>
      <c r="J2" s="12">
        <v>0</v>
      </c>
      <c r="K2" s="12">
        <v>0</v>
      </c>
      <c r="L2" s="12">
        <v>0</v>
      </c>
      <c r="M2" s="12">
        <v>0</v>
      </c>
    </row>
    <row r="3" spans="1:13" x14ac:dyDescent="0.25">
      <c r="A3" s="3" t="s">
        <v>73</v>
      </c>
      <c r="B3" s="12">
        <v>0</v>
      </c>
      <c r="C3" s="12">
        <v>0</v>
      </c>
      <c r="D3" s="12">
        <v>0</v>
      </c>
      <c r="E3" s="12">
        <v>0</v>
      </c>
      <c r="F3" s="12">
        <v>0</v>
      </c>
      <c r="G3" s="12">
        <v>0</v>
      </c>
      <c r="H3" s="12">
        <v>0</v>
      </c>
      <c r="I3" s="12">
        <v>0</v>
      </c>
      <c r="J3" s="12">
        <v>0</v>
      </c>
      <c r="K3" s="12">
        <v>0</v>
      </c>
      <c r="L3" s="12">
        <v>0</v>
      </c>
      <c r="M3" s="12">
        <v>0</v>
      </c>
    </row>
    <row r="4" spans="1:13" x14ac:dyDescent="0.25">
      <c r="A4" s="3" t="s">
        <v>74</v>
      </c>
      <c r="B4" s="12">
        <v>0</v>
      </c>
      <c r="C4" s="12">
        <v>0</v>
      </c>
      <c r="D4" s="12">
        <v>0</v>
      </c>
      <c r="E4" s="12">
        <v>0</v>
      </c>
      <c r="F4" s="12">
        <v>0</v>
      </c>
      <c r="G4" s="12">
        <v>0</v>
      </c>
      <c r="H4" s="12">
        <v>0</v>
      </c>
      <c r="I4" s="12">
        <v>0</v>
      </c>
      <c r="J4" s="12">
        <v>0</v>
      </c>
      <c r="K4" s="12">
        <v>0</v>
      </c>
      <c r="L4" s="12">
        <v>0</v>
      </c>
      <c r="M4" s="12">
        <v>0</v>
      </c>
    </row>
    <row r="5" spans="1:13" x14ac:dyDescent="0.25">
      <c r="A5" s="6" t="s">
        <v>75</v>
      </c>
      <c r="B5" s="74">
        <v>23.164999999999992</v>
      </c>
      <c r="C5" s="74">
        <v>23.164999999999992</v>
      </c>
      <c r="D5" s="74">
        <v>23.164999999999992</v>
      </c>
      <c r="E5" s="74">
        <v>23.164999999999992</v>
      </c>
      <c r="F5" s="74">
        <v>23.164999999999992</v>
      </c>
      <c r="G5" s="74">
        <v>23.164999999999992</v>
      </c>
      <c r="H5" s="74">
        <v>23.164999999999996</v>
      </c>
      <c r="I5" s="74">
        <v>23.164999999999992</v>
      </c>
      <c r="J5" s="74">
        <v>23.164999999999992</v>
      </c>
      <c r="K5" s="74">
        <v>23.164999999999988</v>
      </c>
      <c r="L5" s="74">
        <v>23.164999999999992</v>
      </c>
      <c r="M5" s="74">
        <v>23.164999999999992</v>
      </c>
    </row>
    <row r="6" spans="1:13" x14ac:dyDescent="0.25">
      <c r="A6" s="6" t="s">
        <v>76</v>
      </c>
      <c r="B6" s="74">
        <v>21.269999999999992</v>
      </c>
      <c r="C6" s="74">
        <v>21.435249900685104</v>
      </c>
      <c r="D6" s="74">
        <v>21.416910929285354</v>
      </c>
      <c r="E6" s="74">
        <v>21.378457953855182</v>
      </c>
      <c r="F6" s="74">
        <v>21.27</v>
      </c>
      <c r="G6" s="74">
        <v>22.411974581104282</v>
      </c>
      <c r="H6" s="74">
        <v>22.060595634638407</v>
      </c>
      <c r="I6" s="74">
        <v>21.269999999999996</v>
      </c>
      <c r="J6" s="74">
        <v>21.269999999999992</v>
      </c>
      <c r="K6" s="74">
        <v>21.269999999999992</v>
      </c>
      <c r="L6" s="74">
        <v>21.269999999999996</v>
      </c>
      <c r="M6" s="74">
        <v>21.269999999999996</v>
      </c>
    </row>
    <row r="7" spans="1:13" x14ac:dyDescent="0.25">
      <c r="A7" s="3" t="s">
        <v>77</v>
      </c>
      <c r="B7" s="12">
        <v>0</v>
      </c>
      <c r="C7" s="12">
        <v>0</v>
      </c>
      <c r="D7" s="12">
        <v>0</v>
      </c>
      <c r="E7" s="12">
        <v>0</v>
      </c>
      <c r="F7" s="12">
        <v>0</v>
      </c>
      <c r="G7" s="12">
        <v>0</v>
      </c>
      <c r="H7" s="12">
        <v>0</v>
      </c>
      <c r="I7" s="12">
        <v>0</v>
      </c>
      <c r="J7" s="12">
        <v>0</v>
      </c>
      <c r="K7" s="12">
        <v>0</v>
      </c>
      <c r="L7" s="12">
        <v>0</v>
      </c>
      <c r="M7" s="12">
        <v>0</v>
      </c>
    </row>
    <row r="8" spans="1:13" x14ac:dyDescent="0.25">
      <c r="A8" s="6" t="s">
        <v>78</v>
      </c>
      <c r="B8" s="74">
        <v>29.430999999999994</v>
      </c>
      <c r="C8" s="74">
        <v>29.430999999999994</v>
      </c>
      <c r="D8" s="74">
        <v>29.430999999999994</v>
      </c>
      <c r="E8" s="74">
        <v>29.430999999999997</v>
      </c>
      <c r="F8" s="74">
        <v>29.430999999999994</v>
      </c>
      <c r="G8" s="74">
        <v>29.431000000000001</v>
      </c>
      <c r="H8" s="74">
        <v>29.431000000000001</v>
      </c>
      <c r="I8" s="74">
        <v>29.430999999999994</v>
      </c>
      <c r="J8" s="74">
        <v>29.430999999999994</v>
      </c>
      <c r="K8" s="74">
        <v>29.430999999999994</v>
      </c>
      <c r="L8" s="74">
        <v>29.430999999999994</v>
      </c>
      <c r="M8" s="74">
        <v>29.43099999999999</v>
      </c>
    </row>
    <row r="9" spans="1:13" x14ac:dyDescent="0.25">
      <c r="A9" s="6" t="s">
        <v>79</v>
      </c>
      <c r="B9" s="74">
        <v>42.433999999999976</v>
      </c>
      <c r="C9" s="74">
        <v>42.433999999999976</v>
      </c>
      <c r="D9" s="74">
        <v>42.433999999999969</v>
      </c>
      <c r="E9" s="74">
        <v>42.433999999999976</v>
      </c>
      <c r="F9" s="74">
        <v>42.433999999999976</v>
      </c>
      <c r="G9" s="74">
        <v>42.433999999999983</v>
      </c>
      <c r="H9" s="74">
        <v>42.433999999999976</v>
      </c>
      <c r="I9" s="74">
        <v>42.433999999999976</v>
      </c>
      <c r="J9" s="74">
        <v>42.433999999999976</v>
      </c>
      <c r="K9" s="74">
        <v>42.433999999999969</v>
      </c>
      <c r="L9" s="74">
        <v>42.433999999999969</v>
      </c>
      <c r="M9" s="74">
        <v>42.433999999999969</v>
      </c>
    </row>
    <row r="10" spans="1:13" x14ac:dyDescent="0.25">
      <c r="A10" s="6" t="s">
        <v>80</v>
      </c>
      <c r="B10" s="74">
        <v>10.322000000000001</v>
      </c>
      <c r="C10" s="74">
        <v>10.322000000000001</v>
      </c>
      <c r="D10" s="74">
        <v>10.322000000000001</v>
      </c>
      <c r="E10" s="74">
        <v>10.387740605225424</v>
      </c>
      <c r="F10" s="74">
        <v>10.444986531771843</v>
      </c>
      <c r="G10" s="74">
        <v>10.539533577428426</v>
      </c>
      <c r="H10" s="74">
        <v>10.461217383280298</v>
      </c>
      <c r="I10" s="74">
        <v>10.347647421490457</v>
      </c>
      <c r="J10" s="74">
        <v>10.322000000000001</v>
      </c>
      <c r="K10" s="74">
        <v>10.321999999999999</v>
      </c>
      <c r="L10" s="74">
        <v>10.321999999999999</v>
      </c>
      <c r="M10" s="74">
        <v>10.322000000000001</v>
      </c>
    </row>
    <row r="11" spans="1:13" x14ac:dyDescent="0.25">
      <c r="A11" s="3" t="s">
        <v>81</v>
      </c>
      <c r="B11" s="12">
        <v>0</v>
      </c>
      <c r="C11" s="12">
        <v>0</v>
      </c>
      <c r="D11" s="12">
        <v>0</v>
      </c>
      <c r="E11" s="12">
        <v>0</v>
      </c>
      <c r="F11" s="12">
        <v>0</v>
      </c>
      <c r="G11" s="12">
        <v>0</v>
      </c>
      <c r="H11" s="12">
        <v>0</v>
      </c>
      <c r="I11" s="12">
        <v>0</v>
      </c>
      <c r="J11" s="12">
        <v>0</v>
      </c>
      <c r="K11" s="12">
        <v>0</v>
      </c>
      <c r="L11" s="12">
        <v>0</v>
      </c>
      <c r="M11" s="12">
        <v>0</v>
      </c>
    </row>
    <row r="12" spans="1:13" x14ac:dyDescent="0.25">
      <c r="A12" s="3" t="s">
        <v>82</v>
      </c>
      <c r="B12" s="12">
        <v>0</v>
      </c>
      <c r="C12" s="12">
        <v>0</v>
      </c>
      <c r="D12" s="12">
        <v>0</v>
      </c>
      <c r="E12" s="12">
        <v>0</v>
      </c>
      <c r="F12" s="12">
        <v>0</v>
      </c>
      <c r="G12" s="12">
        <v>0</v>
      </c>
      <c r="H12" s="12">
        <v>0</v>
      </c>
      <c r="I12" s="12">
        <v>0</v>
      </c>
      <c r="J12" s="12">
        <v>0</v>
      </c>
      <c r="K12" s="12">
        <v>0</v>
      </c>
      <c r="L12" s="12">
        <v>0</v>
      </c>
      <c r="M12" s="12">
        <v>0</v>
      </c>
    </row>
    <row r="13" spans="1:13" x14ac:dyDescent="0.25">
      <c r="A13" s="3" t="s">
        <v>83</v>
      </c>
      <c r="B13" s="12">
        <v>0</v>
      </c>
      <c r="C13" s="12">
        <v>0</v>
      </c>
      <c r="D13" s="12">
        <v>0</v>
      </c>
      <c r="E13" s="12">
        <v>0</v>
      </c>
      <c r="F13" s="12">
        <v>0</v>
      </c>
      <c r="G13" s="12">
        <v>0</v>
      </c>
      <c r="H13" s="12">
        <v>0</v>
      </c>
      <c r="I13" s="12">
        <v>0</v>
      </c>
      <c r="J13" s="12">
        <v>0</v>
      </c>
      <c r="K13" s="12">
        <v>0</v>
      </c>
      <c r="L13" s="12">
        <v>0</v>
      </c>
      <c r="M13" s="12">
        <v>0</v>
      </c>
    </row>
    <row r="14" spans="1:13" x14ac:dyDescent="0.25">
      <c r="A14" s="3"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80E5E-E1E4-4B11-A975-1917599835B5}">
  <sheetPr codeName="Sheet8">
    <tabColor rgb="FF7030A0"/>
  </sheetPr>
  <dimension ref="A1:M14"/>
  <sheetViews>
    <sheetView workbookViewId="0">
      <selection activeCell="M14" sqref="A1:M14"/>
    </sheetView>
  </sheetViews>
  <sheetFormatPr defaultRowHeight="15" x14ac:dyDescent="0.25"/>
  <cols>
    <col min="1" max="1" width="23" customWidth="1"/>
    <col min="2" max="8" width="9.33203125" customWidth="1"/>
    <col min="9" max="13" width="9.6640625" customWidth="1"/>
  </cols>
  <sheetData>
    <row r="1" spans="1:13" x14ac:dyDescent="0.25">
      <c r="A1" s="32" t="s">
        <v>101</v>
      </c>
      <c r="B1" s="5" t="s">
        <v>1</v>
      </c>
      <c r="C1" s="5" t="s">
        <v>2</v>
      </c>
      <c r="D1" s="5" t="s">
        <v>3</v>
      </c>
      <c r="E1" s="5" t="s">
        <v>4</v>
      </c>
      <c r="F1" s="5" t="s">
        <v>5</v>
      </c>
      <c r="G1" s="5" t="s">
        <v>6</v>
      </c>
      <c r="H1" s="5" t="s">
        <v>7</v>
      </c>
      <c r="I1" s="5" t="s">
        <v>8</v>
      </c>
      <c r="J1" s="5" t="s">
        <v>9</v>
      </c>
      <c r="K1" s="5" t="s">
        <v>10</v>
      </c>
      <c r="L1" s="5" t="s">
        <v>11</v>
      </c>
      <c r="M1" s="5" t="s">
        <v>12</v>
      </c>
    </row>
    <row r="2" spans="1:13" x14ac:dyDescent="0.25">
      <c r="A2" t="s">
        <v>72</v>
      </c>
      <c r="B2" s="42">
        <v>0</v>
      </c>
      <c r="C2" s="42">
        <v>0</v>
      </c>
      <c r="D2" s="42">
        <v>0</v>
      </c>
      <c r="E2" s="42">
        <v>0</v>
      </c>
      <c r="F2" s="42">
        <v>0</v>
      </c>
      <c r="G2" s="42">
        <v>0</v>
      </c>
      <c r="H2" s="42">
        <v>0</v>
      </c>
      <c r="I2" s="42">
        <v>0</v>
      </c>
      <c r="J2" s="42">
        <v>0</v>
      </c>
      <c r="K2" s="42">
        <v>0</v>
      </c>
      <c r="L2" s="42">
        <v>0</v>
      </c>
      <c r="M2" s="42">
        <v>0</v>
      </c>
    </row>
    <row r="3" spans="1:13" x14ac:dyDescent="0.25">
      <c r="A3" t="s">
        <v>73</v>
      </c>
      <c r="B3" s="42">
        <v>0</v>
      </c>
      <c r="C3" s="42">
        <v>0</v>
      </c>
      <c r="D3" s="42">
        <v>0</v>
      </c>
      <c r="E3" s="42">
        <v>0</v>
      </c>
      <c r="F3" s="42">
        <v>0</v>
      </c>
      <c r="G3" s="42">
        <v>0</v>
      </c>
      <c r="H3" s="42">
        <v>0</v>
      </c>
      <c r="I3" s="42">
        <v>0</v>
      </c>
      <c r="J3" s="42">
        <v>0</v>
      </c>
      <c r="K3" s="42">
        <v>0</v>
      </c>
      <c r="L3" s="42">
        <v>0</v>
      </c>
      <c r="M3" s="42">
        <v>0</v>
      </c>
    </row>
    <row r="4" spans="1:13" x14ac:dyDescent="0.25">
      <c r="A4" t="s">
        <v>74</v>
      </c>
      <c r="B4" s="42">
        <v>0</v>
      </c>
      <c r="C4" s="42">
        <v>0</v>
      </c>
      <c r="D4" s="42">
        <v>0</v>
      </c>
      <c r="E4" s="42">
        <v>0</v>
      </c>
      <c r="F4" s="42">
        <v>0</v>
      </c>
      <c r="G4" s="42">
        <v>0</v>
      </c>
      <c r="H4" s="42">
        <v>0</v>
      </c>
      <c r="I4" s="42">
        <v>0</v>
      </c>
      <c r="J4" s="42">
        <v>0</v>
      </c>
      <c r="K4" s="42">
        <v>0</v>
      </c>
      <c r="L4" s="42">
        <v>0</v>
      </c>
      <c r="M4" s="42">
        <v>0</v>
      </c>
    </row>
    <row r="5" spans="1:13" x14ac:dyDescent="0.25">
      <c r="A5" s="2" t="s">
        <v>75</v>
      </c>
      <c r="B5" s="50">
        <v>49.887427063636316</v>
      </c>
      <c r="C5" s="50">
        <v>0</v>
      </c>
      <c r="D5" s="50">
        <v>0</v>
      </c>
      <c r="E5" s="50">
        <v>0</v>
      </c>
      <c r="F5" s="50">
        <v>0</v>
      </c>
      <c r="G5" s="50">
        <v>0</v>
      </c>
      <c r="H5" s="50">
        <v>19.963653562042701</v>
      </c>
      <c r="I5" s="50">
        <v>63.167368519607898</v>
      </c>
      <c r="J5" s="50">
        <v>110.11318115490194</v>
      </c>
      <c r="K5" s="50">
        <v>151.89863793137246</v>
      </c>
      <c r="L5" s="50">
        <v>151.80954960909096</v>
      </c>
      <c r="M5" s="50">
        <v>111.28736404545447</v>
      </c>
    </row>
    <row r="6" spans="1:13" x14ac:dyDescent="0.25">
      <c r="A6" s="2" t="s">
        <v>76</v>
      </c>
      <c r="B6" s="50">
        <v>53.29873181363633</v>
      </c>
      <c r="C6" s="50">
        <v>0</v>
      </c>
      <c r="D6" s="50">
        <v>0</v>
      </c>
      <c r="E6" s="50">
        <v>0</v>
      </c>
      <c r="F6" s="50">
        <v>0</v>
      </c>
      <c r="G6" s="50">
        <v>0</v>
      </c>
      <c r="H6" s="50">
        <v>23.374958312042693</v>
      </c>
      <c r="I6" s="50">
        <v>66.57867326960789</v>
      </c>
      <c r="J6" s="50">
        <v>113.52448590490194</v>
      </c>
      <c r="K6" s="50">
        <v>155.30994268137246</v>
      </c>
      <c r="L6" s="50">
        <v>155.22085435909094</v>
      </c>
      <c r="M6" s="50">
        <v>114.69866879545451</v>
      </c>
    </row>
    <row r="7" spans="1:13" x14ac:dyDescent="0.25">
      <c r="A7" t="s">
        <v>77</v>
      </c>
      <c r="B7" s="42">
        <v>0</v>
      </c>
      <c r="C7" s="42">
        <v>0</v>
      </c>
      <c r="D7" s="42">
        <v>0</v>
      </c>
      <c r="E7" s="42">
        <v>0</v>
      </c>
      <c r="F7" s="42">
        <v>0</v>
      </c>
      <c r="G7" s="42">
        <v>0</v>
      </c>
      <c r="H7" s="42">
        <v>0</v>
      </c>
      <c r="I7" s="42">
        <v>0</v>
      </c>
      <c r="J7" s="42">
        <v>0</v>
      </c>
      <c r="K7" s="42">
        <v>0</v>
      </c>
      <c r="L7" s="42">
        <v>0</v>
      </c>
      <c r="M7" s="42">
        <v>0</v>
      </c>
    </row>
    <row r="8" spans="1:13" x14ac:dyDescent="0.25">
      <c r="A8" s="2" t="s">
        <v>78</v>
      </c>
      <c r="B8" s="50">
        <v>51.788499999999978</v>
      </c>
      <c r="C8" s="50">
        <v>10.161875000000002</v>
      </c>
      <c r="D8" s="50">
        <v>0</v>
      </c>
      <c r="E8" s="50">
        <v>0</v>
      </c>
      <c r="F8" s="50">
        <v>0</v>
      </c>
      <c r="G8" s="50">
        <v>0</v>
      </c>
      <c r="H8" s="50">
        <v>55.86786764705883</v>
      </c>
      <c r="I8" s="50">
        <v>87.991868686868656</v>
      </c>
      <c r="J8" s="50">
        <v>128.83469696969695</v>
      </c>
      <c r="K8" s="50">
        <v>180.36812500000002</v>
      </c>
      <c r="L8" s="50">
        <v>170.147623089983</v>
      </c>
      <c r="M8" s="50">
        <v>116.70612499999996</v>
      </c>
    </row>
    <row r="9" spans="1:13" x14ac:dyDescent="0.25">
      <c r="A9" s="2" t="s">
        <v>79</v>
      </c>
      <c r="B9" s="50">
        <v>48.548499999999976</v>
      </c>
      <c r="C9" s="50">
        <v>0.31499999999999773</v>
      </c>
      <c r="D9" s="50">
        <v>0</v>
      </c>
      <c r="E9" s="50">
        <v>0</v>
      </c>
      <c r="F9" s="50">
        <v>0</v>
      </c>
      <c r="G9" s="50">
        <v>0</v>
      </c>
      <c r="H9" s="50">
        <v>47.500433436532511</v>
      </c>
      <c r="I9" s="50">
        <v>87.668742690058451</v>
      </c>
      <c r="J9" s="50">
        <v>131.90008771929823</v>
      </c>
      <c r="K9" s="50">
        <v>175.76894736842107</v>
      </c>
      <c r="L9" s="50">
        <v>167.98684210526312</v>
      </c>
      <c r="M9" s="50">
        <v>116.58260526315786</v>
      </c>
    </row>
    <row r="10" spans="1:13" x14ac:dyDescent="0.25">
      <c r="A10" s="2" t="s">
        <v>80</v>
      </c>
      <c r="B10" s="50">
        <v>47.505999999999979</v>
      </c>
      <c r="C10" s="50">
        <v>11.242727272727272</v>
      </c>
      <c r="D10" s="50">
        <v>0</v>
      </c>
      <c r="E10" s="50">
        <v>0</v>
      </c>
      <c r="F10" s="50">
        <v>0</v>
      </c>
      <c r="G10" s="50">
        <v>0</v>
      </c>
      <c r="H10" s="50">
        <v>48.208333333333329</v>
      </c>
      <c r="I10" s="50">
        <v>105.05</v>
      </c>
      <c r="J10" s="50">
        <v>160.96700000000004</v>
      </c>
      <c r="K10" s="50">
        <v>204.48349999999996</v>
      </c>
      <c r="L10" s="50">
        <v>188.46505000000008</v>
      </c>
      <c r="M10" s="50">
        <v>124.5425</v>
      </c>
    </row>
    <row r="11" spans="1:13" x14ac:dyDescent="0.25">
      <c r="A11" t="s">
        <v>81</v>
      </c>
      <c r="B11" s="42">
        <v>0</v>
      </c>
      <c r="C11" s="42">
        <v>0</v>
      </c>
      <c r="D11" s="42">
        <v>0</v>
      </c>
      <c r="E11" s="42">
        <v>0</v>
      </c>
      <c r="F11" s="42">
        <v>0</v>
      </c>
      <c r="G11" s="42">
        <v>0</v>
      </c>
      <c r="H11" s="42">
        <v>0</v>
      </c>
      <c r="I11" s="42">
        <v>0</v>
      </c>
      <c r="J11" s="42">
        <v>0</v>
      </c>
      <c r="K11" s="42">
        <v>0</v>
      </c>
      <c r="L11" s="42">
        <v>0</v>
      </c>
      <c r="M11" s="42">
        <v>0</v>
      </c>
    </row>
    <row r="12" spans="1:13" x14ac:dyDescent="0.25">
      <c r="A12" t="s">
        <v>82</v>
      </c>
      <c r="B12" s="42">
        <v>0</v>
      </c>
      <c r="C12" s="42">
        <v>0</v>
      </c>
      <c r="D12" s="42">
        <v>0</v>
      </c>
      <c r="E12" s="42">
        <v>0</v>
      </c>
      <c r="F12" s="42">
        <v>0</v>
      </c>
      <c r="G12" s="42">
        <v>0</v>
      </c>
      <c r="H12" s="42">
        <v>0</v>
      </c>
      <c r="I12" s="42">
        <v>0</v>
      </c>
      <c r="J12" s="42">
        <v>0</v>
      </c>
      <c r="K12" s="42">
        <v>0</v>
      </c>
      <c r="L12" s="42">
        <v>0</v>
      </c>
      <c r="M12" s="42">
        <v>0</v>
      </c>
    </row>
    <row r="13" spans="1:13" x14ac:dyDescent="0.25">
      <c r="A13" t="s">
        <v>83</v>
      </c>
      <c r="B13" s="42">
        <v>0</v>
      </c>
      <c r="C13" s="42">
        <v>0</v>
      </c>
      <c r="D13" s="42">
        <v>0</v>
      </c>
      <c r="E13" s="42">
        <v>0</v>
      </c>
      <c r="F13" s="42">
        <v>0</v>
      </c>
      <c r="G13" s="42">
        <v>0</v>
      </c>
      <c r="H13" s="42">
        <v>0</v>
      </c>
      <c r="I13" s="42">
        <v>0</v>
      </c>
      <c r="J13" s="42">
        <v>0</v>
      </c>
      <c r="K13" s="42">
        <v>0</v>
      </c>
      <c r="L13" s="42">
        <v>0</v>
      </c>
      <c r="M13" s="42">
        <v>0</v>
      </c>
    </row>
    <row r="14" spans="1:13" x14ac:dyDescent="0.25">
      <c r="A14" t="s">
        <v>84</v>
      </c>
      <c r="B14" s="42">
        <v>0</v>
      </c>
      <c r="C14" s="42">
        <v>0</v>
      </c>
      <c r="D14" s="42">
        <v>0</v>
      </c>
      <c r="E14" s="42">
        <v>0</v>
      </c>
      <c r="F14" s="42">
        <v>0</v>
      </c>
      <c r="G14" s="42">
        <v>0</v>
      </c>
      <c r="H14" s="42">
        <v>0</v>
      </c>
      <c r="I14" s="42">
        <v>0</v>
      </c>
      <c r="J14" s="42">
        <v>0</v>
      </c>
      <c r="K14" s="42">
        <v>0</v>
      </c>
      <c r="L14" s="42">
        <v>0</v>
      </c>
      <c r="M14" s="42">
        <v>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BE7DA-B610-4CEB-9E8D-63D0CCA0FA65}">
  <sheetPr codeName="Sheet52">
    <tabColor rgb="FF7030A0"/>
  </sheetPr>
  <dimension ref="A1:M14"/>
  <sheetViews>
    <sheetView workbookViewId="0">
      <selection activeCell="I25" sqref="I25"/>
    </sheetView>
  </sheetViews>
  <sheetFormatPr defaultRowHeight="15" x14ac:dyDescent="0.25"/>
  <cols>
    <col min="1" max="1" width="23" customWidth="1"/>
    <col min="2" max="8" width="9.33203125" customWidth="1"/>
    <col min="9" max="13" width="9.6640625" customWidth="1"/>
  </cols>
  <sheetData>
    <row r="1" spans="1:13" x14ac:dyDescent="0.25">
      <c r="A1" s="32" t="s">
        <v>101</v>
      </c>
      <c r="B1" s="5" t="s">
        <v>1</v>
      </c>
      <c r="C1" s="5" t="s">
        <v>2</v>
      </c>
      <c r="D1" s="5" t="s">
        <v>3</v>
      </c>
      <c r="E1" s="5" t="s">
        <v>4</v>
      </c>
      <c r="F1" s="5" t="s">
        <v>5</v>
      </c>
      <c r="G1" s="5" t="s">
        <v>6</v>
      </c>
      <c r="H1" s="5" t="s">
        <v>7</v>
      </c>
      <c r="I1" s="5" t="s">
        <v>8</v>
      </c>
      <c r="J1" s="5" t="s">
        <v>9</v>
      </c>
      <c r="K1" s="5" t="s">
        <v>10</v>
      </c>
      <c r="L1" s="5" t="s">
        <v>11</v>
      </c>
      <c r="M1" s="5" t="s">
        <v>12</v>
      </c>
    </row>
    <row r="2" spans="1:13" x14ac:dyDescent="0.25">
      <c r="A2" t="s">
        <v>72</v>
      </c>
      <c r="B2" s="42">
        <v>0</v>
      </c>
      <c r="C2" s="42">
        <v>0</v>
      </c>
      <c r="D2" s="42">
        <v>0</v>
      </c>
      <c r="E2" s="42">
        <v>0</v>
      </c>
      <c r="F2" s="42">
        <v>0</v>
      </c>
      <c r="G2" s="42">
        <v>0</v>
      </c>
      <c r="H2" s="42">
        <v>0</v>
      </c>
      <c r="I2" s="42">
        <v>0</v>
      </c>
      <c r="J2" s="42">
        <v>0</v>
      </c>
      <c r="K2" s="42">
        <v>0</v>
      </c>
      <c r="L2" s="42">
        <v>0</v>
      </c>
      <c r="M2" s="42">
        <v>0</v>
      </c>
    </row>
    <row r="3" spans="1:13" x14ac:dyDescent="0.25">
      <c r="A3" t="s">
        <v>73</v>
      </c>
      <c r="B3" s="42">
        <v>0</v>
      </c>
      <c r="C3" s="42">
        <v>0</v>
      </c>
      <c r="D3" s="42">
        <v>0</v>
      </c>
      <c r="E3" s="42">
        <v>0</v>
      </c>
      <c r="F3" s="42">
        <v>0</v>
      </c>
      <c r="G3" s="42">
        <v>0</v>
      </c>
      <c r="H3" s="42">
        <v>0</v>
      </c>
      <c r="I3" s="42">
        <v>0</v>
      </c>
      <c r="J3" s="42">
        <v>0</v>
      </c>
      <c r="K3" s="42">
        <v>0</v>
      </c>
      <c r="L3" s="42">
        <v>0</v>
      </c>
      <c r="M3" s="42">
        <v>0</v>
      </c>
    </row>
    <row r="4" spans="1:13" x14ac:dyDescent="0.25">
      <c r="A4" t="s">
        <v>74</v>
      </c>
      <c r="B4" s="42">
        <v>0</v>
      </c>
      <c r="C4" s="42">
        <v>0</v>
      </c>
      <c r="D4" s="42">
        <v>0</v>
      </c>
      <c r="E4" s="42">
        <v>0</v>
      </c>
      <c r="F4" s="42">
        <v>0</v>
      </c>
      <c r="G4" s="42">
        <v>0</v>
      </c>
      <c r="H4" s="42">
        <v>0</v>
      </c>
      <c r="I4" s="42">
        <v>0</v>
      </c>
      <c r="J4" s="42">
        <v>0</v>
      </c>
      <c r="K4" s="42">
        <v>0</v>
      </c>
      <c r="L4" s="42">
        <v>0</v>
      </c>
      <c r="M4" s="42">
        <v>0</v>
      </c>
    </row>
    <row r="5" spans="1:13" x14ac:dyDescent="0.25">
      <c r="A5" s="2" t="s">
        <v>75</v>
      </c>
      <c r="B5" s="50">
        <v>49.887427063636316</v>
      </c>
      <c r="C5" s="50">
        <v>0</v>
      </c>
      <c r="D5" s="50">
        <v>0</v>
      </c>
      <c r="E5" s="50">
        <v>0</v>
      </c>
      <c r="F5" s="50">
        <v>0</v>
      </c>
      <c r="G5" s="50">
        <v>0</v>
      </c>
      <c r="H5" s="50">
        <v>19.963653562042701</v>
      </c>
      <c r="I5" s="50">
        <v>63.167368519607898</v>
      </c>
      <c r="J5" s="50">
        <v>110.11318115490194</v>
      </c>
      <c r="K5" s="50">
        <v>151.89863793137246</v>
      </c>
      <c r="L5" s="50">
        <v>151.80954960909096</v>
      </c>
      <c r="M5" s="50">
        <v>111.28736404545447</v>
      </c>
    </row>
    <row r="6" spans="1:13" x14ac:dyDescent="0.25">
      <c r="A6" s="2" t="s">
        <v>76</v>
      </c>
      <c r="B6" s="50">
        <v>53.29873181363633</v>
      </c>
      <c r="C6" s="50">
        <v>0</v>
      </c>
      <c r="D6" s="50">
        <v>0</v>
      </c>
      <c r="E6" s="50">
        <v>0</v>
      </c>
      <c r="F6" s="50">
        <v>0</v>
      </c>
      <c r="G6" s="50">
        <v>0</v>
      </c>
      <c r="H6" s="50">
        <v>23.374958312042693</v>
      </c>
      <c r="I6" s="50">
        <v>66.57867326960789</v>
      </c>
      <c r="J6" s="50">
        <v>113.52448590490194</v>
      </c>
      <c r="K6" s="50">
        <v>155.30994268137246</v>
      </c>
      <c r="L6" s="50">
        <v>155.22085435909094</v>
      </c>
      <c r="M6" s="50">
        <v>114.69866879545451</v>
      </c>
    </row>
    <row r="7" spans="1:13" x14ac:dyDescent="0.25">
      <c r="A7" t="s">
        <v>77</v>
      </c>
      <c r="B7" s="42">
        <v>0</v>
      </c>
      <c r="C7" s="42">
        <v>0</v>
      </c>
      <c r="D7" s="42">
        <v>0</v>
      </c>
      <c r="E7" s="42">
        <v>0</v>
      </c>
      <c r="F7" s="42">
        <v>0</v>
      </c>
      <c r="G7" s="42">
        <v>0</v>
      </c>
      <c r="H7" s="42">
        <v>0</v>
      </c>
      <c r="I7" s="42">
        <v>0</v>
      </c>
      <c r="J7" s="42">
        <v>0</v>
      </c>
      <c r="K7" s="42">
        <v>0</v>
      </c>
      <c r="L7" s="42">
        <v>0</v>
      </c>
      <c r="M7" s="42">
        <v>0</v>
      </c>
    </row>
    <row r="8" spans="1:13" x14ac:dyDescent="0.25">
      <c r="A8" s="2" t="s">
        <v>78</v>
      </c>
      <c r="B8" s="50">
        <v>51.788499999999978</v>
      </c>
      <c r="C8" s="50">
        <v>10.161875000000002</v>
      </c>
      <c r="D8" s="50">
        <v>0</v>
      </c>
      <c r="E8" s="50">
        <v>0</v>
      </c>
      <c r="F8" s="50">
        <v>0</v>
      </c>
      <c r="G8" s="50">
        <v>0</v>
      </c>
      <c r="H8" s="50">
        <v>55.86786764705883</v>
      </c>
      <c r="I8" s="50">
        <v>87.991868686868656</v>
      </c>
      <c r="J8" s="50">
        <v>128.83469696969695</v>
      </c>
      <c r="K8" s="50">
        <v>180.36812500000002</v>
      </c>
      <c r="L8" s="50">
        <v>170.147623089983</v>
      </c>
      <c r="M8" s="50">
        <v>116.70612499999996</v>
      </c>
    </row>
    <row r="9" spans="1:13" x14ac:dyDescent="0.25">
      <c r="A9" s="2" t="s">
        <v>79</v>
      </c>
      <c r="B9" s="50">
        <v>48.548499999999976</v>
      </c>
      <c r="C9" s="50">
        <v>0.31499999999999773</v>
      </c>
      <c r="D9" s="50">
        <v>0</v>
      </c>
      <c r="E9" s="50">
        <v>0</v>
      </c>
      <c r="F9" s="50">
        <v>0</v>
      </c>
      <c r="G9" s="50">
        <v>0</v>
      </c>
      <c r="H9" s="50">
        <v>47.500433436532511</v>
      </c>
      <c r="I9" s="50">
        <v>87.668742690058451</v>
      </c>
      <c r="J9" s="50">
        <v>131.90008771929823</v>
      </c>
      <c r="K9" s="50">
        <v>175.76894736842107</v>
      </c>
      <c r="L9" s="50">
        <v>167.98684210526312</v>
      </c>
      <c r="M9" s="50">
        <v>116.58260526315786</v>
      </c>
    </row>
    <row r="10" spans="1:13" x14ac:dyDescent="0.25">
      <c r="A10" s="2" t="s">
        <v>80</v>
      </c>
      <c r="B10" s="50">
        <v>47.505999999999979</v>
      </c>
      <c r="C10" s="50">
        <v>11.242727272727272</v>
      </c>
      <c r="D10" s="50">
        <v>0</v>
      </c>
      <c r="E10" s="50">
        <v>0</v>
      </c>
      <c r="F10" s="50">
        <v>0</v>
      </c>
      <c r="G10" s="50">
        <v>0</v>
      </c>
      <c r="H10" s="50">
        <v>48.208333333333329</v>
      </c>
      <c r="I10" s="50">
        <v>105.05</v>
      </c>
      <c r="J10" s="50">
        <v>160.96700000000004</v>
      </c>
      <c r="K10" s="50">
        <v>204.48349999999996</v>
      </c>
      <c r="L10" s="50">
        <v>188.46505000000008</v>
      </c>
      <c r="M10" s="50">
        <v>124.5425</v>
      </c>
    </row>
    <row r="11" spans="1:13" x14ac:dyDescent="0.25">
      <c r="A11" t="s">
        <v>81</v>
      </c>
      <c r="B11" s="42">
        <v>0</v>
      </c>
      <c r="C11" s="42">
        <v>0</v>
      </c>
      <c r="D11" s="42">
        <v>0</v>
      </c>
      <c r="E11" s="42">
        <v>0</v>
      </c>
      <c r="F11" s="42">
        <v>0</v>
      </c>
      <c r="G11" s="42">
        <v>0</v>
      </c>
      <c r="H11" s="42">
        <v>0</v>
      </c>
      <c r="I11" s="42">
        <v>0</v>
      </c>
      <c r="J11" s="42">
        <v>0</v>
      </c>
      <c r="K11" s="42">
        <v>0</v>
      </c>
      <c r="L11" s="42">
        <v>0</v>
      </c>
      <c r="M11" s="42">
        <v>0</v>
      </c>
    </row>
    <row r="12" spans="1:13" x14ac:dyDescent="0.25">
      <c r="A12" t="s">
        <v>82</v>
      </c>
      <c r="B12" s="42">
        <v>0</v>
      </c>
      <c r="C12" s="42">
        <v>0</v>
      </c>
      <c r="D12" s="42">
        <v>0</v>
      </c>
      <c r="E12" s="42">
        <v>0</v>
      </c>
      <c r="F12" s="42">
        <v>0</v>
      </c>
      <c r="G12" s="42">
        <v>0</v>
      </c>
      <c r="H12" s="42">
        <v>0</v>
      </c>
      <c r="I12" s="42">
        <v>0</v>
      </c>
      <c r="J12" s="42">
        <v>0</v>
      </c>
      <c r="K12" s="42">
        <v>0</v>
      </c>
      <c r="L12" s="42">
        <v>0</v>
      </c>
      <c r="M12" s="42">
        <v>0</v>
      </c>
    </row>
    <row r="13" spans="1:13" x14ac:dyDescent="0.25">
      <c r="A13" t="s">
        <v>83</v>
      </c>
      <c r="B13" s="42">
        <v>0</v>
      </c>
      <c r="C13" s="42">
        <v>0</v>
      </c>
      <c r="D13" s="42">
        <v>0</v>
      </c>
      <c r="E13" s="42">
        <v>0</v>
      </c>
      <c r="F13" s="42">
        <v>0</v>
      </c>
      <c r="G13" s="42">
        <v>0</v>
      </c>
      <c r="H13" s="42">
        <v>0</v>
      </c>
      <c r="I13" s="42">
        <v>0</v>
      </c>
      <c r="J13" s="42">
        <v>0</v>
      </c>
      <c r="K13" s="42">
        <v>0</v>
      </c>
      <c r="L13" s="42">
        <v>0</v>
      </c>
      <c r="M13" s="42">
        <v>0</v>
      </c>
    </row>
    <row r="14" spans="1:13" x14ac:dyDescent="0.25">
      <c r="A14" t="s">
        <v>84</v>
      </c>
      <c r="B14" s="42">
        <v>0</v>
      </c>
      <c r="C14" s="42">
        <v>0</v>
      </c>
      <c r="D14" s="42">
        <v>0</v>
      </c>
      <c r="E14" s="42">
        <v>0</v>
      </c>
      <c r="F14" s="42">
        <v>0</v>
      </c>
      <c r="G14" s="42">
        <v>0</v>
      </c>
      <c r="H14" s="42">
        <v>0</v>
      </c>
      <c r="I14" s="42">
        <v>0</v>
      </c>
      <c r="J14" s="42">
        <v>0</v>
      </c>
      <c r="K14" s="42">
        <v>0</v>
      </c>
      <c r="L14" s="42">
        <v>0</v>
      </c>
      <c r="M14" s="42">
        <v>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57E5A-3C75-4B30-A825-25CCE5421A00}">
  <sheetPr codeName="Sheet87">
    <tabColor rgb="FF7030A0"/>
  </sheetPr>
  <dimension ref="A1:M27"/>
  <sheetViews>
    <sheetView workbookViewId="0">
      <selection activeCell="M6" activeCellId="1" sqref="M10 M6"/>
    </sheetView>
  </sheetViews>
  <sheetFormatPr defaultRowHeight="15" x14ac:dyDescent="0.25"/>
  <cols>
    <col min="1" max="1" width="23" customWidth="1"/>
    <col min="2" max="13" width="10.5546875" customWidth="1"/>
  </cols>
  <sheetData>
    <row r="1" spans="1:13" x14ac:dyDescent="0.25">
      <c r="A1" t="s">
        <v>141</v>
      </c>
      <c r="B1" t="s">
        <v>1</v>
      </c>
      <c r="C1" t="s">
        <v>2</v>
      </c>
      <c r="D1" t="s">
        <v>3</v>
      </c>
      <c r="E1" t="s">
        <v>4</v>
      </c>
      <c r="F1" t="s">
        <v>5</v>
      </c>
      <c r="G1" t="s">
        <v>6</v>
      </c>
      <c r="H1" t="s">
        <v>7</v>
      </c>
      <c r="I1" t="s">
        <v>8</v>
      </c>
      <c r="J1" t="s">
        <v>9</v>
      </c>
      <c r="K1" t="s">
        <v>10</v>
      </c>
      <c r="L1" t="s">
        <v>11</v>
      </c>
      <c r="M1" t="s">
        <v>12</v>
      </c>
    </row>
    <row r="2" spans="1:13" x14ac:dyDescent="0.25">
      <c r="A2" t="s">
        <v>72</v>
      </c>
      <c r="B2" s="55">
        <v>0</v>
      </c>
      <c r="C2" s="55">
        <v>0</v>
      </c>
      <c r="D2" s="55">
        <v>0</v>
      </c>
      <c r="E2" s="55">
        <v>0</v>
      </c>
      <c r="F2" s="55">
        <v>0</v>
      </c>
      <c r="G2" s="55">
        <v>0</v>
      </c>
      <c r="H2" s="55">
        <v>0</v>
      </c>
      <c r="I2" s="55">
        <v>0</v>
      </c>
      <c r="J2" s="55">
        <v>0</v>
      </c>
      <c r="K2" s="55">
        <v>0</v>
      </c>
      <c r="L2" s="55">
        <v>0</v>
      </c>
      <c r="M2" s="55">
        <v>0</v>
      </c>
    </row>
    <row r="3" spans="1:13" x14ac:dyDescent="0.25">
      <c r="A3" t="s">
        <v>73</v>
      </c>
      <c r="B3" s="55">
        <v>0</v>
      </c>
      <c r="C3" s="55">
        <v>0</v>
      </c>
      <c r="D3" s="55">
        <v>0</v>
      </c>
      <c r="E3" s="55">
        <v>0</v>
      </c>
      <c r="F3" s="55">
        <v>0</v>
      </c>
      <c r="G3" s="55">
        <v>0</v>
      </c>
      <c r="H3" s="55">
        <v>0</v>
      </c>
      <c r="I3" s="55">
        <v>0</v>
      </c>
      <c r="J3" s="55">
        <v>0</v>
      </c>
      <c r="K3" s="55">
        <v>0</v>
      </c>
      <c r="L3" s="55">
        <v>0</v>
      </c>
      <c r="M3" s="55">
        <v>0</v>
      </c>
    </row>
    <row r="4" spans="1:13" x14ac:dyDescent="0.25">
      <c r="A4" t="s">
        <v>74</v>
      </c>
      <c r="B4" s="55">
        <v>0</v>
      </c>
      <c r="C4" s="55">
        <v>0</v>
      </c>
      <c r="D4" s="55">
        <v>0</v>
      </c>
      <c r="E4" s="55">
        <v>0</v>
      </c>
      <c r="F4" s="55">
        <v>0</v>
      </c>
      <c r="G4" s="55">
        <v>0</v>
      </c>
      <c r="H4" s="55">
        <v>0</v>
      </c>
      <c r="I4" s="55">
        <v>0</v>
      </c>
      <c r="J4" s="55">
        <v>0</v>
      </c>
      <c r="K4" s="55">
        <v>0</v>
      </c>
      <c r="L4" s="55">
        <v>0</v>
      </c>
      <c r="M4" s="55">
        <v>0</v>
      </c>
    </row>
    <row r="5" spans="1:13" x14ac:dyDescent="0.25">
      <c r="A5" s="2" t="s">
        <v>75</v>
      </c>
      <c r="B5" s="55">
        <v>105.36556371896306</v>
      </c>
      <c r="C5" s="55">
        <v>111.22745383387087</v>
      </c>
      <c r="D5" s="55">
        <v>117.68219109533409</v>
      </c>
      <c r="E5" s="55">
        <v>128.14475563694197</v>
      </c>
      <c r="F5" s="55">
        <v>123.91477189063286</v>
      </c>
      <c r="G5" s="55">
        <v>145.15399628905735</v>
      </c>
      <c r="H5" s="55">
        <v>159.1026754043213</v>
      </c>
      <c r="I5" s="55">
        <v>118.87950957238516</v>
      </c>
      <c r="J5" s="55">
        <v>91.201813346081849</v>
      </c>
      <c r="K5" s="55">
        <v>82.322621364463402</v>
      </c>
      <c r="L5" s="55">
        <v>83.183503920407489</v>
      </c>
      <c r="M5" s="55">
        <v>88.088428710351124</v>
      </c>
    </row>
    <row r="6" spans="1:13" x14ac:dyDescent="0.25">
      <c r="A6" s="2" t="s">
        <v>76</v>
      </c>
      <c r="B6" s="57">
        <v>104.71847762643164</v>
      </c>
      <c r="C6" s="57">
        <v>110.86080353146528</v>
      </c>
      <c r="D6" s="57">
        <v>117.67650752266327</v>
      </c>
      <c r="E6" s="57">
        <v>128.14475563694194</v>
      </c>
      <c r="F6" s="57">
        <v>123.91727888715442</v>
      </c>
      <c r="G6" s="57">
        <v>145.15148933344037</v>
      </c>
      <c r="H6" s="57">
        <v>159.06795515532826</v>
      </c>
      <c r="I6" s="57">
        <v>118.82793763192029</v>
      </c>
      <c r="J6" s="57">
        <v>91.291308566800183</v>
      </c>
      <c r="K6" s="57">
        <v>82.460772666531014</v>
      </c>
      <c r="L6" s="57">
        <v>83.23546222289238</v>
      </c>
      <c r="M6" s="57">
        <v>87.506430224672513</v>
      </c>
    </row>
    <row r="7" spans="1:13" x14ac:dyDescent="0.25">
      <c r="A7" t="s">
        <v>77</v>
      </c>
      <c r="B7" s="58">
        <v>0</v>
      </c>
      <c r="C7" s="58">
        <v>0</v>
      </c>
      <c r="D7" s="58">
        <v>0</v>
      </c>
      <c r="E7" s="58">
        <v>0</v>
      </c>
      <c r="F7" s="58">
        <v>0</v>
      </c>
      <c r="G7" s="58">
        <v>0</v>
      </c>
      <c r="H7" s="58">
        <v>0</v>
      </c>
      <c r="I7" s="58">
        <v>0</v>
      </c>
      <c r="J7" s="58">
        <v>0</v>
      </c>
      <c r="K7" s="58">
        <v>0</v>
      </c>
      <c r="L7" s="58">
        <v>0</v>
      </c>
      <c r="M7" s="58">
        <v>0</v>
      </c>
    </row>
    <row r="8" spans="1:13" x14ac:dyDescent="0.25">
      <c r="A8" s="2" t="s">
        <v>78</v>
      </c>
      <c r="B8" s="57">
        <v>109.7475442342792</v>
      </c>
      <c r="C8" s="57">
        <v>114.64528886707915</v>
      </c>
      <c r="D8" s="57">
        <v>157.29193838071876</v>
      </c>
      <c r="E8" s="57">
        <v>177.44654179777191</v>
      </c>
      <c r="F8" s="57">
        <v>201.59198803354295</v>
      </c>
      <c r="G8" s="57">
        <v>286.91342241527383</v>
      </c>
      <c r="H8" s="57">
        <v>354.51119797271565</v>
      </c>
      <c r="I8" s="57">
        <v>217.72572816493198</v>
      </c>
      <c r="J8" s="57">
        <v>116.61735945447127</v>
      </c>
      <c r="K8" s="57">
        <v>106.37539972793628</v>
      </c>
      <c r="L8" s="57">
        <v>107.59854915557742</v>
      </c>
      <c r="M8" s="57">
        <v>105.06202053212532</v>
      </c>
    </row>
    <row r="9" spans="1:13" x14ac:dyDescent="0.25">
      <c r="A9" s="2" t="s">
        <v>79</v>
      </c>
      <c r="B9" s="57">
        <v>114.67443068545501</v>
      </c>
      <c r="C9" s="57">
        <v>117.98757294309183</v>
      </c>
      <c r="D9" s="57">
        <v>159.05242046049204</v>
      </c>
      <c r="E9" s="57">
        <v>180.49356964157326</v>
      </c>
      <c r="F9" s="57">
        <v>213.44197660946978</v>
      </c>
      <c r="G9" s="57">
        <v>305.59171011298685</v>
      </c>
      <c r="H9" s="57">
        <v>376.09529691571709</v>
      </c>
      <c r="I9" s="57">
        <v>233.10944485108311</v>
      </c>
      <c r="J9" s="57">
        <v>125.01168414393116</v>
      </c>
      <c r="K9" s="57">
        <v>113.22525586559</v>
      </c>
      <c r="L9" s="57">
        <v>113.53905773708891</v>
      </c>
      <c r="M9" s="57">
        <v>110.17108610706393</v>
      </c>
    </row>
    <row r="10" spans="1:13" x14ac:dyDescent="0.25">
      <c r="A10" s="2" t="s">
        <v>80</v>
      </c>
      <c r="B10" s="57">
        <v>114.45974174615029</v>
      </c>
      <c r="C10" s="57">
        <v>117.98549697747902</v>
      </c>
      <c r="D10" s="57">
        <v>159.00649495491689</v>
      </c>
      <c r="E10" s="57">
        <v>180.46893131835438</v>
      </c>
      <c r="F10" s="57">
        <v>213.33084840434157</v>
      </c>
      <c r="G10" s="57">
        <v>305.5917101129869</v>
      </c>
      <c r="H10" s="57">
        <v>375.9192690073836</v>
      </c>
      <c r="I10" s="57">
        <v>232.72586528108306</v>
      </c>
      <c r="J10" s="57">
        <v>124.4314711391055</v>
      </c>
      <c r="K10" s="57">
        <v>112.56362841851221</v>
      </c>
      <c r="L10" s="57">
        <v>112.89058868736883</v>
      </c>
      <c r="M10" s="57">
        <v>109.7709786395602</v>
      </c>
    </row>
    <row r="11" spans="1:13" x14ac:dyDescent="0.25">
      <c r="A11" t="s">
        <v>81</v>
      </c>
      <c r="B11" s="58">
        <v>0</v>
      </c>
      <c r="C11" s="58">
        <v>0</v>
      </c>
      <c r="D11" s="58">
        <v>0</v>
      </c>
      <c r="E11" s="58">
        <v>0</v>
      </c>
      <c r="F11" s="58">
        <v>0</v>
      </c>
      <c r="G11" s="58">
        <v>0</v>
      </c>
      <c r="H11" s="58">
        <v>0</v>
      </c>
      <c r="I11" s="58">
        <v>0</v>
      </c>
      <c r="J11" s="58">
        <v>0</v>
      </c>
      <c r="K11" s="58">
        <v>0</v>
      </c>
      <c r="L11" s="58">
        <v>0</v>
      </c>
      <c r="M11" s="58">
        <v>0</v>
      </c>
    </row>
    <row r="12" spans="1:13" x14ac:dyDescent="0.25">
      <c r="A12" t="s">
        <v>82</v>
      </c>
      <c r="B12" s="58">
        <v>0</v>
      </c>
      <c r="C12" s="58">
        <v>0</v>
      </c>
      <c r="D12" s="58">
        <v>0</v>
      </c>
      <c r="E12" s="58">
        <v>0</v>
      </c>
      <c r="F12" s="58">
        <v>0</v>
      </c>
      <c r="G12" s="58">
        <v>0</v>
      </c>
      <c r="H12" s="58">
        <v>0</v>
      </c>
      <c r="I12" s="58">
        <v>0</v>
      </c>
      <c r="J12" s="58">
        <v>0</v>
      </c>
      <c r="K12" s="58">
        <v>0</v>
      </c>
      <c r="L12" s="58">
        <v>0</v>
      </c>
      <c r="M12" s="58">
        <v>0</v>
      </c>
    </row>
    <row r="13" spans="1:13" x14ac:dyDescent="0.25">
      <c r="A13" t="s">
        <v>83</v>
      </c>
      <c r="B13" s="58">
        <v>0</v>
      </c>
      <c r="C13" s="58">
        <v>0</v>
      </c>
      <c r="D13" s="58">
        <v>0</v>
      </c>
      <c r="E13" s="58">
        <v>0</v>
      </c>
      <c r="F13" s="58">
        <v>0</v>
      </c>
      <c r="G13" s="58">
        <v>0</v>
      </c>
      <c r="H13" s="58">
        <v>0</v>
      </c>
      <c r="I13" s="58">
        <v>0</v>
      </c>
      <c r="J13" s="58">
        <v>0</v>
      </c>
      <c r="K13" s="58">
        <v>0</v>
      </c>
      <c r="L13" s="58">
        <v>0</v>
      </c>
      <c r="M13" s="58">
        <v>0</v>
      </c>
    </row>
    <row r="14" spans="1:13" x14ac:dyDescent="0.25">
      <c r="A14" t="s">
        <v>84</v>
      </c>
      <c r="B14" s="58">
        <v>0</v>
      </c>
      <c r="C14" s="58">
        <v>0</v>
      </c>
      <c r="D14" s="58">
        <v>0</v>
      </c>
      <c r="E14" s="58">
        <v>0</v>
      </c>
      <c r="F14" s="58">
        <v>0</v>
      </c>
      <c r="G14" s="58">
        <v>0</v>
      </c>
      <c r="H14" s="58">
        <v>0</v>
      </c>
      <c r="I14" s="58">
        <v>0</v>
      </c>
      <c r="J14" s="58">
        <v>0</v>
      </c>
      <c r="K14" s="58">
        <v>0</v>
      </c>
      <c r="L14" s="58">
        <v>0</v>
      </c>
      <c r="M14" s="58">
        <v>0</v>
      </c>
    </row>
    <row r="15" spans="1:13" x14ac:dyDescent="0.25">
      <c r="A15" t="s">
        <v>72</v>
      </c>
      <c r="B15" s="56">
        <v>9.5609999999999999</v>
      </c>
      <c r="C15" s="56">
        <v>7.7710000000000008</v>
      </c>
      <c r="D15" s="56">
        <v>10.510000000000002</v>
      </c>
      <c r="E15" s="56">
        <v>11.46</v>
      </c>
      <c r="F15" s="56">
        <v>13.69</v>
      </c>
      <c r="G15" s="56">
        <v>17.5</v>
      </c>
      <c r="H15" s="56">
        <v>18.707000000000001</v>
      </c>
      <c r="I15" s="56">
        <v>22.132000000000005</v>
      </c>
      <c r="J15" s="56">
        <v>30.107000000000006</v>
      </c>
      <c r="K15" s="56">
        <v>28.796499999999995</v>
      </c>
      <c r="L15" s="56">
        <v>25.425999999999998</v>
      </c>
      <c r="M15" s="56">
        <v>14.506000000000004</v>
      </c>
    </row>
    <row r="16" spans="1:13" x14ac:dyDescent="0.25">
      <c r="A16" t="s">
        <v>73</v>
      </c>
      <c r="B16" s="56">
        <v>9.3497543294040106</v>
      </c>
      <c r="C16" s="56">
        <v>8.7096528659775778</v>
      </c>
      <c r="D16" s="56">
        <v>10.636225968380542</v>
      </c>
      <c r="E16" s="56">
        <v>12.338407558064466</v>
      </c>
      <c r="F16" s="56">
        <v>15.380904851034181</v>
      </c>
      <c r="G16" s="56">
        <v>19.657145631617592</v>
      </c>
      <c r="H16" s="56">
        <v>19.885471684330447</v>
      </c>
      <c r="I16" s="56">
        <v>16.143351496188902</v>
      </c>
      <c r="J16" s="56">
        <v>12.787784184275345</v>
      </c>
      <c r="K16" s="56">
        <v>13.137176806164728</v>
      </c>
      <c r="L16" s="56">
        <v>12.11176299494976</v>
      </c>
      <c r="M16" s="56">
        <v>10.271551530454929</v>
      </c>
    </row>
    <row r="17" spans="1:13" x14ac:dyDescent="0.25">
      <c r="A17" t="s">
        <v>74</v>
      </c>
      <c r="B17" s="56">
        <v>1.3402220375581386</v>
      </c>
      <c r="C17" s="56">
        <v>4.032171162790732E-2</v>
      </c>
      <c r="D17" s="56">
        <v>0</v>
      </c>
      <c r="E17" s="56">
        <v>0</v>
      </c>
      <c r="F17" s="56">
        <v>0</v>
      </c>
      <c r="G17" s="56">
        <v>0</v>
      </c>
      <c r="H17" s="56">
        <v>0</v>
      </c>
      <c r="I17" s="56">
        <v>10.794959645465118</v>
      </c>
      <c r="J17" s="56">
        <v>16.735005051162787</v>
      </c>
      <c r="K17" s="56">
        <v>17.223836419302327</v>
      </c>
      <c r="L17" s="56">
        <v>14.373669464534881</v>
      </c>
      <c r="M17" s="56">
        <v>5.2908299981395324</v>
      </c>
    </row>
    <row r="18" spans="1:13" x14ac:dyDescent="0.25">
      <c r="A18" s="2" t="s">
        <v>75</v>
      </c>
      <c r="B18" s="56">
        <v>0</v>
      </c>
      <c r="C18" s="56">
        <v>0</v>
      </c>
      <c r="D18" s="56">
        <v>0</v>
      </c>
      <c r="E18" s="56">
        <v>0</v>
      </c>
      <c r="F18" s="56">
        <v>0</v>
      </c>
      <c r="G18" s="56">
        <v>0</v>
      </c>
      <c r="H18" s="56">
        <v>0</v>
      </c>
      <c r="I18" s="56">
        <v>0</v>
      </c>
      <c r="J18" s="56">
        <v>0</v>
      </c>
      <c r="K18" s="56">
        <v>0</v>
      </c>
      <c r="L18" s="56">
        <v>0</v>
      </c>
      <c r="M18" s="56">
        <v>0</v>
      </c>
    </row>
    <row r="19" spans="1:13" x14ac:dyDescent="0.25">
      <c r="A19" s="2" t="s">
        <v>76</v>
      </c>
      <c r="B19" s="56">
        <v>0</v>
      </c>
      <c r="C19" s="56">
        <v>0</v>
      </c>
      <c r="D19" s="56">
        <v>0</v>
      </c>
      <c r="E19" s="56">
        <v>0</v>
      </c>
      <c r="F19" s="56">
        <v>0</v>
      </c>
      <c r="G19" s="56">
        <v>0</v>
      </c>
      <c r="H19" s="56">
        <v>0</v>
      </c>
      <c r="I19" s="56">
        <v>0</v>
      </c>
      <c r="J19" s="56">
        <v>0</v>
      </c>
      <c r="K19" s="56">
        <v>0</v>
      </c>
      <c r="L19" s="56">
        <v>0</v>
      </c>
      <c r="M19" s="56">
        <v>0</v>
      </c>
    </row>
    <row r="20" spans="1:13" x14ac:dyDescent="0.25">
      <c r="A20" t="s">
        <v>77</v>
      </c>
      <c r="B20" s="56">
        <v>0.98152127309162296</v>
      </c>
      <c r="C20" s="56">
        <v>1.228085552955644</v>
      </c>
      <c r="D20" s="56">
        <v>2.8919026968332311</v>
      </c>
      <c r="E20" s="56">
        <v>2.9539491870181465</v>
      </c>
      <c r="F20" s="56">
        <v>3.9126022652845371</v>
      </c>
      <c r="G20" s="56">
        <v>8.7516974809465928</v>
      </c>
      <c r="H20" s="56">
        <v>11.443512211311383</v>
      </c>
      <c r="I20" s="56">
        <v>5.2228037596758696</v>
      </c>
      <c r="J20" s="56">
        <v>1.9933264859856656</v>
      </c>
      <c r="K20" s="56">
        <v>1.4312465758819748</v>
      </c>
      <c r="L20" s="56">
        <v>1.4958237539726689</v>
      </c>
      <c r="M20" s="56">
        <v>1.2857612492449491</v>
      </c>
    </row>
    <row r="21" spans="1:13" x14ac:dyDescent="0.25">
      <c r="A21" s="2" t="s">
        <v>78</v>
      </c>
      <c r="B21" s="56">
        <v>0</v>
      </c>
      <c r="C21" s="56">
        <v>0</v>
      </c>
      <c r="D21" s="56">
        <v>0</v>
      </c>
      <c r="E21" s="56">
        <v>0</v>
      </c>
      <c r="F21" s="56">
        <v>0</v>
      </c>
      <c r="G21" s="56">
        <v>0</v>
      </c>
      <c r="H21" s="56">
        <v>0</v>
      </c>
      <c r="I21" s="56">
        <v>0</v>
      </c>
      <c r="J21" s="56">
        <v>0</v>
      </c>
      <c r="K21" s="56">
        <v>0</v>
      </c>
      <c r="L21" s="56">
        <v>0</v>
      </c>
      <c r="M21" s="56">
        <v>0</v>
      </c>
    </row>
    <row r="22" spans="1:13" x14ac:dyDescent="0.25">
      <c r="A22" s="2" t="s">
        <v>79</v>
      </c>
      <c r="B22" s="56">
        <v>0</v>
      </c>
      <c r="C22" s="56">
        <v>0</v>
      </c>
      <c r="D22" s="56">
        <v>0</v>
      </c>
      <c r="E22" s="56">
        <v>0</v>
      </c>
      <c r="F22" s="56">
        <v>0</v>
      </c>
      <c r="G22" s="56">
        <v>0</v>
      </c>
      <c r="H22" s="56">
        <v>0</v>
      </c>
      <c r="I22" s="56">
        <v>0</v>
      </c>
      <c r="J22" s="56">
        <v>0</v>
      </c>
      <c r="K22" s="56">
        <v>0</v>
      </c>
      <c r="L22" s="56">
        <v>0</v>
      </c>
      <c r="M22" s="56">
        <v>0</v>
      </c>
    </row>
    <row r="23" spans="1:13" x14ac:dyDescent="0.25">
      <c r="A23" s="2" t="s">
        <v>80</v>
      </c>
      <c r="B23" s="56">
        <v>0</v>
      </c>
      <c r="C23" s="56">
        <v>0</v>
      </c>
      <c r="D23" s="56">
        <v>0</v>
      </c>
      <c r="E23" s="56">
        <v>0</v>
      </c>
      <c r="F23" s="56">
        <v>0</v>
      </c>
      <c r="G23" s="56">
        <v>0</v>
      </c>
      <c r="H23" s="56">
        <v>0</v>
      </c>
      <c r="I23" s="56">
        <v>0</v>
      </c>
      <c r="J23" s="56">
        <v>0</v>
      </c>
      <c r="K23" s="56">
        <v>0</v>
      </c>
      <c r="L23" s="56">
        <v>0</v>
      </c>
      <c r="M23" s="56">
        <v>0</v>
      </c>
    </row>
    <row r="24" spans="1:13" x14ac:dyDescent="0.25">
      <c r="A24" t="s">
        <v>81</v>
      </c>
      <c r="B24" s="56">
        <v>1.1659308474411523</v>
      </c>
      <c r="C24" s="56">
        <v>0.77461956046801017</v>
      </c>
      <c r="D24" s="56">
        <v>1.4706768372844978</v>
      </c>
      <c r="E24" s="56">
        <v>1.8433833251423106</v>
      </c>
      <c r="F24" s="56">
        <v>2.5895603142422488</v>
      </c>
      <c r="G24" s="56">
        <v>3.7450688209416967</v>
      </c>
      <c r="H24" s="56">
        <v>3.1577025791532662</v>
      </c>
      <c r="I24" s="56">
        <v>3.6920586729431939</v>
      </c>
      <c r="J24" s="56">
        <v>9.0570772948589067</v>
      </c>
      <c r="K24" s="56">
        <v>12.431594481768512</v>
      </c>
      <c r="L24" s="56">
        <v>10.611152722975026</v>
      </c>
      <c r="M24" s="56">
        <v>4.4523406525472113</v>
      </c>
    </row>
    <row r="25" spans="1:13" x14ac:dyDescent="0.25">
      <c r="A25" t="s">
        <v>82</v>
      </c>
      <c r="B25" s="56">
        <v>1.6821134854976598</v>
      </c>
      <c r="C25" s="56">
        <v>1.704003205846111</v>
      </c>
      <c r="D25" s="56">
        <v>3.38955127422585</v>
      </c>
      <c r="E25" s="56">
        <v>4.738458076239553</v>
      </c>
      <c r="F25" s="56">
        <v>4.977144757562753</v>
      </c>
      <c r="G25" s="56">
        <v>10.575473875153419</v>
      </c>
      <c r="H25" s="56">
        <v>15.575553680700967</v>
      </c>
      <c r="I25" s="56">
        <v>9.4258366794686648</v>
      </c>
      <c r="J25" s="56">
        <v>4.1770476282389737</v>
      </c>
      <c r="K25" s="56">
        <v>1.3582084774794456</v>
      </c>
      <c r="L25" s="56">
        <v>1.0155498739341411</v>
      </c>
      <c r="M25" s="56">
        <v>0.80677789889067597</v>
      </c>
    </row>
    <row r="26" spans="1:13" x14ac:dyDescent="0.25">
      <c r="A26" t="s">
        <v>83</v>
      </c>
      <c r="B26" s="56">
        <v>6.1295947190476208E-2</v>
      </c>
      <c r="C26" s="56">
        <v>0</v>
      </c>
      <c r="D26" s="56">
        <v>0</v>
      </c>
      <c r="E26" s="56">
        <v>0</v>
      </c>
      <c r="F26" s="56">
        <v>0</v>
      </c>
      <c r="G26" s="56">
        <v>0</v>
      </c>
      <c r="H26" s="56">
        <v>0</v>
      </c>
      <c r="I26" s="56">
        <v>0.20115744865499691</v>
      </c>
      <c r="J26" s="56">
        <v>6.8450896649371087</v>
      </c>
      <c r="K26" s="56">
        <v>13.085175929188908</v>
      </c>
      <c r="L26" s="56">
        <v>10.839230697965696</v>
      </c>
      <c r="M26" s="56">
        <v>3.3526716826759873</v>
      </c>
    </row>
    <row r="27" spans="1:13" x14ac:dyDescent="0.25">
      <c r="A27" t="s">
        <v>84</v>
      </c>
      <c r="B27" s="56">
        <v>0</v>
      </c>
      <c r="C27" s="56">
        <v>0</v>
      </c>
      <c r="D27" s="56">
        <v>0</v>
      </c>
      <c r="E27" s="56">
        <v>0</v>
      </c>
      <c r="F27" s="56">
        <v>0</v>
      </c>
      <c r="G27" s="56">
        <v>0</v>
      </c>
      <c r="H27" s="56">
        <v>0</v>
      </c>
      <c r="I27" s="56">
        <v>0.58051896792145286</v>
      </c>
      <c r="J27" s="56">
        <v>1.0775511711001968</v>
      </c>
      <c r="K27" s="56">
        <v>1.609412804509418</v>
      </c>
      <c r="L27" s="56">
        <v>1.4476529014317983</v>
      </c>
      <c r="M27" s="56">
        <v>0.55168083377239796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8F03C-8C71-4953-B52F-31111617C6AF}">
  <sheetPr codeName="Sheet23">
    <tabColor rgb="FF7030A0"/>
  </sheetPr>
  <dimension ref="A1:M23"/>
  <sheetViews>
    <sheetView workbookViewId="0">
      <selection activeCell="M6" activeCellId="1" sqref="M10 M6"/>
    </sheetView>
  </sheetViews>
  <sheetFormatPr defaultRowHeight="15" x14ac:dyDescent="0.25"/>
  <cols>
    <col min="1" max="1" width="23" customWidth="1"/>
  </cols>
  <sheetData>
    <row r="1" spans="1:13" x14ac:dyDescent="0.25">
      <c r="A1" t="s">
        <v>156</v>
      </c>
      <c r="B1" t="s">
        <v>1</v>
      </c>
      <c r="C1" t="s">
        <v>2</v>
      </c>
      <c r="D1" t="s">
        <v>3</v>
      </c>
      <c r="E1" t="s">
        <v>4</v>
      </c>
      <c r="F1" t="s">
        <v>5</v>
      </c>
      <c r="G1" t="s">
        <v>6</v>
      </c>
      <c r="H1" t="s">
        <v>7</v>
      </c>
      <c r="I1" t="s">
        <v>8</v>
      </c>
      <c r="J1" t="s">
        <v>9</v>
      </c>
      <c r="K1" t="s">
        <v>10</v>
      </c>
      <c r="L1" t="s">
        <v>11</v>
      </c>
      <c r="M1" t="s">
        <v>12</v>
      </c>
    </row>
    <row r="2" spans="1:13" x14ac:dyDescent="0.25">
      <c r="A2" t="s">
        <v>72</v>
      </c>
      <c r="B2" s="36">
        <v>0</v>
      </c>
      <c r="C2" s="36">
        <v>0</v>
      </c>
      <c r="D2" s="36">
        <v>0</v>
      </c>
      <c r="E2" s="36">
        <v>0</v>
      </c>
      <c r="F2" s="36">
        <v>0</v>
      </c>
      <c r="G2" s="36">
        <v>0</v>
      </c>
      <c r="H2" s="36">
        <v>0</v>
      </c>
      <c r="I2" s="36">
        <v>0</v>
      </c>
      <c r="J2" s="36">
        <v>0</v>
      </c>
      <c r="K2" s="36">
        <v>0</v>
      </c>
      <c r="L2" s="36">
        <v>0</v>
      </c>
      <c r="M2" s="36">
        <v>0</v>
      </c>
    </row>
    <row r="3" spans="1:13" x14ac:dyDescent="0.25">
      <c r="A3" t="s">
        <v>73</v>
      </c>
      <c r="B3" s="36">
        <v>0</v>
      </c>
      <c r="C3" s="36">
        <v>0</v>
      </c>
      <c r="D3" s="36">
        <v>0</v>
      </c>
      <c r="E3" s="36">
        <v>0</v>
      </c>
      <c r="F3" s="36">
        <v>0</v>
      </c>
      <c r="G3" s="36">
        <v>0</v>
      </c>
      <c r="H3" s="36">
        <v>0</v>
      </c>
      <c r="I3" s="36">
        <v>0</v>
      </c>
      <c r="J3" s="36">
        <v>0</v>
      </c>
      <c r="K3" s="36">
        <v>0</v>
      </c>
      <c r="L3" s="36">
        <v>0</v>
      </c>
      <c r="M3" s="36">
        <v>0</v>
      </c>
    </row>
    <row r="4" spans="1:13" x14ac:dyDescent="0.25">
      <c r="A4" t="s">
        <v>74</v>
      </c>
      <c r="B4" s="36">
        <v>0</v>
      </c>
      <c r="C4" s="36">
        <v>0</v>
      </c>
      <c r="D4" s="36">
        <v>0</v>
      </c>
      <c r="E4" s="36">
        <v>0</v>
      </c>
      <c r="F4" s="36">
        <v>0</v>
      </c>
      <c r="G4" s="36">
        <v>0</v>
      </c>
      <c r="H4" s="36">
        <v>0</v>
      </c>
      <c r="I4" s="36">
        <v>0</v>
      </c>
      <c r="J4" s="36">
        <v>0</v>
      </c>
      <c r="K4" s="36">
        <v>0</v>
      </c>
      <c r="L4" s="36">
        <v>0</v>
      </c>
      <c r="M4" s="36">
        <v>0</v>
      </c>
    </row>
    <row r="5" spans="1:13" x14ac:dyDescent="0.25">
      <c r="A5" s="2" t="s">
        <v>75</v>
      </c>
      <c r="B5" s="37">
        <v>12.125877819882888</v>
      </c>
      <c r="C5" s="37">
        <v>10.377958505663685</v>
      </c>
      <c r="D5" s="37">
        <v>8.0891646717829389</v>
      </c>
      <c r="E5" s="37">
        <v>7.1362161618969253</v>
      </c>
      <c r="F5" s="37">
        <v>4.7054007246178742</v>
      </c>
      <c r="G5" s="37">
        <v>5.733525024938217</v>
      </c>
      <c r="H5" s="37">
        <v>10.455151077794426</v>
      </c>
      <c r="I5" s="37">
        <v>3.802392700608678</v>
      </c>
      <c r="J5" s="37">
        <v>-8.5840574187659797</v>
      </c>
      <c r="K5" s="37">
        <v>-19.931485019915925</v>
      </c>
      <c r="L5" s="37">
        <v>-19.031019416827078</v>
      </c>
      <c r="M5" s="37">
        <v>3.962404396639954</v>
      </c>
    </row>
    <row r="6" spans="1:13" x14ac:dyDescent="0.25">
      <c r="A6" s="2" t="s">
        <v>76</v>
      </c>
      <c r="B6" s="37">
        <v>0.64708609253142413</v>
      </c>
      <c r="C6" s="37">
        <v>0.36665030240558849</v>
      </c>
      <c r="D6" s="37">
        <v>5.6835726708186485E-3</v>
      </c>
      <c r="E6" s="37">
        <v>2.8421709430404007E-14</v>
      </c>
      <c r="F6" s="37">
        <v>-2.5069965215607226E-3</v>
      </c>
      <c r="G6" s="37">
        <v>2.506955616979667E-3</v>
      </c>
      <c r="H6" s="37">
        <v>3.4720248993039604E-2</v>
      </c>
      <c r="I6" s="37">
        <v>5.1571940464867794E-2</v>
      </c>
      <c r="J6" s="37">
        <v>-8.9495220718333712E-2</v>
      </c>
      <c r="K6" s="37">
        <v>-0.13815130206761239</v>
      </c>
      <c r="L6" s="37">
        <v>-5.1958302484891306E-2</v>
      </c>
      <c r="M6" s="37">
        <v>0.58199848567861068</v>
      </c>
    </row>
    <row r="7" spans="1:13" x14ac:dyDescent="0.25">
      <c r="A7" t="s">
        <v>77</v>
      </c>
      <c r="B7" s="36">
        <v>0</v>
      </c>
      <c r="C7" s="36">
        <v>0</v>
      </c>
      <c r="D7" s="36">
        <v>0</v>
      </c>
      <c r="E7" s="36">
        <v>0</v>
      </c>
      <c r="F7" s="36">
        <v>0</v>
      </c>
      <c r="G7" s="36">
        <v>0</v>
      </c>
      <c r="H7" s="36">
        <v>0</v>
      </c>
      <c r="I7" s="36">
        <v>0</v>
      </c>
      <c r="J7" s="36">
        <v>0</v>
      </c>
      <c r="K7" s="36">
        <v>0</v>
      </c>
      <c r="L7" s="36">
        <v>0</v>
      </c>
      <c r="M7" s="36">
        <v>0</v>
      </c>
    </row>
    <row r="8" spans="1:13" x14ac:dyDescent="0.25">
      <c r="A8" s="2" t="s">
        <v>78</v>
      </c>
      <c r="B8" s="37">
        <v>3.8067403300647982</v>
      </c>
      <c r="C8" s="37">
        <v>27.73899927388176</v>
      </c>
      <c r="D8" s="37">
        <v>36.632826974077872</v>
      </c>
      <c r="E8" s="37">
        <v>29.757777552329173</v>
      </c>
      <c r="F8" s="37">
        <v>26.279863498501868</v>
      </c>
      <c r="G8" s="37">
        <v>46.23390628378985</v>
      </c>
      <c r="H8" s="37">
        <v>21.909638837737759</v>
      </c>
      <c r="I8" s="37">
        <v>8.0576312355505735</v>
      </c>
      <c r="J8" s="37">
        <v>-16.795351142398232</v>
      </c>
      <c r="K8" s="37">
        <v>-50.583650776771989</v>
      </c>
      <c r="L8" s="37">
        <v>-53.6014372038278</v>
      </c>
      <c r="M8" s="37">
        <v>-20.65671515150153</v>
      </c>
    </row>
    <row r="9" spans="1:13" x14ac:dyDescent="0.25">
      <c r="A9" s="2" t="s">
        <v>79</v>
      </c>
      <c r="B9" s="37">
        <v>-1.9101625028626614</v>
      </c>
      <c r="C9" s="37">
        <v>0.69927148299426278</v>
      </c>
      <c r="D9" s="37">
        <v>6.0361461980774607</v>
      </c>
      <c r="E9" s="37">
        <v>8.0320045527014656</v>
      </c>
      <c r="F9" s="37">
        <v>2.7590200457690628</v>
      </c>
      <c r="G9" s="37">
        <v>6.2591323346361492</v>
      </c>
      <c r="H9" s="37">
        <v>3.63122205474167</v>
      </c>
      <c r="I9" s="37">
        <v>0.41166730215613256</v>
      </c>
      <c r="J9" s="37">
        <v>-0.46573312585925919</v>
      </c>
      <c r="K9" s="37">
        <v>-3.0876800096463342</v>
      </c>
      <c r="L9" s="37">
        <v>-3.3353615425360061</v>
      </c>
      <c r="M9" s="37">
        <v>-3.387401250017092</v>
      </c>
    </row>
    <row r="10" spans="1:13" x14ac:dyDescent="0.25">
      <c r="A10" s="2" t="s">
        <v>80</v>
      </c>
      <c r="B10" s="37">
        <v>0.21468893930472177</v>
      </c>
      <c r="C10" s="37">
        <v>2.0759656128177539E-3</v>
      </c>
      <c r="D10" s="37">
        <v>4.5925505575155512E-2</v>
      </c>
      <c r="E10" s="37">
        <v>2.4638323218880487E-2</v>
      </c>
      <c r="F10" s="37">
        <v>0.11112820512821031</v>
      </c>
      <c r="G10" s="37">
        <v>-5.6843418860808015E-14</v>
      </c>
      <c r="H10" s="37">
        <v>0.17602790833348081</v>
      </c>
      <c r="I10" s="37">
        <v>0.38357957000005172</v>
      </c>
      <c r="J10" s="37">
        <v>0.58021300482566573</v>
      </c>
      <c r="K10" s="37">
        <v>0.66162744707779098</v>
      </c>
      <c r="L10" s="37">
        <v>0.64846904972007735</v>
      </c>
      <c r="M10" s="37">
        <v>0.40010746750373016</v>
      </c>
    </row>
    <row r="11" spans="1:13" x14ac:dyDescent="0.25">
      <c r="A11" t="s">
        <v>81</v>
      </c>
      <c r="B11" s="36">
        <v>0</v>
      </c>
      <c r="C11" s="36">
        <v>0</v>
      </c>
      <c r="D11" s="36">
        <v>0</v>
      </c>
      <c r="E11" s="36">
        <v>0</v>
      </c>
      <c r="F11" s="36">
        <v>0</v>
      </c>
      <c r="G11" s="36">
        <v>0</v>
      </c>
      <c r="H11" s="36">
        <v>0</v>
      </c>
      <c r="I11" s="36">
        <v>0</v>
      </c>
      <c r="J11" s="36">
        <v>0</v>
      </c>
      <c r="K11" s="36">
        <v>0</v>
      </c>
      <c r="L11" s="36">
        <v>0</v>
      </c>
      <c r="M11" s="36">
        <v>0</v>
      </c>
    </row>
    <row r="12" spans="1:13" x14ac:dyDescent="0.25">
      <c r="A12" t="s">
        <v>82</v>
      </c>
      <c r="B12" s="36">
        <v>0</v>
      </c>
      <c r="C12" s="36">
        <v>0</v>
      </c>
      <c r="D12" s="36">
        <v>0</v>
      </c>
      <c r="E12" s="36">
        <v>0</v>
      </c>
      <c r="F12" s="36">
        <v>0</v>
      </c>
      <c r="G12" s="36">
        <v>0</v>
      </c>
      <c r="H12" s="36">
        <v>0</v>
      </c>
      <c r="I12" s="36">
        <v>0</v>
      </c>
      <c r="J12" s="36">
        <v>0</v>
      </c>
      <c r="K12" s="36">
        <v>0</v>
      </c>
      <c r="L12" s="36">
        <v>0</v>
      </c>
      <c r="M12" s="36">
        <v>0</v>
      </c>
    </row>
    <row r="13" spans="1:13" x14ac:dyDescent="0.25">
      <c r="A13" t="s">
        <v>83</v>
      </c>
      <c r="B13" s="36">
        <v>0</v>
      </c>
      <c r="C13" s="36">
        <v>0</v>
      </c>
      <c r="D13" s="36">
        <v>0</v>
      </c>
      <c r="E13" s="36">
        <v>0</v>
      </c>
      <c r="F13" s="36">
        <v>0</v>
      </c>
      <c r="G13" s="36">
        <v>0</v>
      </c>
      <c r="H13" s="36">
        <v>0</v>
      </c>
      <c r="I13" s="36">
        <v>0</v>
      </c>
      <c r="J13" s="36">
        <v>0</v>
      </c>
      <c r="K13" s="36">
        <v>0</v>
      </c>
      <c r="L13" s="36">
        <v>0</v>
      </c>
      <c r="M13" s="36">
        <v>0</v>
      </c>
    </row>
    <row r="14" spans="1:13" x14ac:dyDescent="0.25">
      <c r="A14" t="s">
        <v>84</v>
      </c>
      <c r="B14" s="36">
        <v>0</v>
      </c>
      <c r="C14" s="36">
        <v>0</v>
      </c>
      <c r="D14" s="36">
        <v>0</v>
      </c>
      <c r="E14" s="36">
        <v>0</v>
      </c>
      <c r="F14" s="36">
        <v>0</v>
      </c>
      <c r="G14" s="36">
        <v>0</v>
      </c>
      <c r="H14" s="36">
        <v>0</v>
      </c>
      <c r="I14" s="36">
        <v>0</v>
      </c>
      <c r="J14" s="36">
        <v>0</v>
      </c>
      <c r="K14" s="36">
        <v>0</v>
      </c>
      <c r="L14" s="36">
        <v>0</v>
      </c>
      <c r="M14" s="36">
        <v>0</v>
      </c>
    </row>
    <row r="15" spans="1:13" x14ac:dyDescent="0.25">
      <c r="A15">
        <v>1E-3</v>
      </c>
      <c r="B15" s="7">
        <f>B18*$A$16</f>
        <v>8.352178010609497E-2</v>
      </c>
      <c r="C15" s="7">
        <f t="shared" ref="C15:M15" si="0">C18*$A$16</f>
        <v>8.0848792711420772E-2</v>
      </c>
      <c r="D15" s="7">
        <f t="shared" si="0"/>
        <v>8.3348839590563689E-2</v>
      </c>
      <c r="E15" s="7">
        <f t="shared" si="0"/>
        <v>8.2839241057123633E-2</v>
      </c>
      <c r="F15" s="7">
        <f t="shared" si="0"/>
        <v>7.4374178431396223E-2</v>
      </c>
      <c r="G15" s="7">
        <f t="shared" si="0"/>
        <v>8.2034887598767522E-2</v>
      </c>
      <c r="H15" s="7">
        <f t="shared" si="0"/>
        <v>7.9230330135604099E-2</v>
      </c>
      <c r="I15" s="7">
        <f t="shared" si="0"/>
        <v>8.2242176753403701E-2</v>
      </c>
      <c r="J15" s="7">
        <f t="shared" si="0"/>
        <v>8.0954502435119466E-2</v>
      </c>
      <c r="K15" s="7">
        <f t="shared" si="0"/>
        <v>8.6045837866616168E-2</v>
      </c>
      <c r="L15" s="7">
        <f t="shared" si="0"/>
        <v>8.9114328963364089E-2</v>
      </c>
      <c r="M15" s="7">
        <f t="shared" si="0"/>
        <v>8.8951486246205552E-2</v>
      </c>
    </row>
    <row r="16" spans="1:13" x14ac:dyDescent="0.25">
      <c r="A16">
        <v>1E-3</v>
      </c>
      <c r="B16" s="7">
        <f>B19*$A$16</f>
        <v>0.13202244244604328</v>
      </c>
      <c r="C16" s="7">
        <f t="shared" ref="C16:M16" si="1">C19*$A$16</f>
        <v>0.28264051903828502</v>
      </c>
      <c r="D16" s="7">
        <f t="shared" si="1"/>
        <v>0.498914525570609</v>
      </c>
      <c r="E16" s="7">
        <f t="shared" si="1"/>
        <v>0.48922248669516372</v>
      </c>
      <c r="F16" s="7">
        <f t="shared" si="1"/>
        <v>0.40873180450121321</v>
      </c>
      <c r="G16" s="7">
        <f t="shared" si="1"/>
        <v>0.39676484672977724</v>
      </c>
      <c r="H16" s="7">
        <f t="shared" si="1"/>
        <v>0.32574399955030925</v>
      </c>
      <c r="I16" s="7">
        <f t="shared" si="1"/>
        <v>0.43967805426344686</v>
      </c>
      <c r="J16" s="7">
        <f t="shared" si="1"/>
        <v>0.19748387240961221</v>
      </c>
      <c r="K16" s="7">
        <f t="shared" si="1"/>
        <v>9.1015775384838432E-2</v>
      </c>
      <c r="L16" s="7">
        <f t="shared" si="1"/>
        <v>9.3641552141020865E-2</v>
      </c>
      <c r="M16" s="7">
        <f t="shared" si="1"/>
        <v>0.10087066886832244</v>
      </c>
    </row>
    <row r="17" spans="2:13" x14ac:dyDescent="0.25">
      <c r="B17" s="7">
        <f>B16*1</f>
        <v>0.13202244244604328</v>
      </c>
      <c r="C17" s="7">
        <f>C16*1</f>
        <v>0.28264051903828502</v>
      </c>
      <c r="D17" s="7">
        <f>D16*1</f>
        <v>0.498914525570609</v>
      </c>
      <c r="E17">
        <v>0</v>
      </c>
      <c r="F17">
        <v>0</v>
      </c>
      <c r="G17">
        <v>0</v>
      </c>
      <c r="H17">
        <v>0</v>
      </c>
      <c r="I17">
        <v>0</v>
      </c>
      <c r="J17" s="7">
        <f>J16*-1</f>
        <v>-0.19748387240961221</v>
      </c>
      <c r="K17" s="7">
        <f>K16*-1</f>
        <v>-9.1015775384838432E-2</v>
      </c>
      <c r="L17" s="7">
        <f>L16*-1</f>
        <v>-9.3641552141020865E-2</v>
      </c>
      <c r="M17" s="7">
        <f>M16*-1</f>
        <v>-0.10087066886832244</v>
      </c>
    </row>
    <row r="18" spans="2:13" x14ac:dyDescent="0.25">
      <c r="B18" s="62">
        <v>83.521780106094965</v>
      </c>
      <c r="C18" s="62">
        <v>80.848792711420771</v>
      </c>
      <c r="D18" s="62">
        <v>83.348839590563685</v>
      </c>
      <c r="E18" s="62">
        <v>82.83924105712363</v>
      </c>
      <c r="F18" s="62">
        <v>74.374178431396217</v>
      </c>
      <c r="G18" s="62">
        <v>82.034887598767526</v>
      </c>
      <c r="H18" s="62">
        <v>79.230330135604092</v>
      </c>
      <c r="I18" s="62">
        <v>82.242176753403697</v>
      </c>
      <c r="J18" s="62">
        <v>80.954502435119466</v>
      </c>
      <c r="K18" s="62">
        <v>86.045837866616168</v>
      </c>
      <c r="L18" s="62">
        <v>89.114328963364088</v>
      </c>
      <c r="M18" s="62">
        <v>88.951486246205548</v>
      </c>
    </row>
    <row r="19" spans="2:13" x14ac:dyDescent="0.25">
      <c r="B19" s="61">
        <v>132.02244244604327</v>
      </c>
      <c r="C19" s="61">
        <v>282.64051903828499</v>
      </c>
      <c r="D19" s="61">
        <v>498.91452557060899</v>
      </c>
      <c r="E19" s="61">
        <v>489.2224866951637</v>
      </c>
      <c r="F19" s="61">
        <v>408.73180450121322</v>
      </c>
      <c r="G19" s="61">
        <v>396.76484672977722</v>
      </c>
      <c r="H19" s="61">
        <v>325.74399955030924</v>
      </c>
      <c r="I19" s="61">
        <v>439.67805426344682</v>
      </c>
      <c r="J19" s="61">
        <v>197.48387240961222</v>
      </c>
      <c r="K19" s="61">
        <v>91.015775384838435</v>
      </c>
      <c r="L19" s="61">
        <v>93.641552141020867</v>
      </c>
      <c r="M19" s="61">
        <v>100.87066886832244</v>
      </c>
    </row>
    <row r="20" spans="2:13" x14ac:dyDescent="0.25">
      <c r="B20" s="61">
        <v>141.33130941253523</v>
      </c>
      <c r="C20" s="61">
        <v>289.40063814750596</v>
      </c>
      <c r="D20" s="61">
        <v>540.28475493576695</v>
      </c>
      <c r="E20" s="61">
        <v>541.57130069979496</v>
      </c>
      <c r="F20" s="61">
        <v>498.25900922005007</v>
      </c>
      <c r="G20" s="61">
        <v>557.20256055370669</v>
      </c>
      <c r="H20" s="61">
        <v>542.73662106170502</v>
      </c>
      <c r="I20" s="61">
        <v>553.90798954214483</v>
      </c>
      <c r="J20" s="61">
        <v>231.29374320746152</v>
      </c>
      <c r="K20" s="61">
        <v>121.91840988596503</v>
      </c>
      <c r="L20" s="61">
        <v>123.99710595770229</v>
      </c>
      <c r="M20" s="61">
        <v>122.95332626503524</v>
      </c>
    </row>
    <row r="23" spans="2:13" x14ac:dyDescent="0.25">
      <c r="B23">
        <v>1</v>
      </c>
      <c r="C23">
        <v>1</v>
      </c>
      <c r="D23">
        <v>1</v>
      </c>
      <c r="E23">
        <v>0</v>
      </c>
      <c r="F23">
        <v>0</v>
      </c>
      <c r="G23">
        <v>0</v>
      </c>
      <c r="H23">
        <v>0</v>
      </c>
      <c r="I23">
        <v>0</v>
      </c>
      <c r="J23">
        <v>-1</v>
      </c>
      <c r="K23">
        <v>-1</v>
      </c>
      <c r="L23">
        <v>-1</v>
      </c>
      <c r="M23">
        <v>-1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4A385-0DEA-4076-9428-B09EA4A867AC}">
  <sheetPr codeName="Sheet9">
    <tabColor rgb="FF7030A0"/>
  </sheetPr>
  <dimension ref="A1:M14"/>
  <sheetViews>
    <sheetView workbookViewId="0">
      <selection activeCell="M6" activeCellId="1" sqref="M10 M6"/>
    </sheetView>
  </sheetViews>
  <sheetFormatPr defaultRowHeight="15" x14ac:dyDescent="0.25"/>
  <cols>
    <col min="1" max="1" width="23" customWidth="1"/>
  </cols>
  <sheetData>
    <row r="1" spans="1:13" x14ac:dyDescent="0.25">
      <c r="A1" t="s">
        <v>66</v>
      </c>
      <c r="B1" t="s">
        <v>1</v>
      </c>
      <c r="C1" t="s">
        <v>2</v>
      </c>
      <c r="D1" t="s">
        <v>3</v>
      </c>
      <c r="E1" t="s">
        <v>4</v>
      </c>
      <c r="F1" t="s">
        <v>5</v>
      </c>
      <c r="G1" t="s">
        <v>6</v>
      </c>
      <c r="H1" t="s">
        <v>7</v>
      </c>
      <c r="I1" t="s">
        <v>8</v>
      </c>
      <c r="J1" t="s">
        <v>9</v>
      </c>
      <c r="K1" t="s">
        <v>10</v>
      </c>
      <c r="L1" t="s">
        <v>11</v>
      </c>
      <c r="M1" t="s">
        <v>12</v>
      </c>
    </row>
    <row r="2" spans="1:13" x14ac:dyDescent="0.25">
      <c r="A2" t="s">
        <v>72</v>
      </c>
      <c r="B2" s="44">
        <v>0</v>
      </c>
      <c r="C2" s="44">
        <v>0</v>
      </c>
      <c r="D2" s="44">
        <v>0</v>
      </c>
      <c r="E2" s="44">
        <v>0</v>
      </c>
      <c r="F2" s="44">
        <v>0</v>
      </c>
      <c r="G2" s="44">
        <v>0</v>
      </c>
      <c r="H2" s="44">
        <v>0</v>
      </c>
      <c r="I2" s="44">
        <v>0</v>
      </c>
      <c r="J2" s="44">
        <v>0</v>
      </c>
      <c r="K2" s="44">
        <v>0</v>
      </c>
      <c r="L2" s="44">
        <v>0</v>
      </c>
      <c r="M2" s="44">
        <v>0</v>
      </c>
    </row>
    <row r="3" spans="1:13" x14ac:dyDescent="0.25">
      <c r="A3" t="s">
        <v>73</v>
      </c>
      <c r="B3" s="44">
        <v>0</v>
      </c>
      <c r="C3" s="44">
        <v>0</v>
      </c>
      <c r="D3" s="44">
        <v>0</v>
      </c>
      <c r="E3" s="44">
        <v>0</v>
      </c>
      <c r="F3" s="44">
        <v>0</v>
      </c>
      <c r="G3" s="44">
        <v>0</v>
      </c>
      <c r="H3" s="44">
        <v>0</v>
      </c>
      <c r="I3" s="44">
        <v>0</v>
      </c>
      <c r="J3" s="44">
        <v>0</v>
      </c>
      <c r="K3" s="44">
        <v>0</v>
      </c>
      <c r="L3" s="44">
        <v>0</v>
      </c>
      <c r="M3" s="44">
        <v>0</v>
      </c>
    </row>
    <row r="4" spans="1:13" x14ac:dyDescent="0.25">
      <c r="A4" t="s">
        <v>74</v>
      </c>
      <c r="B4" s="44">
        <v>0</v>
      </c>
      <c r="C4" s="44">
        <v>0</v>
      </c>
      <c r="D4" s="44">
        <v>0</v>
      </c>
      <c r="E4" s="44">
        <v>0</v>
      </c>
      <c r="F4" s="44">
        <v>0</v>
      </c>
      <c r="G4" s="44">
        <v>0</v>
      </c>
      <c r="H4" s="44">
        <v>0</v>
      </c>
      <c r="I4" s="44">
        <v>0</v>
      </c>
      <c r="J4" s="44">
        <v>0</v>
      </c>
      <c r="K4" s="44">
        <v>0</v>
      </c>
      <c r="L4" s="44">
        <v>0</v>
      </c>
      <c r="M4" s="44">
        <v>0</v>
      </c>
    </row>
    <row r="5" spans="1:13" x14ac:dyDescent="0.25">
      <c r="A5" s="2" t="s">
        <v>75</v>
      </c>
      <c r="B5" s="45">
        <v>1.4097694115956154</v>
      </c>
      <c r="C5" s="46">
        <v>0</v>
      </c>
      <c r="D5" s="46">
        <v>0</v>
      </c>
      <c r="E5" s="46">
        <v>0</v>
      </c>
      <c r="F5" s="46">
        <v>0</v>
      </c>
      <c r="G5" s="46">
        <v>0</v>
      </c>
      <c r="H5" s="46">
        <v>0.57988649681600535</v>
      </c>
      <c r="I5" s="46">
        <v>1.8414228559739148</v>
      </c>
      <c r="J5" s="46">
        <v>3.2008645038418329</v>
      </c>
      <c r="K5" s="46">
        <v>4.3691461437628032</v>
      </c>
      <c r="L5" s="46">
        <v>4.3055855298411778</v>
      </c>
      <c r="M5" s="46">
        <v>3.1348548371324987</v>
      </c>
    </row>
    <row r="6" spans="1:13" x14ac:dyDescent="0.25">
      <c r="A6" s="2" t="s">
        <v>76</v>
      </c>
      <c r="B6" s="45">
        <v>0.11010517906002197</v>
      </c>
      <c r="C6" s="46">
        <v>0</v>
      </c>
      <c r="D6" s="46">
        <v>0</v>
      </c>
      <c r="E6" s="46">
        <v>0</v>
      </c>
      <c r="F6" s="46">
        <v>0</v>
      </c>
      <c r="G6" s="46">
        <v>0</v>
      </c>
      <c r="H6" s="46">
        <v>4.8789686278901019E-2</v>
      </c>
      <c r="I6" s="46">
        <v>0.13885355451994266</v>
      </c>
      <c r="J6" s="46">
        <v>0.23600628636470028</v>
      </c>
      <c r="K6" s="46">
        <v>0.32078432667910167</v>
      </c>
      <c r="L6" s="46">
        <v>0.31812929643887045</v>
      </c>
      <c r="M6" s="46">
        <v>0.2350521385952343</v>
      </c>
    </row>
    <row r="7" spans="1:13" x14ac:dyDescent="0.25">
      <c r="A7" t="s">
        <v>77</v>
      </c>
      <c r="B7" s="44">
        <v>0</v>
      </c>
      <c r="C7" s="44">
        <v>0</v>
      </c>
      <c r="D7" s="44">
        <v>0</v>
      </c>
      <c r="E7" s="44">
        <v>0</v>
      </c>
      <c r="F7" s="44">
        <v>0</v>
      </c>
      <c r="G7" s="44">
        <v>0</v>
      </c>
      <c r="H7" s="44">
        <v>0</v>
      </c>
      <c r="I7" s="44">
        <v>0</v>
      </c>
      <c r="J7" s="44">
        <v>0</v>
      </c>
      <c r="K7" s="44">
        <v>0</v>
      </c>
      <c r="L7" s="44">
        <v>0</v>
      </c>
      <c r="M7" s="44">
        <v>0</v>
      </c>
    </row>
    <row r="8" spans="1:13" x14ac:dyDescent="0.25">
      <c r="A8" s="2" t="s">
        <v>78</v>
      </c>
      <c r="B8" s="45">
        <v>3.5756980536133867</v>
      </c>
      <c r="C8" s="46">
        <v>0.70603871085131753</v>
      </c>
      <c r="D8" s="46">
        <v>0</v>
      </c>
      <c r="E8" s="46">
        <v>0</v>
      </c>
      <c r="F8" s="46">
        <v>0</v>
      </c>
      <c r="G8" s="46">
        <v>0</v>
      </c>
      <c r="H8" s="46">
        <v>4.2805721764393487</v>
      </c>
      <c r="I8" s="46">
        <v>6.7754015658758204</v>
      </c>
      <c r="J8" s="46">
        <v>9.851818732220746</v>
      </c>
      <c r="K8" s="46">
        <v>13.449655872799308</v>
      </c>
      <c r="L8" s="46">
        <v>12.218187686410516</v>
      </c>
      <c r="M8" s="46">
        <v>8.1390533282569741</v>
      </c>
    </row>
    <row r="9" spans="1:13" x14ac:dyDescent="0.25">
      <c r="A9" s="2" t="s">
        <v>79</v>
      </c>
      <c r="B9" s="45">
        <v>1.0080578148567121</v>
      </c>
      <c r="C9" s="46">
        <v>6.5339127015105513E-3</v>
      </c>
      <c r="D9" s="46">
        <v>0</v>
      </c>
      <c r="E9" s="46">
        <v>0</v>
      </c>
      <c r="F9" s="46">
        <v>0</v>
      </c>
      <c r="G9" s="46">
        <v>0</v>
      </c>
      <c r="H9" s="46">
        <v>1.0058469975536839</v>
      </c>
      <c r="I9" s="46">
        <v>1.8571617955015551</v>
      </c>
      <c r="J9" s="46">
        <v>2.7886444631161007</v>
      </c>
      <c r="K9" s="46">
        <v>3.7010339516894075</v>
      </c>
      <c r="L9" s="46">
        <v>3.5175433679975052</v>
      </c>
      <c r="M9" s="46">
        <v>2.4283867909236001</v>
      </c>
    </row>
    <row r="10" spans="1:13" x14ac:dyDescent="0.25">
      <c r="A10" s="2" t="s">
        <v>80</v>
      </c>
      <c r="B10" s="45">
        <v>0.17308441559183135</v>
      </c>
      <c r="C10" s="46">
        <v>4.09622863275865E-2</v>
      </c>
      <c r="D10" s="46">
        <v>0</v>
      </c>
      <c r="E10" s="46">
        <v>0</v>
      </c>
      <c r="F10" s="46">
        <v>0</v>
      </c>
      <c r="G10" s="46">
        <v>0</v>
      </c>
      <c r="H10" s="46">
        <v>0.17602790833333343</v>
      </c>
      <c r="I10" s="46">
        <v>0.38357957000000026</v>
      </c>
      <c r="J10" s="46">
        <v>0.58772699850917709</v>
      </c>
      <c r="K10" s="46">
        <v>0.74618093058747736</v>
      </c>
      <c r="L10" s="46">
        <v>0.68716881069991387</v>
      </c>
      <c r="M10" s="46">
        <v>0.45381153204118124</v>
      </c>
    </row>
    <row r="11" spans="1:13" x14ac:dyDescent="0.25">
      <c r="A11" t="s">
        <v>81</v>
      </c>
      <c r="B11" s="44">
        <v>0</v>
      </c>
      <c r="C11" s="44">
        <v>0</v>
      </c>
      <c r="D11" s="44">
        <v>0</v>
      </c>
      <c r="E11" s="44">
        <v>0</v>
      </c>
      <c r="F11" s="44">
        <v>0</v>
      </c>
      <c r="G11" s="44">
        <v>0</v>
      </c>
      <c r="H11" s="44">
        <v>0</v>
      </c>
      <c r="I11" s="44">
        <v>0</v>
      </c>
      <c r="J11" s="44">
        <v>0</v>
      </c>
      <c r="K11" s="44">
        <v>0</v>
      </c>
      <c r="L11" s="44">
        <v>0</v>
      </c>
      <c r="M11" s="44">
        <v>0</v>
      </c>
    </row>
    <row r="12" spans="1:13" x14ac:dyDescent="0.25">
      <c r="A12" t="s">
        <v>82</v>
      </c>
      <c r="B12" s="44">
        <v>0</v>
      </c>
      <c r="C12" s="44">
        <v>0</v>
      </c>
      <c r="D12" s="44">
        <v>0</v>
      </c>
      <c r="E12" s="44">
        <v>0</v>
      </c>
      <c r="F12" s="44">
        <v>0</v>
      </c>
      <c r="G12" s="44">
        <v>0</v>
      </c>
      <c r="H12" s="44">
        <v>0</v>
      </c>
      <c r="I12" s="44">
        <v>0</v>
      </c>
      <c r="J12" s="44">
        <v>0</v>
      </c>
      <c r="K12" s="44">
        <v>0</v>
      </c>
      <c r="L12" s="44">
        <v>0</v>
      </c>
      <c r="M12" s="44">
        <v>0</v>
      </c>
    </row>
    <row r="13" spans="1:13" x14ac:dyDescent="0.25">
      <c r="A13" t="s">
        <v>83</v>
      </c>
      <c r="B13" s="44">
        <v>0</v>
      </c>
      <c r="C13" s="44">
        <v>0</v>
      </c>
      <c r="D13" s="44">
        <v>0</v>
      </c>
      <c r="E13" s="44">
        <v>0</v>
      </c>
      <c r="F13" s="44">
        <v>0</v>
      </c>
      <c r="G13" s="44">
        <v>0</v>
      </c>
      <c r="H13" s="44">
        <v>0</v>
      </c>
      <c r="I13" s="44">
        <v>0</v>
      </c>
      <c r="J13" s="44">
        <v>0</v>
      </c>
      <c r="K13" s="44">
        <v>0</v>
      </c>
      <c r="L13" s="44">
        <v>0</v>
      </c>
      <c r="M13" s="44">
        <v>0</v>
      </c>
    </row>
    <row r="14" spans="1:13" x14ac:dyDescent="0.25">
      <c r="A14" t="s">
        <v>84</v>
      </c>
      <c r="B14" s="44">
        <v>0</v>
      </c>
      <c r="C14" s="44">
        <v>0</v>
      </c>
      <c r="D14" s="44">
        <v>0</v>
      </c>
      <c r="E14" s="44">
        <v>0</v>
      </c>
      <c r="F14" s="44">
        <v>0</v>
      </c>
      <c r="G14" s="44">
        <v>0</v>
      </c>
      <c r="H14" s="44">
        <v>0</v>
      </c>
      <c r="I14" s="44">
        <v>0</v>
      </c>
      <c r="J14" s="44">
        <v>0</v>
      </c>
      <c r="K14" s="44">
        <v>0</v>
      </c>
      <c r="L14" s="44">
        <v>0</v>
      </c>
      <c r="M14" s="44">
        <v>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18299-A91D-4128-AA3F-298D2E9443AB}">
  <sheetPr codeName="Sheet4">
    <tabColor rgb="FF7030A0"/>
  </sheetPr>
  <dimension ref="A1:M14"/>
  <sheetViews>
    <sheetView workbookViewId="0">
      <selection activeCell="D23" sqref="D23"/>
    </sheetView>
  </sheetViews>
  <sheetFormatPr defaultRowHeight="15" x14ac:dyDescent="0.25"/>
  <cols>
    <col min="1" max="1" width="23" customWidth="1"/>
  </cols>
  <sheetData>
    <row r="1" spans="1:13" x14ac:dyDescent="0.25">
      <c r="A1" t="s">
        <v>58</v>
      </c>
      <c r="B1" t="s">
        <v>1</v>
      </c>
      <c r="C1" t="s">
        <v>2</v>
      </c>
      <c r="D1" t="s">
        <v>3</v>
      </c>
      <c r="E1" t="s">
        <v>4</v>
      </c>
      <c r="F1" t="s">
        <v>5</v>
      </c>
      <c r="G1" t="s">
        <v>6</v>
      </c>
      <c r="H1" t="s">
        <v>7</v>
      </c>
      <c r="I1" t="s">
        <v>8</v>
      </c>
      <c r="J1" t="s">
        <v>9</v>
      </c>
      <c r="K1" t="s">
        <v>10</v>
      </c>
      <c r="L1" t="s">
        <v>11</v>
      </c>
      <c r="M1" t="s">
        <v>12</v>
      </c>
    </row>
    <row r="2" spans="1:13" x14ac:dyDescent="0.25">
      <c r="A2" t="s">
        <v>72</v>
      </c>
      <c r="B2" s="8">
        <v>62.527943830521835</v>
      </c>
      <c r="C2" s="8">
        <v>71.057918299249579</v>
      </c>
      <c r="D2" s="8">
        <v>85.467505635250831</v>
      </c>
      <c r="E2" s="8">
        <v>90.288872169027258</v>
      </c>
      <c r="F2" s="8">
        <v>92.961838135638899</v>
      </c>
      <c r="G2" s="8">
        <v>111.57645295467177</v>
      </c>
      <c r="H2" s="8">
        <v>104.31037456132718</v>
      </c>
      <c r="I2" s="8">
        <v>93.561788557938499</v>
      </c>
      <c r="J2" s="8">
        <v>89.790349711390576</v>
      </c>
      <c r="K2" s="8">
        <v>65.542476502025664</v>
      </c>
      <c r="L2" s="8">
        <v>58.473100114267176</v>
      </c>
      <c r="M2" s="8">
        <v>53.425223669383392</v>
      </c>
    </row>
    <row r="3" spans="1:13" x14ac:dyDescent="0.25">
      <c r="A3" t="s">
        <v>73</v>
      </c>
      <c r="B3" s="8">
        <v>29.307271791094792</v>
      </c>
      <c r="C3" s="8">
        <v>41.543402465058783</v>
      </c>
      <c r="D3" s="8">
        <v>40.563148145247013</v>
      </c>
      <c r="E3" s="8">
        <v>41.663895445362805</v>
      </c>
      <c r="F3" s="8">
        <v>45.977497970882766</v>
      </c>
      <c r="G3" s="8">
        <v>50.808757149003767</v>
      </c>
      <c r="H3" s="8">
        <v>52.971507885629471</v>
      </c>
      <c r="I3" s="8">
        <v>56.606691212723561</v>
      </c>
      <c r="J3" s="8">
        <v>36.831747448704867</v>
      </c>
      <c r="K3" s="8">
        <v>31.523526052208219</v>
      </c>
      <c r="L3" s="8">
        <v>29.899797663106675</v>
      </c>
      <c r="M3" s="8">
        <v>30.156098088261061</v>
      </c>
    </row>
    <row r="4" spans="1:13" x14ac:dyDescent="0.25">
      <c r="A4" t="s">
        <v>74</v>
      </c>
      <c r="B4" s="8">
        <v>13.184141802638532</v>
      </c>
      <c r="C4" s="8">
        <v>16.826514346760916</v>
      </c>
      <c r="D4" s="8">
        <v>29.15711036859344</v>
      </c>
      <c r="E4" s="8">
        <v>33.052751281035228</v>
      </c>
      <c r="F4" s="8">
        <v>41.240791771743559</v>
      </c>
      <c r="G4" s="8">
        <v>69.30136165665904</v>
      </c>
      <c r="H4" s="8">
        <v>66.125237737199555</v>
      </c>
      <c r="I4" s="8">
        <v>43.959055344749245</v>
      </c>
      <c r="J4" s="8">
        <v>23.818728748737094</v>
      </c>
      <c r="K4" s="8">
        <v>8.7296848931652669</v>
      </c>
      <c r="L4" s="8">
        <v>4.8446021620574795</v>
      </c>
      <c r="M4" s="8">
        <v>7.4030996903167328</v>
      </c>
    </row>
    <row r="5" spans="1:13" x14ac:dyDescent="0.25">
      <c r="A5" s="2" t="s">
        <v>75</v>
      </c>
      <c r="B5" s="29">
        <v>121.97502920487422</v>
      </c>
      <c r="C5" s="8">
        <v>129.13769563049769</v>
      </c>
      <c r="D5" s="8">
        <v>156.55316331993768</v>
      </c>
      <c r="E5" s="8">
        <v>166.77133305629067</v>
      </c>
      <c r="F5" s="8">
        <v>181.48648115969419</v>
      </c>
      <c r="G5" s="8">
        <v>233.56213226534325</v>
      </c>
      <c r="H5" s="8">
        <v>230.71386154922067</v>
      </c>
      <c r="I5" s="8">
        <v>190.03106814355544</v>
      </c>
      <c r="J5" s="8">
        <v>161.88352183555273</v>
      </c>
      <c r="K5" s="8">
        <v>122.52437422059396</v>
      </c>
      <c r="L5" s="8">
        <v>110.3789926175333</v>
      </c>
      <c r="M5" s="8">
        <v>106.86140166619349</v>
      </c>
    </row>
    <row r="6" spans="1:13" x14ac:dyDescent="0.25">
      <c r="A6" s="2" t="s">
        <v>76</v>
      </c>
      <c r="B6" s="29">
        <v>122.12186912767302</v>
      </c>
      <c r="C6" s="8">
        <v>129.29315834594368</v>
      </c>
      <c r="D6" s="8">
        <v>156.74163020996968</v>
      </c>
      <c r="E6" s="8">
        <v>166.97210111374207</v>
      </c>
      <c r="F6" s="8">
        <v>181.70496408243855</v>
      </c>
      <c r="G6" s="8">
        <v>233.84330658187449</v>
      </c>
      <c r="H6" s="8">
        <v>230.99160696842117</v>
      </c>
      <c r="I6" s="8">
        <v>190.25983748722746</v>
      </c>
      <c r="J6" s="8">
        <v>162.07840569008991</v>
      </c>
      <c r="K6" s="8">
        <v>122.67187547366851</v>
      </c>
      <c r="L6" s="8">
        <v>110.51187262469725</v>
      </c>
      <c r="M6" s="8">
        <v>106.99004701330364</v>
      </c>
    </row>
    <row r="7" spans="1:13" x14ac:dyDescent="0.25">
      <c r="A7" t="s">
        <v>77</v>
      </c>
      <c r="B7" s="8">
        <v>23.81048692611186</v>
      </c>
      <c r="C7" s="8">
        <v>23.3641681687198</v>
      </c>
      <c r="D7" s="8">
        <v>50.335189827392298</v>
      </c>
      <c r="E7" s="8">
        <v>52.668607990812639</v>
      </c>
      <c r="F7" s="8">
        <v>65.821354620534123</v>
      </c>
      <c r="G7" s="8">
        <v>106.99173025017549</v>
      </c>
      <c r="H7" s="8">
        <v>112.58273629432922</v>
      </c>
      <c r="I7" s="8">
        <v>57.192820556416791</v>
      </c>
      <c r="J7" s="8">
        <v>32.74378013487371</v>
      </c>
      <c r="K7" s="8">
        <v>26.276006691130881</v>
      </c>
      <c r="L7" s="8">
        <v>26.112632918987241</v>
      </c>
      <c r="M7" s="8">
        <v>23.843305348548899</v>
      </c>
    </row>
    <row r="8" spans="1:13" x14ac:dyDescent="0.25">
      <c r="A8" s="2" t="s">
        <v>78</v>
      </c>
      <c r="B8" s="29">
        <v>139.01227752178974</v>
      </c>
      <c r="C8" s="8">
        <v>168.70659905190021</v>
      </c>
      <c r="D8" s="8">
        <v>245.71801496782479</v>
      </c>
      <c r="E8" s="8">
        <v>259.81846725730696</v>
      </c>
      <c r="F8" s="8">
        <v>302.67004892204613</v>
      </c>
      <c r="G8" s="8">
        <v>451.05925821882573</v>
      </c>
      <c r="H8" s="8">
        <v>478.15312646602774</v>
      </c>
      <c r="I8" s="8">
        <v>322.92390504100842</v>
      </c>
      <c r="J8" s="8">
        <v>207.52388134194169</v>
      </c>
      <c r="K8" s="8">
        <v>142.62100151331398</v>
      </c>
      <c r="L8" s="8">
        <v>127.10016261495049</v>
      </c>
      <c r="M8" s="8">
        <v>122.20837346855272</v>
      </c>
    </row>
    <row r="9" spans="1:13" x14ac:dyDescent="0.25">
      <c r="A9" s="2" t="s">
        <v>79</v>
      </c>
      <c r="B9" s="29">
        <v>146.01497402804449</v>
      </c>
      <c r="C9" s="8">
        <v>174.62136687677432</v>
      </c>
      <c r="D9" s="8">
        <v>254.29973142711191</v>
      </c>
      <c r="E9" s="8">
        <v>271.03041727888512</v>
      </c>
      <c r="F9" s="8">
        <v>320.1052045619611</v>
      </c>
      <c r="G9" s="8">
        <v>478.81634155743888</v>
      </c>
      <c r="H9" s="8">
        <v>505.4435039692832</v>
      </c>
      <c r="I9" s="8">
        <v>342.74285684630354</v>
      </c>
      <c r="J9" s="8">
        <v>222.53572193453374</v>
      </c>
      <c r="K9" s="8">
        <v>152.54090547953047</v>
      </c>
      <c r="L9" s="8">
        <v>135.23211522242173</v>
      </c>
      <c r="M9" s="8">
        <v>128.13679269791578</v>
      </c>
    </row>
    <row r="10" spans="1:13" x14ac:dyDescent="0.25">
      <c r="A10" s="2" t="s">
        <v>80</v>
      </c>
      <c r="B10" s="29">
        <v>146.65838160153447</v>
      </c>
      <c r="C10" s="8">
        <v>175.39082706871392</v>
      </c>
      <c r="D10" s="8">
        <v>255.4202902891449</v>
      </c>
      <c r="E10" s="8">
        <v>272.22469905912141</v>
      </c>
      <c r="F10" s="8">
        <v>321.51573190204863</v>
      </c>
      <c r="G10" s="8">
        <v>480.92622146886237</v>
      </c>
      <c r="H10" s="8">
        <v>507.67071512067309</v>
      </c>
      <c r="I10" s="8">
        <v>344.25313585242901</v>
      </c>
      <c r="J10" s="8">
        <v>223.51631430061005</v>
      </c>
      <c r="K10" s="8">
        <v>153.21306923880144</v>
      </c>
      <c r="L10" s="8">
        <v>135.82800867576341</v>
      </c>
      <c r="M10" s="8">
        <v>128.70142097260711</v>
      </c>
    </row>
    <row r="11" spans="1:13" x14ac:dyDescent="0.25">
      <c r="A11" t="s">
        <v>81</v>
      </c>
      <c r="B11" s="8">
        <v>197.39618156865188</v>
      </c>
      <c r="C11" s="8">
        <v>218.9893454236404</v>
      </c>
      <c r="D11" s="8">
        <v>288.85394383008742</v>
      </c>
      <c r="E11" s="8">
        <v>344.87337543446608</v>
      </c>
      <c r="F11" s="8">
        <v>340.76271562330987</v>
      </c>
      <c r="G11" s="8">
        <v>424.07125788217525</v>
      </c>
      <c r="H11" s="8">
        <v>404.63562827270556</v>
      </c>
      <c r="I11" s="8">
        <v>305.59801746747803</v>
      </c>
      <c r="J11" s="8">
        <v>264.40768772635738</v>
      </c>
      <c r="K11" s="8">
        <v>272.57099642908207</v>
      </c>
      <c r="L11" s="8">
        <v>253.49412419091723</v>
      </c>
      <c r="M11" s="8">
        <v>204.75947332406514</v>
      </c>
    </row>
    <row r="12" spans="1:13" x14ac:dyDescent="0.25">
      <c r="A12" t="s">
        <v>82</v>
      </c>
      <c r="B12" s="8">
        <v>18.032250845858346</v>
      </c>
      <c r="C12" s="8">
        <v>26.504547286353571</v>
      </c>
      <c r="D12" s="8">
        <v>54.90066272430991</v>
      </c>
      <c r="E12" s="8">
        <v>64.264576855644748</v>
      </c>
      <c r="F12" s="8">
        <v>77.162890730479631</v>
      </c>
      <c r="G12" s="8">
        <v>108.9324487949075</v>
      </c>
      <c r="H12" s="8">
        <v>120.89369774394639</v>
      </c>
      <c r="I12" s="8">
        <v>84.234095899193349</v>
      </c>
      <c r="J12" s="8">
        <v>44.901987885135945</v>
      </c>
      <c r="K12" s="8">
        <v>23.490770851844669</v>
      </c>
      <c r="L12" s="8">
        <v>16.145777963578077</v>
      </c>
      <c r="M12" s="8">
        <v>10.119919409788936</v>
      </c>
    </row>
    <row r="13" spans="1:13" x14ac:dyDescent="0.25">
      <c r="A13" t="s">
        <v>83</v>
      </c>
      <c r="B13" s="8">
        <v>217.42233323843601</v>
      </c>
      <c r="C13" s="8">
        <v>247.70590630013177</v>
      </c>
      <c r="D13" s="8">
        <v>346.67232315874168</v>
      </c>
      <c r="E13" s="8">
        <v>412.62152173894384</v>
      </c>
      <c r="F13" s="8">
        <v>421.36765398634816</v>
      </c>
      <c r="G13" s="8">
        <v>537.28725473649865</v>
      </c>
      <c r="H13" s="8">
        <v>529.61655458506311</v>
      </c>
      <c r="I13" s="8">
        <v>392.91896202795903</v>
      </c>
      <c r="J13" s="8">
        <v>311.98046033600201</v>
      </c>
      <c r="K13" s="8">
        <v>298.81500966909931</v>
      </c>
      <c r="L13" s="8">
        <v>272.20044886349444</v>
      </c>
      <c r="M13" s="8">
        <v>216.94767024217796</v>
      </c>
    </row>
    <row r="14" spans="1:13" x14ac:dyDescent="0.25">
      <c r="A14" t="s">
        <v>84</v>
      </c>
      <c r="B14" s="8">
        <v>319.72157140254905</v>
      </c>
      <c r="C14" s="8">
        <v>384.0956176195694</v>
      </c>
      <c r="D14" s="8">
        <v>574.23996266948393</v>
      </c>
      <c r="E14" s="8">
        <v>686.28615267367968</v>
      </c>
      <c r="F14" s="8">
        <v>701.49354009134959</v>
      </c>
      <c r="G14" s="8">
        <v>875.73500686962859</v>
      </c>
      <c r="H14" s="8">
        <v>814.39305016620688</v>
      </c>
      <c r="I14" s="8">
        <v>583.36986216282173</v>
      </c>
      <c r="J14" s="8">
        <v>448.58138776801741</v>
      </c>
      <c r="K14" s="8">
        <v>425.0768536412582</v>
      </c>
      <c r="L14" s="8">
        <v>374.06566370683333</v>
      </c>
      <c r="M14" s="8">
        <v>299.35198502184687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065E0-38CE-45BF-9632-A60F377D6704}">
  <sheetPr codeName="Sheet37">
    <tabColor rgb="FF7030A0"/>
  </sheetPr>
  <dimension ref="A1:M14"/>
  <sheetViews>
    <sheetView workbookViewId="0">
      <selection activeCell="M16" sqref="M16"/>
    </sheetView>
  </sheetViews>
  <sheetFormatPr defaultRowHeight="15" x14ac:dyDescent="0.25"/>
  <cols>
    <col min="1" max="1" width="23" customWidth="1"/>
  </cols>
  <sheetData>
    <row r="1" spans="1:13" x14ac:dyDescent="0.25">
      <c r="A1" t="s">
        <v>60</v>
      </c>
      <c r="B1" t="s">
        <v>1</v>
      </c>
      <c r="C1" t="s">
        <v>2</v>
      </c>
      <c r="D1" t="s">
        <v>3</v>
      </c>
      <c r="E1" t="s">
        <v>4</v>
      </c>
      <c r="F1" t="s">
        <v>5</v>
      </c>
      <c r="G1" t="s">
        <v>6</v>
      </c>
      <c r="H1" t="s">
        <v>7</v>
      </c>
      <c r="I1" t="s">
        <v>8</v>
      </c>
      <c r="J1" t="s">
        <v>9</v>
      </c>
      <c r="K1" t="s">
        <v>10</v>
      </c>
      <c r="L1" t="s">
        <v>11</v>
      </c>
      <c r="M1" t="s">
        <v>12</v>
      </c>
    </row>
    <row r="2" spans="1:13" x14ac:dyDescent="0.25">
      <c r="A2" t="s">
        <v>72</v>
      </c>
      <c r="B2" s="18">
        <v>48.694918378261441</v>
      </c>
      <c r="C2" s="18">
        <v>58.249833828181394</v>
      </c>
      <c r="D2" s="18">
        <v>67.838781737684556</v>
      </c>
      <c r="E2" s="18">
        <v>70.357114264309416</v>
      </c>
      <c r="F2" s="18">
        <v>69.382996633435241</v>
      </c>
      <c r="G2" s="18">
        <v>83.389926140901579</v>
      </c>
      <c r="H2" s="18">
        <v>78.610552612358816</v>
      </c>
      <c r="I2" s="18">
        <v>54.113914209092506</v>
      </c>
      <c r="J2" s="18">
        <v>32.000135129873485</v>
      </c>
      <c r="K2" s="18">
        <v>11.716828610665461</v>
      </c>
      <c r="L2" s="18">
        <v>11.700899136968628</v>
      </c>
      <c r="M2" s="18">
        <v>26.480241673026839</v>
      </c>
    </row>
    <row r="3" spans="1:13" x14ac:dyDescent="0.25">
      <c r="A3" t="s">
        <v>73</v>
      </c>
      <c r="B3" s="18">
        <v>16.208668361318598</v>
      </c>
      <c r="C3" s="18">
        <v>27.85730903910806</v>
      </c>
      <c r="D3" s="18">
        <v>18.614088764360012</v>
      </c>
      <c r="E3" s="18">
        <v>20.671799569966083</v>
      </c>
      <c r="F3" s="18">
        <v>12.534248740453449</v>
      </c>
      <c r="G3" s="18">
        <v>3.6150072215695204</v>
      </c>
      <c r="H3" s="18">
        <v>17.833957801609564</v>
      </c>
      <c r="I3" s="18">
        <v>24.268247167048969</v>
      </c>
      <c r="J3" s="18">
        <v>8.1493572591436596</v>
      </c>
      <c r="K3" s="18">
        <v>9.3248627345430606</v>
      </c>
      <c r="L3" s="18">
        <v>9.658064999714945</v>
      </c>
      <c r="M3" s="18">
        <v>17.632211186073548</v>
      </c>
    </row>
    <row r="4" spans="1:13" x14ac:dyDescent="0.25">
      <c r="A4" t="s">
        <v>74</v>
      </c>
      <c r="B4" s="18">
        <v>35.632183018646856</v>
      </c>
      <c r="C4" s="18">
        <v>35.788408952816681</v>
      </c>
      <c r="D4" s="18">
        <v>37.953086094226073</v>
      </c>
      <c r="E4" s="18">
        <v>42.486243803698017</v>
      </c>
      <c r="F4" s="18">
        <v>45.396573959933079</v>
      </c>
      <c r="G4" s="18">
        <v>62.007027446515806</v>
      </c>
      <c r="H4" s="18">
        <v>65.806574703082916</v>
      </c>
      <c r="I4" s="18">
        <v>48.396207868708231</v>
      </c>
      <c r="J4" s="18">
        <v>31.025567611578545</v>
      </c>
      <c r="K4" s="18">
        <v>24.620758226144147</v>
      </c>
      <c r="L4" s="18">
        <v>25.632027688794864</v>
      </c>
      <c r="M4" s="18">
        <v>32.061400029658401</v>
      </c>
    </row>
    <row r="5" spans="1:13" x14ac:dyDescent="0.25">
      <c r="A5" s="2" t="s">
        <v>75</v>
      </c>
      <c r="B5" s="28">
        <v>105.36556371896306</v>
      </c>
      <c r="C5" s="18">
        <v>111.22745383387087</v>
      </c>
      <c r="D5" s="18">
        <v>117.68219109533409</v>
      </c>
      <c r="E5" s="18">
        <v>128.14475563694197</v>
      </c>
      <c r="F5" s="18">
        <v>123.91477189063286</v>
      </c>
      <c r="G5" s="18">
        <v>145.15399628905735</v>
      </c>
      <c r="H5" s="18">
        <v>159.1026754043213</v>
      </c>
      <c r="I5" s="18">
        <v>118.87950957238516</v>
      </c>
      <c r="J5" s="18">
        <v>91.201813346081849</v>
      </c>
      <c r="K5" s="18">
        <v>82.322621364463402</v>
      </c>
      <c r="L5" s="18">
        <v>83.183503920407489</v>
      </c>
      <c r="M5" s="18">
        <v>88.088428710351124</v>
      </c>
    </row>
    <row r="6" spans="1:13" x14ac:dyDescent="0.25">
      <c r="A6" s="2" t="s">
        <v>76</v>
      </c>
      <c r="B6" s="28">
        <v>104.71847762643164</v>
      </c>
      <c r="C6" s="18">
        <v>110.86080353146528</v>
      </c>
      <c r="D6" s="18">
        <v>117.67650752266327</v>
      </c>
      <c r="E6" s="18">
        <v>128.14475563694194</v>
      </c>
      <c r="F6" s="18">
        <v>123.91727888715442</v>
      </c>
      <c r="G6" s="18">
        <v>145.15148933344037</v>
      </c>
      <c r="H6" s="18">
        <v>159.06795515532826</v>
      </c>
      <c r="I6" s="18">
        <v>118.82793763192029</v>
      </c>
      <c r="J6" s="18">
        <v>91.291308566800183</v>
      </c>
      <c r="K6" s="18">
        <v>82.460772666531014</v>
      </c>
      <c r="L6" s="18">
        <v>83.23546222289238</v>
      </c>
      <c r="M6" s="18">
        <v>87.506430224672513</v>
      </c>
    </row>
    <row r="7" spans="1:13" x14ac:dyDescent="0.25">
      <c r="A7" t="s">
        <v>77</v>
      </c>
      <c r="B7" s="18">
        <v>5.3228621654855637</v>
      </c>
      <c r="C7" s="18">
        <v>6.754678449724576</v>
      </c>
      <c r="D7" s="18">
        <v>32.124610108015041</v>
      </c>
      <c r="E7" s="18">
        <v>34.36116841024122</v>
      </c>
      <c r="F7" s="18">
        <v>46.871624453681143</v>
      </c>
      <c r="G7" s="18">
        <v>76.551673514648769</v>
      </c>
      <c r="H7" s="18">
        <v>78.341833906458078</v>
      </c>
      <c r="I7" s="18">
        <v>32.20759027368792</v>
      </c>
      <c r="J7" s="18">
        <v>9.6475450572553285</v>
      </c>
      <c r="K7" s="18">
        <v>4.2583865873032849</v>
      </c>
      <c r="L7" s="18">
        <v>3.2776862699741649</v>
      </c>
      <c r="M7" s="18">
        <v>3.7413116053805311</v>
      </c>
    </row>
    <row r="8" spans="1:13" x14ac:dyDescent="0.25">
      <c r="A8" s="2" t="s">
        <v>78</v>
      </c>
      <c r="B8" s="28">
        <v>109.7475442342792</v>
      </c>
      <c r="C8" s="18">
        <v>114.64528886707915</v>
      </c>
      <c r="D8" s="18">
        <v>157.29193838071876</v>
      </c>
      <c r="E8" s="18">
        <v>177.44654179777191</v>
      </c>
      <c r="F8" s="18">
        <v>201.59198803354295</v>
      </c>
      <c r="G8" s="18">
        <v>286.91342241527383</v>
      </c>
      <c r="H8" s="18">
        <v>354.51119797271565</v>
      </c>
      <c r="I8" s="18">
        <v>217.72572816493198</v>
      </c>
      <c r="J8" s="18">
        <v>116.61735945447127</v>
      </c>
      <c r="K8" s="18">
        <v>106.37539972793628</v>
      </c>
      <c r="L8" s="18">
        <v>107.59854915557742</v>
      </c>
      <c r="M8" s="18">
        <v>105.06202053212532</v>
      </c>
    </row>
    <row r="9" spans="1:13" x14ac:dyDescent="0.25">
      <c r="A9" s="2" t="s">
        <v>79</v>
      </c>
      <c r="B9" s="28">
        <v>114.67443068545501</v>
      </c>
      <c r="C9" s="18">
        <v>117.98757294309183</v>
      </c>
      <c r="D9" s="18">
        <v>159.05242046049204</v>
      </c>
      <c r="E9" s="18">
        <v>180.49356964157326</v>
      </c>
      <c r="F9" s="18">
        <v>213.44197660946978</v>
      </c>
      <c r="G9" s="18">
        <v>305.59171011298685</v>
      </c>
      <c r="H9" s="18">
        <v>376.09529691571709</v>
      </c>
      <c r="I9" s="18">
        <v>233.10944485108311</v>
      </c>
      <c r="J9" s="18">
        <v>125.01168414393116</v>
      </c>
      <c r="K9" s="18">
        <v>113.22525586559</v>
      </c>
      <c r="L9" s="18">
        <v>113.53905773708891</v>
      </c>
      <c r="M9" s="18">
        <v>110.17108610706393</v>
      </c>
    </row>
    <row r="10" spans="1:13" x14ac:dyDescent="0.25">
      <c r="A10" s="2" t="s">
        <v>80</v>
      </c>
      <c r="B10" s="28">
        <v>114.45974174615029</v>
      </c>
      <c r="C10" s="18">
        <v>117.98549697747902</v>
      </c>
      <c r="D10" s="18">
        <v>159.00649495491689</v>
      </c>
      <c r="E10" s="18">
        <v>180.46893131835438</v>
      </c>
      <c r="F10" s="18">
        <v>213.33084840434157</v>
      </c>
      <c r="G10" s="18">
        <v>305.5917101129869</v>
      </c>
      <c r="H10" s="18">
        <v>375.9192690073836</v>
      </c>
      <c r="I10" s="18">
        <v>232.72586528108306</v>
      </c>
      <c r="J10" s="18">
        <v>124.4314711391055</v>
      </c>
      <c r="K10" s="18">
        <v>112.56362841851221</v>
      </c>
      <c r="L10" s="18">
        <v>112.89058868736883</v>
      </c>
      <c r="M10" s="18">
        <v>109.7709786395602</v>
      </c>
    </row>
    <row r="11" spans="1:13" x14ac:dyDescent="0.25">
      <c r="A11" t="s">
        <v>81</v>
      </c>
      <c r="B11" s="18">
        <v>162.78283070846027</v>
      </c>
      <c r="C11" s="18">
        <v>185.36988389554381</v>
      </c>
      <c r="D11" s="18">
        <v>227.02453409773685</v>
      </c>
      <c r="E11" s="18">
        <v>282.5703052799048</v>
      </c>
      <c r="F11" s="18">
        <v>250.68184508105932</v>
      </c>
      <c r="G11" s="18">
        <v>263.91120673119809</v>
      </c>
      <c r="H11" s="18">
        <v>273.1490707282336</v>
      </c>
      <c r="I11" s="18">
        <v>173.67036093276664</v>
      </c>
      <c r="J11" s="18">
        <v>131.48336290175556</v>
      </c>
      <c r="K11" s="18">
        <v>170.85678699360409</v>
      </c>
      <c r="L11" s="18">
        <v>166.86486822005799</v>
      </c>
      <c r="M11" s="18">
        <v>160.57069589654927</v>
      </c>
    </row>
    <row r="12" spans="1:13" x14ac:dyDescent="0.25">
      <c r="A12" t="s">
        <v>82</v>
      </c>
      <c r="B12" s="18">
        <v>14.873059469327115</v>
      </c>
      <c r="C12" s="18">
        <v>22.946168782003426</v>
      </c>
      <c r="D12" s="18">
        <v>48.404137031741037</v>
      </c>
      <c r="E12" s="18">
        <v>55.638421037827896</v>
      </c>
      <c r="F12" s="18">
        <v>67.658005615442406</v>
      </c>
      <c r="G12" s="18">
        <v>92.295418841619707</v>
      </c>
      <c r="H12" s="18">
        <v>98.593329642144269</v>
      </c>
      <c r="I12" s="18">
        <v>69.530170597748878</v>
      </c>
      <c r="J12" s="18">
        <v>33.034045228244679</v>
      </c>
      <c r="K12" s="18">
        <v>11.49709142269036</v>
      </c>
      <c r="L12" s="18">
        <v>7.0199605328356078</v>
      </c>
      <c r="M12" s="18">
        <v>6.8220132976069792</v>
      </c>
    </row>
    <row r="13" spans="1:13" x14ac:dyDescent="0.25">
      <c r="A13" t="s">
        <v>83</v>
      </c>
      <c r="B13" s="18">
        <v>179.50225179350957</v>
      </c>
      <c r="C13" s="18">
        <v>210.36448322394696</v>
      </c>
      <c r="D13" s="18">
        <v>277.97261322393928</v>
      </c>
      <c r="E13" s="18">
        <v>341.15455930599666</v>
      </c>
      <c r="F13" s="18">
        <v>321.29714863260114</v>
      </c>
      <c r="G13" s="18">
        <v>359.72930985039545</v>
      </c>
      <c r="H13" s="18">
        <v>375.09502046830642</v>
      </c>
      <c r="I13" s="18">
        <v>245.79622611891043</v>
      </c>
      <c r="J13" s="18">
        <v>158.99771128255219</v>
      </c>
      <c r="K13" s="18">
        <v>169.81391348360637</v>
      </c>
      <c r="L13" s="18">
        <v>163.79464730276641</v>
      </c>
      <c r="M13" s="18">
        <v>165.56112488929648</v>
      </c>
    </row>
    <row r="14" spans="1:13" x14ac:dyDescent="0.25">
      <c r="A14" t="s">
        <v>84</v>
      </c>
      <c r="B14" s="18">
        <v>267.79628637353176</v>
      </c>
      <c r="C14" s="18">
        <v>325.51188961847919</v>
      </c>
      <c r="D14" s="18">
        <v>480.26042827643812</v>
      </c>
      <c r="E14" s="18">
        <v>585.78883188465295</v>
      </c>
      <c r="F14" s="18">
        <v>576.03957536885468</v>
      </c>
      <c r="G14" s="18">
        <v>673.05992694471388</v>
      </c>
      <c r="H14" s="18">
        <v>641.18841505772684</v>
      </c>
      <c r="I14" s="18">
        <v>411.26934214651681</v>
      </c>
      <c r="J14" s="18">
        <v>265.38234310491163</v>
      </c>
      <c r="K14" s="18">
        <v>260.22273664788094</v>
      </c>
      <c r="L14" s="18">
        <v>233.81595990800776</v>
      </c>
      <c r="M14" s="18">
        <v>228.15373201433511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91269-5A48-4BA2-8A67-6AAE6776F600}">
  <sheetPr codeName="Sheet74">
    <tabColor rgb="FF7030A0"/>
  </sheetPr>
  <dimension ref="A1:M14"/>
  <sheetViews>
    <sheetView workbookViewId="0">
      <selection activeCell="P13" sqref="P13"/>
    </sheetView>
  </sheetViews>
  <sheetFormatPr defaultRowHeight="15" x14ac:dyDescent="0.25"/>
  <cols>
    <col min="1" max="1" width="23" customWidth="1"/>
  </cols>
  <sheetData>
    <row r="1" spans="1:13" x14ac:dyDescent="0.25">
      <c r="A1" t="s">
        <v>204</v>
      </c>
      <c r="B1" t="s">
        <v>1</v>
      </c>
      <c r="C1" t="s">
        <v>2</v>
      </c>
      <c r="D1" t="s">
        <v>3</v>
      </c>
      <c r="E1" t="s">
        <v>4</v>
      </c>
      <c r="F1" t="s">
        <v>5</v>
      </c>
      <c r="G1" t="s">
        <v>6</v>
      </c>
      <c r="H1" t="s">
        <v>7</v>
      </c>
      <c r="I1" t="s">
        <v>8</v>
      </c>
      <c r="J1" t="s">
        <v>9</v>
      </c>
      <c r="K1" t="s">
        <v>10</v>
      </c>
      <c r="L1" t="s">
        <v>11</v>
      </c>
      <c r="M1" t="s">
        <v>12</v>
      </c>
    </row>
    <row r="2" spans="1:13" x14ac:dyDescent="0.25">
      <c r="A2" t="s">
        <v>72</v>
      </c>
      <c r="B2" s="194">
        <v>9.738983675652289</v>
      </c>
      <c r="C2" s="195">
        <v>8.7374750742272091</v>
      </c>
      <c r="D2" s="195">
        <v>10.175817260652684</v>
      </c>
      <c r="E2" s="195">
        <v>10.553567139646413</v>
      </c>
      <c r="F2" s="195">
        <v>10.407449495015285</v>
      </c>
      <c r="G2" s="195">
        <v>12.508488921135237</v>
      </c>
      <c r="H2" s="195">
        <v>11.791582891853823</v>
      </c>
      <c r="I2" s="195">
        <v>8.1170871313638759</v>
      </c>
      <c r="J2" s="195">
        <v>4.8000202694810223</v>
      </c>
      <c r="K2" s="194">
        <v>2.3433657221330924</v>
      </c>
      <c r="L2" s="194">
        <v>2.3401798273937255</v>
      </c>
      <c r="M2" s="194">
        <v>5.2960483346053682</v>
      </c>
    </row>
    <row r="3" spans="1:13" x14ac:dyDescent="0.25">
      <c r="A3" t="s">
        <v>73</v>
      </c>
      <c r="B3" s="194">
        <v>3.2417336722637198</v>
      </c>
      <c r="C3" s="195">
        <v>4.1785963558662091</v>
      </c>
      <c r="D3" s="195">
        <v>2.7921133146540016</v>
      </c>
      <c r="E3" s="195">
        <v>3.1007699354949123</v>
      </c>
      <c r="F3" s="195">
        <v>1.8801373110680173</v>
      </c>
      <c r="G3" s="195">
        <v>0.54225108323542803</v>
      </c>
      <c r="H3" s="195">
        <v>2.6750936702414347</v>
      </c>
      <c r="I3" s="195">
        <v>3.6402370750573452</v>
      </c>
      <c r="J3" s="195">
        <v>1.222403588871549</v>
      </c>
      <c r="K3" s="194">
        <v>1.8649725469086122</v>
      </c>
      <c r="L3" s="194">
        <v>1.9316129999429892</v>
      </c>
      <c r="M3" s="194">
        <v>3.5264422372147095</v>
      </c>
    </row>
    <row r="4" spans="1:13" x14ac:dyDescent="0.25">
      <c r="A4" t="s">
        <v>74</v>
      </c>
      <c r="B4" s="194">
        <v>7.1264366037293714</v>
      </c>
      <c r="C4" s="195">
        <v>5.3682613429225023</v>
      </c>
      <c r="D4" s="195">
        <v>5.6929629141339104</v>
      </c>
      <c r="E4" s="195">
        <v>6.3729365705547023</v>
      </c>
      <c r="F4" s="195">
        <v>6.8094860939899613</v>
      </c>
      <c r="G4" s="195">
        <v>9.3010541169773706</v>
      </c>
      <c r="H4" s="195">
        <v>9.8709862054624367</v>
      </c>
      <c r="I4" s="195">
        <v>7.2594311803062341</v>
      </c>
      <c r="J4" s="195">
        <v>4.6538351417367814</v>
      </c>
      <c r="K4" s="194">
        <v>4.9241516452288296</v>
      </c>
      <c r="L4" s="194">
        <v>5.1264055377589735</v>
      </c>
      <c r="M4" s="194">
        <v>6.4122800059316809</v>
      </c>
    </row>
    <row r="5" spans="1:13" x14ac:dyDescent="0.25">
      <c r="A5" s="2" t="s">
        <v>75</v>
      </c>
      <c r="B5" s="194">
        <v>21.073112743792613</v>
      </c>
      <c r="C5" s="195">
        <v>16.684118075080629</v>
      </c>
      <c r="D5" s="195">
        <v>17.652328664300114</v>
      </c>
      <c r="E5" s="195">
        <v>19.221713345541293</v>
      </c>
      <c r="F5" s="195">
        <v>18.587215783594928</v>
      </c>
      <c r="G5" s="195">
        <v>21.7730994433586</v>
      </c>
      <c r="H5" s="195">
        <v>23.865401310648195</v>
      </c>
      <c r="I5" s="195">
        <v>17.831926435857774</v>
      </c>
      <c r="J5" s="195">
        <v>13.680272001912277</v>
      </c>
      <c r="K5" s="194">
        <v>16.464524272892682</v>
      </c>
      <c r="L5" s="194">
        <v>16.636700784081498</v>
      </c>
      <c r="M5" s="194">
        <v>17.617685742070226</v>
      </c>
    </row>
    <row r="6" spans="1:13" x14ac:dyDescent="0.25">
      <c r="A6" s="2" t="s">
        <v>76</v>
      </c>
      <c r="B6" s="194">
        <v>20.94369552528633</v>
      </c>
      <c r="C6" s="195">
        <v>16.629120529719792</v>
      </c>
      <c r="D6" s="195">
        <v>17.651476128399491</v>
      </c>
      <c r="E6" s="195">
        <v>19.221713345541289</v>
      </c>
      <c r="F6" s="195">
        <v>18.587591833073162</v>
      </c>
      <c r="G6" s="195">
        <v>21.772723400016055</v>
      </c>
      <c r="H6" s="195">
        <v>23.860193273299238</v>
      </c>
      <c r="I6" s="195">
        <v>17.824190644788043</v>
      </c>
      <c r="J6" s="195">
        <v>13.693696285020026</v>
      </c>
      <c r="K6" s="194">
        <v>16.492154533306202</v>
      </c>
      <c r="L6" s="194">
        <v>16.647092444578476</v>
      </c>
      <c r="M6" s="194">
        <v>17.501286044934503</v>
      </c>
    </row>
    <row r="7" spans="1:13" x14ac:dyDescent="0.25">
      <c r="A7" t="s">
        <v>77</v>
      </c>
      <c r="B7" s="194">
        <v>1.0645724330971127</v>
      </c>
      <c r="C7" s="195">
        <v>1.0132017674586864</v>
      </c>
      <c r="D7" s="195">
        <v>4.8186915162022563</v>
      </c>
      <c r="E7" s="195">
        <v>5.1541752615361824</v>
      </c>
      <c r="F7" s="195">
        <v>7.0307436680521711</v>
      </c>
      <c r="G7" s="195">
        <v>11.482751027197315</v>
      </c>
      <c r="H7" s="195">
        <v>11.751275085968711</v>
      </c>
      <c r="I7" s="195">
        <v>4.8311385410531882</v>
      </c>
      <c r="J7" s="195">
        <v>1.4471317585882992</v>
      </c>
      <c r="K7" s="194">
        <v>0.851677317460657</v>
      </c>
      <c r="L7" s="194">
        <v>0.65553725399483298</v>
      </c>
      <c r="M7" s="194">
        <v>0.74826232107610624</v>
      </c>
    </row>
    <row r="8" spans="1:13" x14ac:dyDescent="0.25">
      <c r="A8" s="2" t="s">
        <v>78</v>
      </c>
      <c r="B8" s="194">
        <v>21.949508846855842</v>
      </c>
      <c r="C8" s="195">
        <v>17.196793330061872</v>
      </c>
      <c r="D8" s="195">
        <v>23.593790757107815</v>
      </c>
      <c r="E8" s="195">
        <v>26.616981269665786</v>
      </c>
      <c r="F8" s="195">
        <v>30.23879820503144</v>
      </c>
      <c r="G8" s="195">
        <v>43.03701336229107</v>
      </c>
      <c r="H8" s="195">
        <v>53.176679695907346</v>
      </c>
      <c r="I8" s="195">
        <v>32.658859224739793</v>
      </c>
      <c r="J8" s="195">
        <v>17.49260391817069</v>
      </c>
      <c r="K8" s="194">
        <v>21.275079945587258</v>
      </c>
      <c r="L8" s="194">
        <v>21.519709831115485</v>
      </c>
      <c r="M8" s="194">
        <v>21.012404106425066</v>
      </c>
    </row>
    <row r="9" spans="1:13" x14ac:dyDescent="0.25">
      <c r="A9" s="2" t="s">
        <v>79</v>
      </c>
      <c r="B9" s="194">
        <v>22.934886137091002</v>
      </c>
      <c r="C9" s="195">
        <v>17.698135941463775</v>
      </c>
      <c r="D9" s="195">
        <v>23.857863069073804</v>
      </c>
      <c r="E9" s="195">
        <v>27.074035446235989</v>
      </c>
      <c r="F9" s="195">
        <v>32.016296491420462</v>
      </c>
      <c r="G9" s="195">
        <v>45.838756516948024</v>
      </c>
      <c r="H9" s="195">
        <v>56.414294537357563</v>
      </c>
      <c r="I9" s="195">
        <v>34.966416727662462</v>
      </c>
      <c r="J9" s="195">
        <v>18.751752621589674</v>
      </c>
      <c r="K9" s="194">
        <v>22.645051173118002</v>
      </c>
      <c r="L9" s="194">
        <v>22.707811547417784</v>
      </c>
      <c r="M9" s="194">
        <v>22.034217221412788</v>
      </c>
    </row>
    <row r="10" spans="1:13" x14ac:dyDescent="0.25">
      <c r="A10" s="2" t="s">
        <v>80</v>
      </c>
      <c r="B10" s="194">
        <v>22.891948349230059</v>
      </c>
      <c r="C10" s="195">
        <v>17.697824546621852</v>
      </c>
      <c r="D10" s="195">
        <v>23.850974243237534</v>
      </c>
      <c r="E10" s="195">
        <v>27.070339697753155</v>
      </c>
      <c r="F10" s="195">
        <v>31.999627260651234</v>
      </c>
      <c r="G10" s="195">
        <v>45.838756516948031</v>
      </c>
      <c r="H10" s="195">
        <v>56.387890351107536</v>
      </c>
      <c r="I10" s="195">
        <v>34.908879792162459</v>
      </c>
      <c r="J10" s="195">
        <v>18.664720670865822</v>
      </c>
      <c r="K10" s="194">
        <v>22.512725683702442</v>
      </c>
      <c r="L10" s="194">
        <v>22.578117737473768</v>
      </c>
      <c r="M10" s="194">
        <v>21.95419572791204</v>
      </c>
    </row>
    <row r="11" spans="1:13" x14ac:dyDescent="0.25">
      <c r="A11" t="s">
        <v>81</v>
      </c>
      <c r="B11" s="194">
        <v>32.556566141692052</v>
      </c>
      <c r="C11" s="195">
        <v>27.805482584331571</v>
      </c>
      <c r="D11" s="195">
        <v>34.053680114660523</v>
      </c>
      <c r="E11" s="195">
        <v>42.38554579198572</v>
      </c>
      <c r="F11" s="195">
        <v>37.602276762158894</v>
      </c>
      <c r="G11" s="195">
        <v>39.586681009679715</v>
      </c>
      <c r="H11" s="195">
        <v>40.972360609235039</v>
      </c>
      <c r="I11" s="195">
        <v>26.050554139914997</v>
      </c>
      <c r="J11" s="195">
        <v>19.722504435263332</v>
      </c>
      <c r="K11" s="194">
        <v>34.171357398720822</v>
      </c>
      <c r="L11" s="194">
        <v>33.372973644011601</v>
      </c>
      <c r="M11" s="194">
        <v>32.114139179309852</v>
      </c>
    </row>
    <row r="12" spans="1:13" x14ac:dyDescent="0.25">
      <c r="A12" t="s">
        <v>82</v>
      </c>
      <c r="B12" s="194">
        <v>2.9746118938654234</v>
      </c>
      <c r="C12" s="195">
        <v>3.4419253173005138</v>
      </c>
      <c r="D12" s="195">
        <v>7.2606205547611555</v>
      </c>
      <c r="E12" s="195">
        <v>8.3457631556741845</v>
      </c>
      <c r="F12" s="195">
        <v>10.14870084231636</v>
      </c>
      <c r="G12" s="195">
        <v>13.844312826242955</v>
      </c>
      <c r="H12" s="195">
        <v>14.78899944632164</v>
      </c>
      <c r="I12" s="195">
        <v>10.429525589662331</v>
      </c>
      <c r="J12" s="195">
        <v>4.955106784236702</v>
      </c>
      <c r="K12" s="194">
        <v>2.299418284538072</v>
      </c>
      <c r="L12" s="194">
        <v>1.4039921065671217</v>
      </c>
      <c r="M12" s="194">
        <v>1.3644026595213958</v>
      </c>
    </row>
    <row r="13" spans="1:13" x14ac:dyDescent="0.25">
      <c r="A13" t="s">
        <v>83</v>
      </c>
      <c r="B13" s="194">
        <v>35.900450358701917</v>
      </c>
      <c r="C13" s="195">
        <v>31.554672483592043</v>
      </c>
      <c r="D13" s="195">
        <v>41.69589198359089</v>
      </c>
      <c r="E13" s="195">
        <v>51.173183895899498</v>
      </c>
      <c r="F13" s="195">
        <v>48.194572294890172</v>
      </c>
      <c r="G13" s="195">
        <v>53.959396477559316</v>
      </c>
      <c r="H13" s="195">
        <v>56.264253070245964</v>
      </c>
      <c r="I13" s="195">
        <v>36.86943391783656</v>
      </c>
      <c r="J13" s="195">
        <v>23.849656692382826</v>
      </c>
      <c r="K13" s="194">
        <v>33.962782696721277</v>
      </c>
      <c r="L13" s="194">
        <v>32.758929460553283</v>
      </c>
      <c r="M13" s="194">
        <v>33.112224977859299</v>
      </c>
    </row>
    <row r="14" spans="1:13" x14ac:dyDescent="0.25">
      <c r="A14" t="s">
        <v>84</v>
      </c>
      <c r="B14" s="194">
        <v>53.559257274706354</v>
      </c>
      <c r="C14" s="195">
        <v>48.826783442771877</v>
      </c>
      <c r="D14" s="195">
        <v>72.039064241465709</v>
      </c>
      <c r="E14" s="195">
        <v>87.86832478269794</v>
      </c>
      <c r="F14" s="195">
        <v>86.405936305328197</v>
      </c>
      <c r="G14" s="195">
        <v>100.95898904170708</v>
      </c>
      <c r="H14" s="195">
        <v>96.178262258659018</v>
      </c>
      <c r="I14" s="195">
        <v>61.690401321977518</v>
      </c>
      <c r="J14" s="195">
        <v>39.807351465736744</v>
      </c>
      <c r="K14" s="194">
        <v>52.04454732957619</v>
      </c>
      <c r="L14" s="194">
        <v>46.763191981601551</v>
      </c>
      <c r="M14" s="194">
        <v>45.630746402867025</v>
      </c>
    </row>
  </sheetData>
  <pageMargins left="0.7" right="0.7" top="0.75" bottom="0.75" header="0.3" footer="0.3"/>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AB861-99FE-4CC0-9B11-B17C4479C984}">
  <sheetPr codeName="Sheet78">
    <tabColor rgb="FF7030A0"/>
  </sheetPr>
  <dimension ref="A1:M14"/>
  <sheetViews>
    <sheetView workbookViewId="0">
      <selection activeCell="O22" sqref="O22"/>
    </sheetView>
  </sheetViews>
  <sheetFormatPr defaultRowHeight="15" x14ac:dyDescent="0.25"/>
  <cols>
    <col min="1" max="1" width="23" customWidth="1"/>
  </cols>
  <sheetData>
    <row r="1" spans="1:13" x14ac:dyDescent="0.25">
      <c r="A1" t="s">
        <v>205</v>
      </c>
      <c r="B1" t="s">
        <v>1</v>
      </c>
      <c r="C1" t="s">
        <v>2</v>
      </c>
      <c r="D1" t="s">
        <v>3</v>
      </c>
      <c r="E1" t="s">
        <v>4</v>
      </c>
      <c r="F1" t="s">
        <v>5</v>
      </c>
      <c r="G1" t="s">
        <v>6</v>
      </c>
      <c r="H1" t="s">
        <v>7</v>
      </c>
      <c r="I1" t="s">
        <v>8</v>
      </c>
      <c r="J1" t="s">
        <v>9</v>
      </c>
      <c r="K1" t="s">
        <v>10</v>
      </c>
      <c r="L1" t="s">
        <v>11</v>
      </c>
      <c r="M1" t="s">
        <v>12</v>
      </c>
    </row>
    <row r="2" spans="1:13" x14ac:dyDescent="0.25">
      <c r="A2" t="s">
        <v>72</v>
      </c>
      <c r="B2" s="194">
        <v>9.738983675652289</v>
      </c>
      <c r="C2" s="195">
        <v>8.7374750742272091</v>
      </c>
      <c r="D2" s="195">
        <v>10.175817260652684</v>
      </c>
      <c r="E2" s="195">
        <v>10.553567139646413</v>
      </c>
      <c r="F2" s="195">
        <v>10.407449495015285</v>
      </c>
      <c r="G2" s="195">
        <v>12.508488921135237</v>
      </c>
      <c r="H2" s="195">
        <v>11.791582891853823</v>
      </c>
      <c r="I2" s="195">
        <v>8.1170871313638759</v>
      </c>
      <c r="J2" s="195">
        <v>4.8000202694810223</v>
      </c>
      <c r="K2" s="194">
        <v>2.3433657221330924</v>
      </c>
      <c r="L2" s="194">
        <v>2.3401798273937255</v>
      </c>
      <c r="M2" s="194">
        <v>5.2960483346053682</v>
      </c>
    </row>
    <row r="3" spans="1:13" x14ac:dyDescent="0.25">
      <c r="A3" t="s">
        <v>73</v>
      </c>
      <c r="B3" s="194">
        <v>3.2417336722637198</v>
      </c>
      <c r="C3" s="195">
        <v>4.1785963558662091</v>
      </c>
      <c r="D3" s="195">
        <v>2.7921133146540016</v>
      </c>
      <c r="E3" s="195">
        <v>3.1007699354949123</v>
      </c>
      <c r="F3" s="195">
        <v>1.8801373110680173</v>
      </c>
      <c r="G3" s="195">
        <v>0.54225108323542803</v>
      </c>
      <c r="H3" s="195">
        <v>2.6750936702414347</v>
      </c>
      <c r="I3" s="195">
        <v>3.6402370750573452</v>
      </c>
      <c r="J3" s="195">
        <v>1.222403588871549</v>
      </c>
      <c r="K3" s="194">
        <v>1.8649725469086122</v>
      </c>
      <c r="L3" s="194">
        <v>1.9316129999429892</v>
      </c>
      <c r="M3" s="194">
        <v>3.5264422372147095</v>
      </c>
    </row>
    <row r="4" spans="1:13" x14ac:dyDescent="0.25">
      <c r="A4" t="s">
        <v>74</v>
      </c>
      <c r="B4" s="194">
        <v>7.1264366037293714</v>
      </c>
      <c r="C4" s="195">
        <v>5.3682613429225023</v>
      </c>
      <c r="D4" s="195">
        <v>5.6929629141339104</v>
      </c>
      <c r="E4" s="195">
        <v>6.3729365705547023</v>
      </c>
      <c r="F4" s="195">
        <v>6.8094860939899613</v>
      </c>
      <c r="G4" s="195">
        <v>9.3010541169773706</v>
      </c>
      <c r="H4" s="195">
        <v>9.8709862054624367</v>
      </c>
      <c r="I4" s="195">
        <v>7.2594311803062341</v>
      </c>
      <c r="J4" s="195">
        <v>4.6538351417367814</v>
      </c>
      <c r="K4" s="194">
        <v>4.9241516452288296</v>
      </c>
      <c r="L4" s="194">
        <v>5.1264055377589735</v>
      </c>
      <c r="M4" s="194">
        <v>6.4122800059316809</v>
      </c>
    </row>
    <row r="5" spans="1:13" x14ac:dyDescent="0.25">
      <c r="A5" s="2" t="s">
        <v>75</v>
      </c>
      <c r="B5" s="194">
        <v>0.96595879214723368</v>
      </c>
      <c r="C5" s="195">
        <v>-1.6002146979352903</v>
      </c>
      <c r="D5" s="195">
        <v>-1.008564825140482</v>
      </c>
      <c r="E5" s="195">
        <v>-0.80556030015473645</v>
      </c>
      <c r="F5" s="195">
        <v>-0.50985711647833476</v>
      </c>
      <c r="G5" s="195">
        <v>-0.57869467798943575</v>
      </c>
      <c r="H5" s="195">
        <v>-0.47226145690949828</v>
      </c>
      <c r="I5" s="195">
        <v>-1.1848289508696803</v>
      </c>
      <c r="J5" s="195">
        <v>3.0040130018229245</v>
      </c>
      <c r="K5" s="194">
        <v>7.3320343586221481</v>
      </c>
      <c r="L5" s="194">
        <v>7.23850241898581</v>
      </c>
      <c r="M5" s="194">
        <v>2.3829151643184669</v>
      </c>
    </row>
    <row r="6" spans="1:13" x14ac:dyDescent="0.25">
      <c r="A6" s="2" t="s">
        <v>76</v>
      </c>
      <c r="B6" s="194">
        <v>-0.1294172185062834</v>
      </c>
      <c r="C6" s="195">
        <v>-5.4997545360837563E-2</v>
      </c>
      <c r="D6" s="195">
        <v>-8.5253590062350781E-4</v>
      </c>
      <c r="E6" s="195">
        <v>0</v>
      </c>
      <c r="F6" s="195">
        <v>3.7604947823410839E-4</v>
      </c>
      <c r="G6" s="195">
        <v>-3.7604334254481842E-4</v>
      </c>
      <c r="H6" s="195">
        <v>-5.2080373489573617E-3</v>
      </c>
      <c r="I6" s="195">
        <v>-7.7357910697308796E-3</v>
      </c>
      <c r="J6" s="195">
        <v>1.3424283107749346E-2</v>
      </c>
      <c r="K6" s="194">
        <v>2.7630260413520347E-2</v>
      </c>
      <c r="L6" s="194">
        <v>1.0391660496978261E-2</v>
      </c>
      <c r="M6" s="194">
        <v>-0.11639969713572285</v>
      </c>
    </row>
    <row r="7" spans="1:13" x14ac:dyDescent="0.25">
      <c r="A7" t="s">
        <v>77</v>
      </c>
      <c r="B7" s="194">
        <v>1.0645724330971127</v>
      </c>
      <c r="C7" s="195">
        <v>1.0132017674586864</v>
      </c>
      <c r="D7" s="195">
        <v>4.8186915162022563</v>
      </c>
      <c r="E7" s="195">
        <v>5.1541752615361824</v>
      </c>
      <c r="F7" s="195">
        <v>7.0307436680521711</v>
      </c>
      <c r="G7" s="195">
        <v>11.482751027197315</v>
      </c>
      <c r="H7" s="195">
        <v>11.751275085968711</v>
      </c>
      <c r="I7" s="195">
        <v>4.8311385410531882</v>
      </c>
      <c r="J7" s="195">
        <v>1.4471317585882992</v>
      </c>
      <c r="K7" s="194">
        <v>0.851677317460657</v>
      </c>
      <c r="L7" s="194">
        <v>0.65553725399483298</v>
      </c>
      <c r="M7" s="194">
        <v>0.74826232107610624</v>
      </c>
    </row>
    <row r="8" spans="1:13" x14ac:dyDescent="0.25">
      <c r="A8" s="2" t="s">
        <v>78</v>
      </c>
      <c r="B8" s="194">
        <v>-5.8759111527599828E-2</v>
      </c>
      <c r="C8" s="195">
        <v>-0.44552896711660495</v>
      </c>
      <c r="D8" s="195">
        <v>1.1236231125060669</v>
      </c>
      <c r="E8" s="195">
        <v>2.241092662588315</v>
      </c>
      <c r="F8" s="195">
        <v>4.6204627039061066</v>
      </c>
      <c r="G8" s="195">
        <v>9.7815389350776982</v>
      </c>
      <c r="H8" s="195">
        <v>17.5652113366394</v>
      </c>
      <c r="I8" s="195">
        <v>10.00353003889856</v>
      </c>
      <c r="J8" s="195">
        <v>2.3517758745623656</v>
      </c>
      <c r="K8" s="194">
        <v>3.9312480948204005</v>
      </c>
      <c r="L8" s="194">
        <v>4.2170801325421756</v>
      </c>
      <c r="M8" s="194">
        <v>2.7628557404144587</v>
      </c>
    </row>
    <row r="9" spans="1:13" x14ac:dyDescent="0.25">
      <c r="A9" s="2" t="s">
        <v>79</v>
      </c>
      <c r="B9" s="194">
        <v>0.98537729023516007</v>
      </c>
      <c r="C9" s="195">
        <v>0.50134261140190262</v>
      </c>
      <c r="D9" s="195">
        <v>0.26407231196598957</v>
      </c>
      <c r="E9" s="195">
        <v>0.4570541765702032</v>
      </c>
      <c r="F9" s="195">
        <v>1.7774982863890223</v>
      </c>
      <c r="G9" s="195">
        <v>2.801743154656954</v>
      </c>
      <c r="H9" s="195">
        <v>3.2376148414502168</v>
      </c>
      <c r="I9" s="195">
        <v>2.3075575029226698</v>
      </c>
      <c r="J9" s="195">
        <v>1.2591487034189832</v>
      </c>
      <c r="K9" s="194">
        <v>1.3699712275307441</v>
      </c>
      <c r="L9" s="194">
        <v>1.1881017163022989</v>
      </c>
      <c r="M9" s="194">
        <v>1.0218131149877223</v>
      </c>
    </row>
    <row r="10" spans="1:13" x14ac:dyDescent="0.25">
      <c r="A10" s="2" t="s">
        <v>80</v>
      </c>
      <c r="B10" s="194">
        <v>-4.2937787860942933E-2</v>
      </c>
      <c r="C10" s="195">
        <v>-3.1139484192266309E-4</v>
      </c>
      <c r="D10" s="195">
        <v>-6.8888258362704846E-3</v>
      </c>
      <c r="E10" s="195">
        <v>-3.6957484828334941E-3</v>
      </c>
      <c r="F10" s="195">
        <v>-1.6669230769227994E-2</v>
      </c>
      <c r="G10" s="195">
        <v>0</v>
      </c>
      <c r="H10" s="195">
        <v>-2.6404186250026385E-2</v>
      </c>
      <c r="I10" s="195">
        <v>-5.7536935500003494E-2</v>
      </c>
      <c r="J10" s="195">
        <v>-8.7031950723851281E-2</v>
      </c>
      <c r="K10" s="194">
        <v>-0.13232548941556033</v>
      </c>
      <c r="L10" s="194">
        <v>-0.12969380994401547</v>
      </c>
      <c r="M10" s="194">
        <v>-8.0021493500748164E-2</v>
      </c>
    </row>
    <row r="11" spans="1:13" x14ac:dyDescent="0.25">
      <c r="A11" t="s">
        <v>81</v>
      </c>
      <c r="B11" s="194">
        <v>9.6646177924619927</v>
      </c>
      <c r="C11" s="195">
        <v>10.107658037709719</v>
      </c>
      <c r="D11" s="195">
        <v>10.202705871422989</v>
      </c>
      <c r="E11" s="195">
        <v>15.315206094232565</v>
      </c>
      <c r="F11" s="195">
        <v>5.6026495015076598</v>
      </c>
      <c r="G11" s="195">
        <v>-6.2520755072683158</v>
      </c>
      <c r="H11" s="195">
        <v>-15.415529741872497</v>
      </c>
      <c r="I11" s="195">
        <v>-8.858325652247462</v>
      </c>
      <c r="J11" s="195">
        <v>1.0577837643975094</v>
      </c>
      <c r="K11" s="194">
        <v>11.65863171501838</v>
      </c>
      <c r="L11" s="194">
        <v>10.794855906537833</v>
      </c>
      <c r="M11" s="194">
        <v>10.159943451397812</v>
      </c>
    </row>
    <row r="12" spans="1:13" x14ac:dyDescent="0.25">
      <c r="A12" t="s">
        <v>82</v>
      </c>
      <c r="B12" s="194">
        <v>2.9746118938654234</v>
      </c>
      <c r="C12" s="195">
        <v>3.4419253173005138</v>
      </c>
      <c r="D12" s="195">
        <v>7.2606205547611555</v>
      </c>
      <c r="E12" s="195">
        <v>8.3457631556741845</v>
      </c>
      <c r="F12" s="195">
        <v>10.14870084231636</v>
      </c>
      <c r="G12" s="195">
        <v>13.844312826242955</v>
      </c>
      <c r="H12" s="195">
        <v>14.78899944632164</v>
      </c>
      <c r="I12" s="195">
        <v>10.429525589662331</v>
      </c>
      <c r="J12" s="195">
        <v>4.955106784236702</v>
      </c>
      <c r="K12" s="194">
        <v>2.299418284538072</v>
      </c>
      <c r="L12" s="194">
        <v>1.4039921065671217</v>
      </c>
      <c r="M12" s="194">
        <v>1.3644026595213958</v>
      </c>
    </row>
    <row r="13" spans="1:13" x14ac:dyDescent="0.25">
      <c r="A13" t="s">
        <v>83</v>
      </c>
      <c r="B13" s="194">
        <v>0.36927232314444325</v>
      </c>
      <c r="C13" s="195">
        <v>0.30726458195995932</v>
      </c>
      <c r="D13" s="195">
        <v>0.38159131416921355</v>
      </c>
      <c r="E13" s="195">
        <v>0.44187494823959383</v>
      </c>
      <c r="F13" s="195">
        <v>0.44359469041491906</v>
      </c>
      <c r="G13" s="195">
        <v>0.52840264163664585</v>
      </c>
      <c r="H13" s="195">
        <v>0.50289301468928471</v>
      </c>
      <c r="I13" s="195">
        <v>0.38935418825922952</v>
      </c>
      <c r="J13" s="195">
        <v>-0.82795452711720685</v>
      </c>
      <c r="K13" s="194">
        <v>-2.5079929865376158</v>
      </c>
      <c r="L13" s="194">
        <v>-2.0180362900254387</v>
      </c>
      <c r="M13" s="194">
        <v>-0.36631686097194915</v>
      </c>
    </row>
    <row r="14" spans="1:13" x14ac:dyDescent="0.25">
      <c r="A14" t="s">
        <v>84</v>
      </c>
      <c r="B14" s="194">
        <v>17.658806916004437</v>
      </c>
      <c r="C14" s="195">
        <v>17.272110959179834</v>
      </c>
      <c r="D14" s="195">
        <v>30.343172257874819</v>
      </c>
      <c r="E14" s="195">
        <v>36.695140886798441</v>
      </c>
      <c r="F14" s="195">
        <v>38.211364010438025</v>
      </c>
      <c r="G14" s="195">
        <v>46.999592564147768</v>
      </c>
      <c r="H14" s="195">
        <v>39.914009188413054</v>
      </c>
      <c r="I14" s="195">
        <v>24.820967404140958</v>
      </c>
      <c r="J14" s="195">
        <v>15.957694773353918</v>
      </c>
      <c r="K14" s="194">
        <v>18.081764632854913</v>
      </c>
      <c r="L14" s="194">
        <v>14.004262521048268</v>
      </c>
      <c r="M14" s="194">
        <v>12.518521425007727</v>
      </c>
    </row>
  </sheetData>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37764-7FFB-4722-B51E-A98C8F0FF3DC}">
  <sheetPr codeName="Sheet22">
    <tabColor rgb="FF7030A0"/>
  </sheetPr>
  <dimension ref="A1:M14"/>
  <sheetViews>
    <sheetView workbookViewId="0">
      <selection activeCell="B6" sqref="B6:M6"/>
    </sheetView>
  </sheetViews>
  <sheetFormatPr defaultRowHeight="15" x14ac:dyDescent="0.25"/>
  <cols>
    <col min="1" max="1" width="23" customWidth="1"/>
  </cols>
  <sheetData>
    <row r="1" spans="1:13" x14ac:dyDescent="0.25">
      <c r="A1" t="s">
        <v>62</v>
      </c>
      <c r="B1" t="s">
        <v>1</v>
      </c>
      <c r="C1" t="s">
        <v>2</v>
      </c>
      <c r="D1" t="s">
        <v>3</v>
      </c>
      <c r="E1" t="s">
        <v>4</v>
      </c>
      <c r="F1" t="s">
        <v>5</v>
      </c>
      <c r="G1" t="s">
        <v>6</v>
      </c>
      <c r="H1" t="s">
        <v>7</v>
      </c>
      <c r="I1" t="s">
        <v>8</v>
      </c>
      <c r="J1" t="s">
        <v>9</v>
      </c>
      <c r="K1" t="s">
        <v>10</v>
      </c>
      <c r="L1" t="s">
        <v>11</v>
      </c>
      <c r="M1" t="s">
        <v>12</v>
      </c>
    </row>
    <row r="2" spans="1:13" x14ac:dyDescent="0.25">
      <c r="A2" t="s">
        <v>72</v>
      </c>
      <c r="B2" s="13">
        <v>0</v>
      </c>
      <c r="C2" s="13">
        <v>0</v>
      </c>
      <c r="D2" s="13">
        <v>0</v>
      </c>
      <c r="E2" s="13">
        <v>0</v>
      </c>
      <c r="F2" s="13">
        <v>0</v>
      </c>
      <c r="G2" s="13">
        <v>0</v>
      </c>
      <c r="H2" s="13">
        <v>0</v>
      </c>
      <c r="I2" s="13">
        <v>0</v>
      </c>
      <c r="J2" s="13">
        <v>0</v>
      </c>
      <c r="K2" s="13">
        <v>0</v>
      </c>
      <c r="L2" s="13">
        <v>0</v>
      </c>
      <c r="M2" s="13">
        <v>0</v>
      </c>
    </row>
    <row r="3" spans="1:13" x14ac:dyDescent="0.25">
      <c r="A3" t="s">
        <v>73</v>
      </c>
      <c r="B3" s="13">
        <v>0</v>
      </c>
      <c r="C3" s="13">
        <v>0</v>
      </c>
      <c r="D3" s="13">
        <v>0</v>
      </c>
      <c r="E3" s="13">
        <v>0</v>
      </c>
      <c r="F3" s="13">
        <v>0</v>
      </c>
      <c r="G3" s="13">
        <v>0</v>
      </c>
      <c r="H3" s="13">
        <v>0</v>
      </c>
      <c r="I3" s="13">
        <v>0</v>
      </c>
      <c r="J3" s="13">
        <v>0</v>
      </c>
      <c r="K3" s="13">
        <v>0</v>
      </c>
      <c r="L3" s="13">
        <v>0</v>
      </c>
      <c r="M3" s="13">
        <v>0</v>
      </c>
    </row>
    <row r="4" spans="1:13" x14ac:dyDescent="0.25">
      <c r="A4" t="s">
        <v>74</v>
      </c>
      <c r="B4" s="13">
        <v>0</v>
      </c>
      <c r="C4" s="13">
        <v>0</v>
      </c>
      <c r="D4" s="13">
        <v>0</v>
      </c>
      <c r="E4" s="13">
        <v>0</v>
      </c>
      <c r="F4" s="13">
        <v>0</v>
      </c>
      <c r="G4" s="13">
        <v>0</v>
      </c>
      <c r="H4" s="13">
        <v>0</v>
      </c>
      <c r="I4" s="13">
        <v>0</v>
      </c>
      <c r="J4" s="13">
        <v>0</v>
      </c>
      <c r="K4" s="13">
        <v>0</v>
      </c>
      <c r="L4" s="13">
        <v>0</v>
      </c>
      <c r="M4" s="13">
        <v>0</v>
      </c>
    </row>
    <row r="5" spans="1:13" x14ac:dyDescent="0.25">
      <c r="A5" s="2" t="s">
        <v>75</v>
      </c>
      <c r="B5" s="16">
        <v>1017.4697987187584</v>
      </c>
      <c r="C5" s="17">
        <v>1027.847757210965</v>
      </c>
      <c r="D5" s="17">
        <v>1035.9369218834418</v>
      </c>
      <c r="E5" s="17">
        <v>1043.0731380230879</v>
      </c>
      <c r="F5" s="17">
        <v>1047.7785387468111</v>
      </c>
      <c r="G5" s="17">
        <v>1053.5120637643436</v>
      </c>
      <c r="H5" s="17">
        <v>1063.3873282914444</v>
      </c>
      <c r="I5" s="17">
        <v>1065.3482981437915</v>
      </c>
      <c r="J5" s="17">
        <v>1053.5633762663956</v>
      </c>
      <c r="K5" s="17">
        <v>1029.2627452197905</v>
      </c>
      <c r="L5" s="17">
        <v>1005.9261404944156</v>
      </c>
      <c r="M5" s="17">
        <v>1006.7536902317303</v>
      </c>
    </row>
    <row r="6" spans="1:13" x14ac:dyDescent="0.25">
      <c r="A6" s="2" t="s">
        <v>76</v>
      </c>
      <c r="B6" s="16">
        <v>44.827666086060731</v>
      </c>
      <c r="C6" s="17">
        <v>45.194316427329227</v>
      </c>
      <c r="D6" s="17">
        <v>45.200000000000031</v>
      </c>
      <c r="E6" s="17">
        <v>45.200000000000031</v>
      </c>
      <c r="F6" s="17">
        <v>45.197493044383009</v>
      </c>
      <c r="G6" s="17">
        <v>45.200000000000031</v>
      </c>
      <c r="H6" s="17">
        <v>45.185930688578473</v>
      </c>
      <c r="I6" s="17">
        <v>45.098650120783923</v>
      </c>
      <c r="J6" s="17">
        <v>44.773187241035586</v>
      </c>
      <c r="K6" s="17">
        <v>44.314273232096618</v>
      </c>
      <c r="L6" s="17">
        <v>43.94391553791715</v>
      </c>
      <c r="M6" s="17">
        <v>44.290684644098121</v>
      </c>
    </row>
    <row r="7" spans="1:13" x14ac:dyDescent="0.25">
      <c r="A7" t="s">
        <v>77</v>
      </c>
      <c r="B7" s="13">
        <v>0</v>
      </c>
      <c r="C7" s="13">
        <v>0</v>
      </c>
      <c r="D7" s="13">
        <v>0</v>
      </c>
      <c r="E7" s="13">
        <v>0</v>
      </c>
      <c r="F7" s="13">
        <v>0</v>
      </c>
      <c r="G7" s="13">
        <v>0</v>
      </c>
      <c r="H7" s="13">
        <v>0</v>
      </c>
      <c r="I7" s="13">
        <v>0</v>
      </c>
      <c r="J7" s="13">
        <v>0</v>
      </c>
      <c r="K7" s="13">
        <v>0</v>
      </c>
      <c r="L7" s="13">
        <v>0</v>
      </c>
      <c r="M7" s="13">
        <v>0</v>
      </c>
    </row>
    <row r="8" spans="1:13" x14ac:dyDescent="0.25">
      <c r="A8" s="2" t="s">
        <v>78</v>
      </c>
      <c r="B8" s="16">
        <v>1194.6730658441106</v>
      </c>
      <c r="C8" s="17">
        <v>1221.7060264114987</v>
      </c>
      <c r="D8" s="17">
        <v>1258.3388533629504</v>
      </c>
      <c r="E8" s="17">
        <v>1288.096630933012</v>
      </c>
      <c r="F8" s="17">
        <v>1314.3764944286563</v>
      </c>
      <c r="G8" s="17">
        <v>1360.6104007097294</v>
      </c>
      <c r="H8" s="17">
        <v>1378.2394673723768</v>
      </c>
      <c r="I8" s="17">
        <v>1379.5216970457668</v>
      </c>
      <c r="J8" s="17">
        <v>1352.8745271805471</v>
      </c>
      <c r="K8" s="17">
        <v>1288.8412205516343</v>
      </c>
      <c r="L8" s="17">
        <v>1223.0215956851684</v>
      </c>
      <c r="M8" s="17">
        <v>1194.4420235493906</v>
      </c>
    </row>
    <row r="9" spans="1:13" x14ac:dyDescent="0.25">
      <c r="A9" s="2" t="s">
        <v>79</v>
      </c>
      <c r="B9" s="16">
        <v>918.2724227083786</v>
      </c>
      <c r="C9" s="17">
        <v>918.96516041228847</v>
      </c>
      <c r="D9" s="17">
        <v>925.00130669566374</v>
      </c>
      <c r="E9" s="17">
        <v>933.03331128948548</v>
      </c>
      <c r="F9" s="17">
        <v>935.79233135635559</v>
      </c>
      <c r="G9" s="17">
        <v>942.05146369757256</v>
      </c>
      <c r="H9" s="17">
        <v>944.67683881304083</v>
      </c>
      <c r="I9" s="17">
        <v>943.23134444812979</v>
      </c>
      <c r="J9" s="17">
        <v>939.97696715685333</v>
      </c>
      <c r="K9" s="17">
        <v>933.18825391463781</v>
      </c>
      <c r="L9" s="17">
        <v>926.33534978463365</v>
      </c>
      <c r="M9" s="17">
        <v>920.51956231927295</v>
      </c>
    </row>
    <row r="10" spans="1:13" x14ac:dyDescent="0.25">
      <c r="A10" s="2" t="s">
        <v>80</v>
      </c>
      <c r="B10" s="16">
        <v>58.071198730255297</v>
      </c>
      <c r="C10" s="17">
        <v>58.032316165306149</v>
      </c>
      <c r="D10" s="17">
        <v>58.078233471653022</v>
      </c>
      <c r="E10" s="17">
        <v>58.102871794871895</v>
      </c>
      <c r="F10" s="17">
        <v>58.214000000000105</v>
      </c>
      <c r="G10" s="17">
        <v>58.214000000000105</v>
      </c>
      <c r="H10" s="17">
        <v>58.214000000000105</v>
      </c>
      <c r="I10" s="17">
        <v>58.214000000000105</v>
      </c>
      <c r="J10" s="17">
        <v>58.206487158882979</v>
      </c>
      <c r="K10" s="17">
        <v>58.121948859399602</v>
      </c>
      <c r="L10" s="17">
        <v>58.083271129817582</v>
      </c>
      <c r="M10" s="17">
        <v>58.029586136516322</v>
      </c>
    </row>
    <row r="11" spans="1:13" x14ac:dyDescent="0.25">
      <c r="A11" t="s">
        <v>81</v>
      </c>
      <c r="B11" s="13">
        <v>0</v>
      </c>
      <c r="C11" s="13">
        <v>0</v>
      </c>
      <c r="D11" s="13">
        <v>0</v>
      </c>
      <c r="E11" s="13">
        <v>0</v>
      </c>
      <c r="F11" s="13">
        <v>0</v>
      </c>
      <c r="G11" s="13">
        <v>0</v>
      </c>
      <c r="H11" s="13">
        <v>0</v>
      </c>
      <c r="I11" s="13">
        <v>0</v>
      </c>
      <c r="J11" s="13">
        <v>0</v>
      </c>
      <c r="K11" s="13">
        <v>0</v>
      </c>
      <c r="L11" s="13">
        <v>0</v>
      </c>
      <c r="M11" s="13">
        <v>0</v>
      </c>
    </row>
    <row r="12" spans="1:13" x14ac:dyDescent="0.25">
      <c r="A12" t="s">
        <v>82</v>
      </c>
      <c r="B12" s="13">
        <v>0</v>
      </c>
      <c r="C12" s="13">
        <v>0</v>
      </c>
      <c r="D12" s="13">
        <v>0</v>
      </c>
      <c r="E12" s="13">
        <v>0</v>
      </c>
      <c r="F12" s="13">
        <v>0</v>
      </c>
      <c r="G12" s="13">
        <v>0</v>
      </c>
      <c r="H12" s="13">
        <v>0</v>
      </c>
      <c r="I12" s="13">
        <v>0</v>
      </c>
      <c r="J12" s="13">
        <v>0</v>
      </c>
      <c r="K12" s="13">
        <v>0</v>
      </c>
      <c r="L12" s="13">
        <v>0</v>
      </c>
      <c r="M12" s="13">
        <v>0</v>
      </c>
    </row>
    <row r="13" spans="1:13" x14ac:dyDescent="0.25">
      <c r="A13" t="s">
        <v>83</v>
      </c>
      <c r="B13" s="13">
        <v>0</v>
      </c>
      <c r="C13" s="13">
        <v>0</v>
      </c>
      <c r="D13" s="13">
        <v>0</v>
      </c>
      <c r="E13" s="13">
        <v>0</v>
      </c>
      <c r="F13" s="13">
        <v>0</v>
      </c>
      <c r="G13" s="13">
        <v>0</v>
      </c>
      <c r="H13" s="13">
        <v>0</v>
      </c>
      <c r="I13" s="13">
        <v>0</v>
      </c>
      <c r="J13" s="13">
        <v>0</v>
      </c>
      <c r="K13" s="13">
        <v>0</v>
      </c>
      <c r="L13" s="13">
        <v>0</v>
      </c>
      <c r="M13" s="13">
        <v>0</v>
      </c>
    </row>
    <row r="14" spans="1:13" x14ac:dyDescent="0.25">
      <c r="A14" t="s">
        <v>84</v>
      </c>
      <c r="B14" s="13">
        <v>0</v>
      </c>
      <c r="C14" s="13">
        <v>0</v>
      </c>
      <c r="D14" s="13">
        <v>0</v>
      </c>
      <c r="E14" s="13">
        <v>0</v>
      </c>
      <c r="F14" s="13">
        <v>0</v>
      </c>
      <c r="G14" s="13">
        <v>0</v>
      </c>
      <c r="H14" s="13">
        <v>0</v>
      </c>
      <c r="I14" s="13">
        <v>0</v>
      </c>
      <c r="J14" s="13">
        <v>0</v>
      </c>
      <c r="K14" s="13">
        <v>0</v>
      </c>
      <c r="L14" s="13">
        <v>0</v>
      </c>
      <c r="M14" s="13">
        <v>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4477-D6C7-4D9E-9CD4-D9327E9A54FB}">
  <sheetPr codeName="Sheet79">
    <tabColor rgb="FF7030A0"/>
  </sheetPr>
  <dimension ref="A1:M14"/>
  <sheetViews>
    <sheetView workbookViewId="0">
      <selection activeCell="L30" sqref="L30"/>
    </sheetView>
  </sheetViews>
  <sheetFormatPr defaultRowHeight="15" x14ac:dyDescent="0.25"/>
  <cols>
    <col min="1" max="1" width="23" customWidth="1"/>
  </cols>
  <sheetData>
    <row r="1" spans="1:13" x14ac:dyDescent="0.25">
      <c r="A1" t="s">
        <v>206</v>
      </c>
      <c r="B1" t="s">
        <v>1</v>
      </c>
      <c r="C1" t="s">
        <v>2</v>
      </c>
      <c r="D1" t="s">
        <v>3</v>
      </c>
      <c r="E1" t="s">
        <v>4</v>
      </c>
      <c r="F1" t="s">
        <v>5</v>
      </c>
      <c r="G1" t="s">
        <v>6</v>
      </c>
      <c r="H1" t="s">
        <v>7</v>
      </c>
      <c r="I1" t="s">
        <v>8</v>
      </c>
      <c r="J1" t="s">
        <v>9</v>
      </c>
      <c r="K1" t="s">
        <v>10</v>
      </c>
      <c r="L1" t="s">
        <v>11</v>
      </c>
      <c r="M1" t="s">
        <v>12</v>
      </c>
    </row>
    <row r="2" spans="1:13" x14ac:dyDescent="0.25">
      <c r="A2" t="s">
        <v>72</v>
      </c>
      <c r="B2" s="13">
        <v>0</v>
      </c>
      <c r="C2" s="13">
        <v>0</v>
      </c>
      <c r="D2" s="13">
        <v>0</v>
      </c>
      <c r="E2" s="13">
        <v>0</v>
      </c>
      <c r="F2" s="13">
        <v>0</v>
      </c>
      <c r="G2" s="13">
        <v>0</v>
      </c>
      <c r="H2" s="13">
        <v>0</v>
      </c>
      <c r="I2" s="13">
        <v>0</v>
      </c>
      <c r="J2" s="13">
        <v>0</v>
      </c>
      <c r="K2" s="13">
        <v>0</v>
      </c>
      <c r="L2" s="13">
        <v>0</v>
      </c>
      <c r="M2" s="13">
        <v>0</v>
      </c>
    </row>
    <row r="3" spans="1:13" x14ac:dyDescent="0.25">
      <c r="A3" t="s">
        <v>73</v>
      </c>
      <c r="B3" s="13">
        <v>0</v>
      </c>
      <c r="C3" s="13">
        <v>0</v>
      </c>
      <c r="D3" s="13">
        <v>0</v>
      </c>
      <c r="E3" s="13">
        <v>0</v>
      </c>
      <c r="F3" s="13">
        <v>0</v>
      </c>
      <c r="G3" s="13">
        <v>0</v>
      </c>
      <c r="H3" s="13">
        <v>0</v>
      </c>
      <c r="I3" s="13">
        <v>0</v>
      </c>
      <c r="J3" s="13">
        <v>0</v>
      </c>
      <c r="K3" s="13">
        <v>0</v>
      </c>
      <c r="L3" s="13">
        <v>0</v>
      </c>
      <c r="M3" s="13">
        <v>0</v>
      </c>
    </row>
    <row r="4" spans="1:13" x14ac:dyDescent="0.25">
      <c r="A4" t="s">
        <v>74</v>
      </c>
      <c r="B4" s="13">
        <v>0</v>
      </c>
      <c r="C4" s="13">
        <v>0</v>
      </c>
      <c r="D4" s="13">
        <v>0</v>
      </c>
      <c r="E4" s="13">
        <v>0</v>
      </c>
      <c r="F4" s="13">
        <v>0</v>
      </c>
      <c r="G4" s="13">
        <v>0</v>
      </c>
      <c r="H4" s="13">
        <v>0</v>
      </c>
      <c r="I4" s="13">
        <v>0</v>
      </c>
      <c r="J4" s="13">
        <v>0</v>
      </c>
      <c r="K4" s="13">
        <v>0</v>
      </c>
      <c r="L4" s="13">
        <v>0</v>
      </c>
      <c r="M4" s="13">
        <v>0</v>
      </c>
    </row>
    <row r="5" spans="1:13" x14ac:dyDescent="0.25">
      <c r="A5" s="2" t="s">
        <v>75</v>
      </c>
      <c r="B5" s="16">
        <v>1102.92</v>
      </c>
      <c r="C5" s="17">
        <v>1102.92</v>
      </c>
      <c r="D5" s="17">
        <v>1102.92</v>
      </c>
      <c r="E5" s="17">
        <v>1102.92</v>
      </c>
      <c r="F5" s="17">
        <v>1102.92</v>
      </c>
      <c r="G5" s="17">
        <v>1102.92</v>
      </c>
      <c r="H5" s="17">
        <v>1102.92</v>
      </c>
      <c r="I5" s="17">
        <v>1102.92</v>
      </c>
      <c r="J5" s="17">
        <v>1102.92</v>
      </c>
      <c r="K5" s="17">
        <v>1102.92</v>
      </c>
      <c r="L5" s="17">
        <v>1100.6954096120419</v>
      </c>
      <c r="M5" s="17">
        <v>1102.92</v>
      </c>
    </row>
    <row r="6" spans="1:13" x14ac:dyDescent="0.25">
      <c r="A6" s="2" t="s">
        <v>76</v>
      </c>
      <c r="B6" s="16">
        <v>45.2</v>
      </c>
      <c r="C6" s="17">
        <v>45.2</v>
      </c>
      <c r="D6" s="17">
        <v>45.2</v>
      </c>
      <c r="E6" s="17">
        <v>45.2</v>
      </c>
      <c r="F6" s="17">
        <v>45.2</v>
      </c>
      <c r="G6" s="17">
        <v>45.2</v>
      </c>
      <c r="H6" s="17">
        <v>45.2</v>
      </c>
      <c r="I6" s="17">
        <v>45.2</v>
      </c>
      <c r="J6" s="17">
        <v>45.2</v>
      </c>
      <c r="K6" s="17">
        <v>45.2</v>
      </c>
      <c r="L6" s="17">
        <v>45.2</v>
      </c>
      <c r="M6" s="17">
        <v>45.2</v>
      </c>
    </row>
    <row r="7" spans="1:13" x14ac:dyDescent="0.25">
      <c r="A7" t="s">
        <v>77</v>
      </c>
      <c r="B7" s="13">
        <v>0</v>
      </c>
      <c r="C7" s="13">
        <v>0</v>
      </c>
      <c r="D7" s="13">
        <v>0</v>
      </c>
      <c r="E7" s="13">
        <v>0</v>
      </c>
      <c r="F7" s="13">
        <v>0</v>
      </c>
      <c r="G7" s="13">
        <v>0</v>
      </c>
      <c r="H7" s="13">
        <v>0</v>
      </c>
      <c r="I7" s="13">
        <v>0</v>
      </c>
      <c r="J7" s="13">
        <v>0</v>
      </c>
      <c r="K7" s="13">
        <v>0</v>
      </c>
      <c r="L7" s="13">
        <v>0</v>
      </c>
      <c r="M7" s="13">
        <v>0</v>
      </c>
    </row>
    <row r="8" spans="1:13" x14ac:dyDescent="0.25">
      <c r="A8" s="2" t="s">
        <v>78</v>
      </c>
      <c r="B8" s="16">
        <v>1382.888758655932</v>
      </c>
      <c r="C8" s="17">
        <v>1411.0845767999999</v>
      </c>
      <c r="D8" s="17">
        <v>1411.0845767999999</v>
      </c>
      <c r="E8" s="17">
        <v>1411.0845767999999</v>
      </c>
      <c r="F8" s="17">
        <v>1411.0845767999999</v>
      </c>
      <c r="G8" s="17">
        <v>1411.0845767999999</v>
      </c>
      <c r="H8" s="17">
        <v>1411.0845767999999</v>
      </c>
      <c r="I8" s="17">
        <v>1411.0845767999999</v>
      </c>
      <c r="J8" s="17">
        <v>1411.0845767999999</v>
      </c>
      <c r="K8" s="17">
        <v>1379.3121102867913</v>
      </c>
      <c r="L8" s="17">
        <v>1340.3101709848011</v>
      </c>
      <c r="M8" s="17">
        <v>1350.205142284889</v>
      </c>
    </row>
    <row r="9" spans="1:13" x14ac:dyDescent="0.25">
      <c r="A9" s="2" t="s">
        <v>79</v>
      </c>
      <c r="B9" s="16">
        <v>45.2</v>
      </c>
      <c r="C9" s="17">
        <v>45.2</v>
      </c>
      <c r="D9" s="17">
        <v>45.2</v>
      </c>
      <c r="E9" s="17">
        <v>45.2</v>
      </c>
      <c r="F9" s="17">
        <v>45.2</v>
      </c>
      <c r="G9" s="17">
        <v>45.2</v>
      </c>
      <c r="H9" s="17">
        <v>45.2</v>
      </c>
      <c r="I9" s="17">
        <v>45.2</v>
      </c>
      <c r="J9" s="17">
        <v>45.2</v>
      </c>
      <c r="K9" s="17">
        <v>45.2</v>
      </c>
      <c r="L9" s="17">
        <v>45.2</v>
      </c>
      <c r="M9" s="17">
        <v>45.2</v>
      </c>
    </row>
    <row r="10" spans="1:13" x14ac:dyDescent="0.25">
      <c r="A10" s="2" t="s">
        <v>80</v>
      </c>
      <c r="B10" s="16">
        <v>58.214000000000091</v>
      </c>
      <c r="C10" s="17">
        <v>58.214000000000091</v>
      </c>
      <c r="D10" s="17">
        <v>58.214000000000091</v>
      </c>
      <c r="E10" s="17">
        <v>58.214000000000091</v>
      </c>
      <c r="F10" s="17">
        <v>58.214000000000091</v>
      </c>
      <c r="G10" s="17">
        <v>58.214000000000091</v>
      </c>
      <c r="H10" s="17">
        <v>58.214000000000091</v>
      </c>
      <c r="I10" s="17">
        <v>58.214000000000091</v>
      </c>
      <c r="J10" s="17">
        <v>58.214000000000091</v>
      </c>
      <c r="K10" s="17">
        <v>58.214000000000091</v>
      </c>
      <c r="L10" s="17">
        <v>58.214000000000091</v>
      </c>
      <c r="M10" s="17">
        <v>58.214000000000091</v>
      </c>
    </row>
    <row r="11" spans="1:13" x14ac:dyDescent="0.25">
      <c r="A11" t="s">
        <v>81</v>
      </c>
      <c r="B11" s="13">
        <v>0</v>
      </c>
      <c r="C11" s="13">
        <v>0</v>
      </c>
      <c r="D11" s="13">
        <v>0</v>
      </c>
      <c r="E11" s="13">
        <v>0</v>
      </c>
      <c r="F11" s="13">
        <v>0</v>
      </c>
      <c r="G11" s="13">
        <v>0</v>
      </c>
      <c r="H11" s="13">
        <v>0</v>
      </c>
      <c r="I11" s="13">
        <v>0</v>
      </c>
      <c r="J11" s="13">
        <v>0</v>
      </c>
      <c r="K11" s="13">
        <v>0</v>
      </c>
      <c r="L11" s="13">
        <v>0</v>
      </c>
      <c r="M11" s="13">
        <v>0</v>
      </c>
    </row>
    <row r="12" spans="1:13" x14ac:dyDescent="0.25">
      <c r="A12" t="s">
        <v>82</v>
      </c>
      <c r="B12" s="13">
        <v>0</v>
      </c>
      <c r="C12" s="13">
        <v>0</v>
      </c>
      <c r="D12" s="13">
        <v>0</v>
      </c>
      <c r="E12" s="13">
        <v>0</v>
      </c>
      <c r="F12" s="13">
        <v>0</v>
      </c>
      <c r="G12" s="13">
        <v>0</v>
      </c>
      <c r="H12" s="13">
        <v>0</v>
      </c>
      <c r="I12" s="13">
        <v>0</v>
      </c>
      <c r="J12" s="13">
        <v>0</v>
      </c>
      <c r="K12" s="13">
        <v>0</v>
      </c>
      <c r="L12" s="13">
        <v>0</v>
      </c>
      <c r="M12" s="13">
        <v>0</v>
      </c>
    </row>
    <row r="13" spans="1:13" x14ac:dyDescent="0.25">
      <c r="A13" t="s">
        <v>83</v>
      </c>
      <c r="B13" s="13">
        <v>0</v>
      </c>
      <c r="C13" s="13">
        <v>0</v>
      </c>
      <c r="D13" s="13">
        <v>0</v>
      </c>
      <c r="E13" s="13">
        <v>0</v>
      </c>
      <c r="F13" s="13">
        <v>0</v>
      </c>
      <c r="G13" s="13">
        <v>0</v>
      </c>
      <c r="H13" s="13">
        <v>0</v>
      </c>
      <c r="I13" s="13">
        <v>0</v>
      </c>
      <c r="J13" s="13">
        <v>0</v>
      </c>
      <c r="K13" s="13">
        <v>0</v>
      </c>
      <c r="L13" s="13">
        <v>0</v>
      </c>
      <c r="M13" s="13">
        <v>0</v>
      </c>
    </row>
    <row r="14" spans="1:13" x14ac:dyDescent="0.25">
      <c r="A14" t="s">
        <v>84</v>
      </c>
      <c r="B14" s="13">
        <v>0</v>
      </c>
      <c r="C14" s="13">
        <v>0</v>
      </c>
      <c r="D14" s="13">
        <v>0</v>
      </c>
      <c r="E14" s="13">
        <v>0</v>
      </c>
      <c r="F14" s="13">
        <v>0</v>
      </c>
      <c r="G14" s="13">
        <v>0</v>
      </c>
      <c r="H14" s="13">
        <v>0</v>
      </c>
      <c r="I14" s="13">
        <v>0</v>
      </c>
      <c r="J14" s="13">
        <v>0</v>
      </c>
      <c r="K14" s="13">
        <v>0</v>
      </c>
      <c r="L14" s="13">
        <v>0</v>
      </c>
      <c r="M14" s="13">
        <v>0</v>
      </c>
    </row>
  </sheetData>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B5276-5742-4694-A2A9-BBC38BC7E09E}">
  <sheetPr codeName="Sheet84">
    <tabColor rgb="FF7030A0"/>
  </sheetPr>
  <dimension ref="A1:M14"/>
  <sheetViews>
    <sheetView workbookViewId="0">
      <selection activeCell="F24" sqref="F24"/>
    </sheetView>
  </sheetViews>
  <sheetFormatPr defaultRowHeight="15" x14ac:dyDescent="0.25"/>
  <cols>
    <col min="1" max="1" width="23" customWidth="1"/>
  </cols>
  <sheetData>
    <row r="1" spans="1:13" x14ac:dyDescent="0.25">
      <c r="A1" t="s">
        <v>207</v>
      </c>
      <c r="B1" t="s">
        <v>1</v>
      </c>
      <c r="C1" t="s">
        <v>2</v>
      </c>
      <c r="D1" t="s">
        <v>3</v>
      </c>
      <c r="E1" t="s">
        <v>4</v>
      </c>
      <c r="F1" t="s">
        <v>5</v>
      </c>
      <c r="G1" t="s">
        <v>6</v>
      </c>
      <c r="H1" t="s">
        <v>7</v>
      </c>
      <c r="I1" t="s">
        <v>8</v>
      </c>
      <c r="J1" t="s">
        <v>9</v>
      </c>
      <c r="K1" t="s">
        <v>10</v>
      </c>
      <c r="L1" t="s">
        <v>11</v>
      </c>
      <c r="M1" t="s">
        <v>12</v>
      </c>
    </row>
    <row r="2" spans="1:13" x14ac:dyDescent="0.25">
      <c r="A2" t="s">
        <v>72</v>
      </c>
      <c r="B2" s="13">
        <v>0</v>
      </c>
      <c r="C2" s="13">
        <v>0</v>
      </c>
      <c r="D2" s="13">
        <v>0</v>
      </c>
      <c r="E2" s="13">
        <v>0</v>
      </c>
      <c r="F2" s="13">
        <v>0</v>
      </c>
      <c r="G2" s="13">
        <v>0</v>
      </c>
      <c r="H2" s="13">
        <v>0</v>
      </c>
      <c r="I2" s="13">
        <v>0</v>
      </c>
      <c r="J2" s="13">
        <v>0</v>
      </c>
      <c r="K2" s="13">
        <v>0</v>
      </c>
      <c r="L2" s="13">
        <v>0</v>
      </c>
      <c r="M2" s="13">
        <v>0</v>
      </c>
    </row>
    <row r="3" spans="1:13" x14ac:dyDescent="0.25">
      <c r="A3" t="s">
        <v>73</v>
      </c>
      <c r="B3" s="13">
        <v>0</v>
      </c>
      <c r="C3" s="13">
        <v>0</v>
      </c>
      <c r="D3" s="13">
        <v>0</v>
      </c>
      <c r="E3" s="13">
        <v>0</v>
      </c>
      <c r="F3" s="13">
        <v>0</v>
      </c>
      <c r="G3" s="13">
        <v>0</v>
      </c>
      <c r="H3" s="13">
        <v>0</v>
      </c>
      <c r="I3" s="13">
        <v>0</v>
      </c>
      <c r="J3" s="13">
        <v>0</v>
      </c>
      <c r="K3" s="13">
        <v>0</v>
      </c>
      <c r="L3" s="13">
        <v>0</v>
      </c>
      <c r="M3" s="13">
        <v>0</v>
      </c>
    </row>
    <row r="4" spans="1:13" x14ac:dyDescent="0.25">
      <c r="A4" t="s">
        <v>74</v>
      </c>
      <c r="B4" s="13">
        <v>0</v>
      </c>
      <c r="C4" s="13">
        <v>0</v>
      </c>
      <c r="D4" s="13">
        <v>0</v>
      </c>
      <c r="E4" s="13">
        <v>0</v>
      </c>
      <c r="F4" s="13">
        <v>0</v>
      </c>
      <c r="G4" s="13">
        <v>0</v>
      </c>
      <c r="H4" s="13">
        <v>0</v>
      </c>
      <c r="I4" s="13">
        <v>0</v>
      </c>
      <c r="J4" s="13">
        <v>0</v>
      </c>
      <c r="K4" s="13">
        <v>0</v>
      </c>
      <c r="L4" s="13">
        <v>0</v>
      </c>
      <c r="M4" s="13">
        <v>0</v>
      </c>
    </row>
    <row r="5" spans="1:13" x14ac:dyDescent="0.25">
      <c r="A5" s="2" t="s">
        <v>75</v>
      </c>
      <c r="B5" s="16">
        <v>1102.4017948464134</v>
      </c>
      <c r="C5" s="17">
        <v>1102.92</v>
      </c>
      <c r="D5" s="17">
        <v>1102.92</v>
      </c>
      <c r="E5" s="17">
        <v>1102.92</v>
      </c>
      <c r="F5" s="17">
        <v>1102.92</v>
      </c>
      <c r="G5" s="17">
        <v>1102.92</v>
      </c>
      <c r="H5" s="17">
        <v>1102.92</v>
      </c>
      <c r="I5" s="17">
        <v>1102.92</v>
      </c>
      <c r="J5" s="17">
        <v>1094.7446161614564</v>
      </c>
      <c r="K5" s="17">
        <v>1077.4169272641107</v>
      </c>
      <c r="L5" s="17">
        <v>1060.2111089822254</v>
      </c>
      <c r="M5" s="17">
        <v>1073.4029916563513</v>
      </c>
    </row>
    <row r="6" spans="1:13" x14ac:dyDescent="0.25">
      <c r="A6" s="2" t="s">
        <v>76</v>
      </c>
      <c r="B6" s="16">
        <v>45.2</v>
      </c>
      <c r="C6" s="17">
        <v>45.2</v>
      </c>
      <c r="D6" s="17">
        <v>45.2</v>
      </c>
      <c r="E6" s="17">
        <v>45.2</v>
      </c>
      <c r="F6" s="17">
        <v>45.2</v>
      </c>
      <c r="G6" s="17">
        <v>45.2</v>
      </c>
      <c r="H6" s="17">
        <v>45.2</v>
      </c>
      <c r="I6" s="17">
        <v>45.2</v>
      </c>
      <c r="J6" s="17">
        <v>45.2</v>
      </c>
      <c r="K6" s="17">
        <v>44.332076848578595</v>
      </c>
      <c r="L6" s="17">
        <v>44.19072194829819</v>
      </c>
      <c r="M6" s="17">
        <v>45.2</v>
      </c>
    </row>
    <row r="7" spans="1:13" x14ac:dyDescent="0.25">
      <c r="A7" t="s">
        <v>77</v>
      </c>
      <c r="B7" s="13">
        <v>0</v>
      </c>
      <c r="C7" s="13">
        <v>0</v>
      </c>
      <c r="D7" s="13">
        <v>0</v>
      </c>
      <c r="E7" s="13">
        <v>0</v>
      </c>
      <c r="F7" s="13">
        <v>0</v>
      </c>
      <c r="G7" s="13">
        <v>0</v>
      </c>
      <c r="H7" s="13">
        <v>0</v>
      </c>
      <c r="I7" s="13">
        <v>0</v>
      </c>
      <c r="J7" s="13">
        <v>0</v>
      </c>
      <c r="K7" s="13">
        <v>0</v>
      </c>
      <c r="L7" s="13">
        <v>0</v>
      </c>
      <c r="M7" s="13">
        <v>0</v>
      </c>
    </row>
    <row r="8" spans="1:13" x14ac:dyDescent="0.25">
      <c r="A8" s="2" t="s">
        <v>78</v>
      </c>
      <c r="B8" s="16">
        <v>1223.5996419679618</v>
      </c>
      <c r="C8" s="17">
        <v>1259.1223444105137</v>
      </c>
      <c r="D8" s="17">
        <v>1333.0637472826138</v>
      </c>
      <c r="E8" s="17">
        <v>1411.0845767999999</v>
      </c>
      <c r="F8" s="17">
        <v>1411.0845767999999</v>
      </c>
      <c r="G8" s="17">
        <v>1411.0845767999999</v>
      </c>
      <c r="H8" s="17">
        <v>1411.0845767999999</v>
      </c>
      <c r="I8" s="17">
        <v>1411.0845767999999</v>
      </c>
      <c r="J8" s="17">
        <v>1394.0341519367917</v>
      </c>
      <c r="K8" s="17">
        <v>1327.7653706426033</v>
      </c>
      <c r="L8" s="17">
        <v>1245.2402356753216</v>
      </c>
      <c r="M8" s="17">
        <v>1222.4385583108492</v>
      </c>
    </row>
    <row r="9" spans="1:13" x14ac:dyDescent="0.25">
      <c r="A9" s="2" t="s">
        <v>79</v>
      </c>
      <c r="B9" s="16">
        <v>927.91000351683681</v>
      </c>
      <c r="C9" s="17">
        <v>928.23225554506575</v>
      </c>
      <c r="D9" s="17">
        <v>936.01952689820246</v>
      </c>
      <c r="E9" s="17">
        <v>953.65449999999998</v>
      </c>
      <c r="F9" s="17">
        <v>953.65449999999998</v>
      </c>
      <c r="G9" s="17">
        <v>953.65449999999998</v>
      </c>
      <c r="H9" s="17">
        <v>953.65449999999998</v>
      </c>
      <c r="I9" s="17">
        <v>953.65449999999998</v>
      </c>
      <c r="J9" s="17">
        <v>953.19126976160248</v>
      </c>
      <c r="K9" s="17">
        <v>945.21530518344719</v>
      </c>
      <c r="L9" s="17">
        <v>937.43135391736837</v>
      </c>
      <c r="M9" s="17">
        <v>931.59564831888326</v>
      </c>
    </row>
    <row r="10" spans="1:13" x14ac:dyDescent="0.25">
      <c r="A10" s="2" t="s">
        <v>80</v>
      </c>
      <c r="B10" s="16">
        <v>58.214000000000091</v>
      </c>
      <c r="C10" s="17">
        <v>58.214000000000091</v>
      </c>
      <c r="D10" s="17">
        <v>58.214000000000091</v>
      </c>
      <c r="E10" s="17">
        <v>58.214000000000091</v>
      </c>
      <c r="F10" s="17">
        <v>58.214000000000091</v>
      </c>
      <c r="G10" s="17">
        <v>58.214000000000091</v>
      </c>
      <c r="H10" s="17">
        <v>58.214000000000091</v>
      </c>
      <c r="I10" s="17">
        <v>58.214000000000091</v>
      </c>
      <c r="J10" s="17">
        <v>58.214000000000091</v>
      </c>
      <c r="K10" s="17">
        <v>58.208779177615554</v>
      </c>
      <c r="L10" s="17">
        <v>58.214000000000091</v>
      </c>
      <c r="M10" s="17">
        <v>58.214000000000091</v>
      </c>
    </row>
    <row r="11" spans="1:13" x14ac:dyDescent="0.25">
      <c r="A11" t="s">
        <v>81</v>
      </c>
      <c r="B11" s="13">
        <v>0</v>
      </c>
      <c r="C11" s="13">
        <v>0</v>
      </c>
      <c r="D11" s="13">
        <v>0</v>
      </c>
      <c r="E11" s="13">
        <v>0</v>
      </c>
      <c r="F11" s="13">
        <v>0</v>
      </c>
      <c r="G11" s="13">
        <v>0</v>
      </c>
      <c r="H11" s="13">
        <v>0</v>
      </c>
      <c r="I11" s="13">
        <v>0</v>
      </c>
      <c r="J11" s="13">
        <v>0</v>
      </c>
      <c r="K11" s="13">
        <v>0</v>
      </c>
      <c r="L11" s="13">
        <v>0</v>
      </c>
      <c r="M11" s="13">
        <v>0</v>
      </c>
    </row>
    <row r="12" spans="1:13" x14ac:dyDescent="0.25">
      <c r="A12" t="s">
        <v>82</v>
      </c>
      <c r="B12" s="13">
        <v>0</v>
      </c>
      <c r="C12" s="13">
        <v>0</v>
      </c>
      <c r="D12" s="13">
        <v>0</v>
      </c>
      <c r="E12" s="13">
        <v>0</v>
      </c>
      <c r="F12" s="13">
        <v>0</v>
      </c>
      <c r="G12" s="13">
        <v>0</v>
      </c>
      <c r="H12" s="13">
        <v>0</v>
      </c>
      <c r="I12" s="13">
        <v>0</v>
      </c>
      <c r="J12" s="13">
        <v>0</v>
      </c>
      <c r="K12" s="13">
        <v>0</v>
      </c>
      <c r="L12" s="13">
        <v>0</v>
      </c>
      <c r="M12" s="13">
        <v>0</v>
      </c>
    </row>
    <row r="13" spans="1:13" x14ac:dyDescent="0.25">
      <c r="A13" t="s">
        <v>83</v>
      </c>
      <c r="B13" s="13">
        <v>0</v>
      </c>
      <c r="C13" s="13">
        <v>0</v>
      </c>
      <c r="D13" s="13">
        <v>0</v>
      </c>
      <c r="E13" s="13">
        <v>0</v>
      </c>
      <c r="F13" s="13">
        <v>0</v>
      </c>
      <c r="G13" s="13">
        <v>0</v>
      </c>
      <c r="H13" s="13">
        <v>0</v>
      </c>
      <c r="I13" s="13">
        <v>0</v>
      </c>
      <c r="J13" s="13">
        <v>0</v>
      </c>
      <c r="K13" s="13">
        <v>0</v>
      </c>
      <c r="L13" s="13">
        <v>0</v>
      </c>
      <c r="M13" s="13">
        <v>0</v>
      </c>
    </row>
    <row r="14" spans="1:13" x14ac:dyDescent="0.25">
      <c r="A14" t="s">
        <v>84</v>
      </c>
      <c r="B14" s="13">
        <v>0</v>
      </c>
      <c r="C14" s="13">
        <v>0</v>
      </c>
      <c r="D14" s="13">
        <v>0</v>
      </c>
      <c r="E14" s="13">
        <v>0</v>
      </c>
      <c r="F14" s="13">
        <v>0</v>
      </c>
      <c r="G14" s="13">
        <v>0</v>
      </c>
      <c r="H14" s="13">
        <v>0</v>
      </c>
      <c r="I14" s="13">
        <v>0</v>
      </c>
      <c r="J14" s="13">
        <v>0</v>
      </c>
      <c r="K14" s="13">
        <v>0</v>
      </c>
      <c r="L14" s="13">
        <v>0</v>
      </c>
      <c r="M14" s="13">
        <v>0</v>
      </c>
    </row>
  </sheetData>
  <pageMargins left="0.7" right="0.7" top="0.75" bottom="0.75" header="0.3" footer="0.3"/>
  <legacy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0CA91-39B6-43A5-A4C5-0E8E77A8C30B}">
  <sheetPr codeName="Sheet56">
    <tabColor rgb="FF7030A0"/>
  </sheetPr>
  <dimension ref="A1:M14"/>
  <sheetViews>
    <sheetView workbookViewId="0">
      <selection activeCell="D38" sqref="D38"/>
    </sheetView>
  </sheetViews>
  <sheetFormatPr defaultRowHeight="15" x14ac:dyDescent="0.25"/>
  <cols>
    <col min="1" max="1" width="23" customWidth="1"/>
  </cols>
  <sheetData>
    <row r="1" spans="1:13" x14ac:dyDescent="0.25">
      <c r="A1" s="14" t="s">
        <v>65</v>
      </c>
      <c r="B1" t="s">
        <v>1</v>
      </c>
      <c r="C1" t="s">
        <v>2</v>
      </c>
      <c r="D1" t="s">
        <v>3</v>
      </c>
      <c r="E1" t="s">
        <v>4</v>
      </c>
      <c r="F1" t="s">
        <v>5</v>
      </c>
      <c r="G1" t="s">
        <v>6</v>
      </c>
      <c r="H1" t="s">
        <v>7</v>
      </c>
      <c r="I1" t="s">
        <v>8</v>
      </c>
      <c r="J1" t="s">
        <v>9</v>
      </c>
      <c r="K1" t="s">
        <v>10</v>
      </c>
      <c r="L1" t="s">
        <v>11</v>
      </c>
      <c r="M1" t="s">
        <v>12</v>
      </c>
    </row>
    <row r="2" spans="1:13" x14ac:dyDescent="0.25">
      <c r="A2" t="s">
        <v>72</v>
      </c>
      <c r="B2" s="12">
        <v>0</v>
      </c>
      <c r="C2" s="12">
        <v>0</v>
      </c>
      <c r="D2" s="12">
        <v>0</v>
      </c>
      <c r="E2" s="12">
        <v>0</v>
      </c>
      <c r="F2" s="12">
        <v>0</v>
      </c>
      <c r="G2" s="12">
        <v>0</v>
      </c>
      <c r="H2" s="12">
        <v>0</v>
      </c>
      <c r="I2" s="12">
        <v>0</v>
      </c>
      <c r="J2" s="12">
        <v>0</v>
      </c>
      <c r="K2" s="12">
        <v>0</v>
      </c>
      <c r="L2" s="12">
        <v>0</v>
      </c>
      <c r="M2" s="12">
        <v>0</v>
      </c>
    </row>
    <row r="3" spans="1:13" x14ac:dyDescent="0.25">
      <c r="A3" t="s">
        <v>73</v>
      </c>
      <c r="B3" s="12">
        <v>0</v>
      </c>
      <c r="C3" s="12">
        <v>0</v>
      </c>
      <c r="D3" s="12">
        <v>0</v>
      </c>
      <c r="E3" s="12">
        <v>0</v>
      </c>
      <c r="F3" s="12">
        <v>0</v>
      </c>
      <c r="G3" s="12">
        <v>0</v>
      </c>
      <c r="H3" s="12">
        <v>0</v>
      </c>
      <c r="I3" s="12">
        <v>0</v>
      </c>
      <c r="J3" s="12">
        <v>0</v>
      </c>
      <c r="K3" s="12">
        <v>0</v>
      </c>
      <c r="L3" s="12">
        <v>0</v>
      </c>
      <c r="M3" s="12">
        <v>0</v>
      </c>
    </row>
    <row r="4" spans="1:13" x14ac:dyDescent="0.25">
      <c r="A4" t="s">
        <v>74</v>
      </c>
      <c r="B4" s="12">
        <v>0</v>
      </c>
      <c r="C4" s="12">
        <v>0</v>
      </c>
      <c r="D4" s="12">
        <v>0</v>
      </c>
      <c r="E4" s="12">
        <v>0</v>
      </c>
      <c r="F4" s="12">
        <v>0</v>
      </c>
      <c r="G4" s="12">
        <v>0</v>
      </c>
      <c r="H4" s="12">
        <v>0</v>
      </c>
      <c r="I4" s="12">
        <v>0</v>
      </c>
      <c r="J4" s="12">
        <v>0</v>
      </c>
      <c r="K4" s="12">
        <v>0</v>
      </c>
      <c r="L4" s="12">
        <v>0</v>
      </c>
      <c r="M4" s="12">
        <v>0</v>
      </c>
    </row>
    <row r="5" spans="1:13" x14ac:dyDescent="0.25">
      <c r="A5" s="2" t="s">
        <v>75</v>
      </c>
      <c r="B5" s="26">
        <v>0</v>
      </c>
      <c r="C5" s="11">
        <v>0</v>
      </c>
      <c r="D5" s="11">
        <v>0</v>
      </c>
      <c r="E5" s="11">
        <v>1.2764631165003395</v>
      </c>
      <c r="F5" s="11">
        <v>2.0307660236736842</v>
      </c>
      <c r="G5" s="11">
        <v>3.9161570792755995</v>
      </c>
      <c r="H5" s="11">
        <v>3.78600933107121</v>
      </c>
      <c r="I5" s="11">
        <v>2.5249364950518904</v>
      </c>
      <c r="J5" s="11">
        <v>0</v>
      </c>
      <c r="K5" s="11">
        <v>0</v>
      </c>
      <c r="L5" s="11">
        <v>0</v>
      </c>
      <c r="M5" s="11">
        <v>0</v>
      </c>
    </row>
    <row r="6" spans="1:13" x14ac:dyDescent="0.25">
      <c r="A6" s="2" t="s">
        <v>76</v>
      </c>
      <c r="B6" s="26">
        <v>0</v>
      </c>
      <c r="C6" s="11">
        <v>0</v>
      </c>
      <c r="D6" s="11">
        <v>0</v>
      </c>
      <c r="E6" s="11">
        <v>0</v>
      </c>
      <c r="F6" s="11">
        <v>0</v>
      </c>
      <c r="G6" s="11">
        <v>0.65209146625438585</v>
      </c>
      <c r="H6" s="11">
        <v>0</v>
      </c>
      <c r="I6" s="11">
        <v>0</v>
      </c>
      <c r="J6" s="11">
        <v>0</v>
      </c>
      <c r="K6" s="11">
        <v>0</v>
      </c>
      <c r="L6" s="11">
        <v>0</v>
      </c>
      <c r="M6" s="11">
        <v>0</v>
      </c>
    </row>
    <row r="7" spans="1:13" x14ac:dyDescent="0.25">
      <c r="A7" t="s">
        <v>77</v>
      </c>
      <c r="B7" s="12">
        <v>0</v>
      </c>
      <c r="C7" s="12">
        <v>0</v>
      </c>
      <c r="D7" s="12">
        <v>0</v>
      </c>
      <c r="E7" s="12">
        <v>0</v>
      </c>
      <c r="F7" s="12">
        <v>0</v>
      </c>
      <c r="G7" s="12">
        <v>0</v>
      </c>
      <c r="H7" s="12">
        <v>0</v>
      </c>
      <c r="I7" s="12">
        <v>0</v>
      </c>
      <c r="J7" s="12">
        <v>0</v>
      </c>
      <c r="K7" s="12">
        <v>0</v>
      </c>
      <c r="L7" s="12">
        <v>0</v>
      </c>
      <c r="M7" s="12">
        <v>0</v>
      </c>
    </row>
    <row r="8" spans="1:13" x14ac:dyDescent="0.25">
      <c r="A8" s="2" t="s">
        <v>78</v>
      </c>
      <c r="B8" s="26">
        <v>0</v>
      </c>
      <c r="C8" s="11">
        <v>0</v>
      </c>
      <c r="D8" s="11">
        <v>4.0007030795662235</v>
      </c>
      <c r="E8" s="11">
        <v>4.3245877838674591</v>
      </c>
      <c r="F8" s="11">
        <v>4.1084166530724522</v>
      </c>
      <c r="G8" s="11">
        <v>16.019799393051162</v>
      </c>
      <c r="H8" s="11">
        <v>19.403649096294256</v>
      </c>
      <c r="I8" s="11">
        <v>5.3049009352580994</v>
      </c>
      <c r="J8" s="11">
        <v>0</v>
      </c>
      <c r="K8" s="11">
        <v>0</v>
      </c>
      <c r="L8" s="11">
        <v>0</v>
      </c>
      <c r="M8" s="11">
        <v>0</v>
      </c>
    </row>
    <row r="9" spans="1:13" x14ac:dyDescent="0.25">
      <c r="A9" s="2" t="s">
        <v>79</v>
      </c>
      <c r="B9" s="26">
        <v>0</v>
      </c>
      <c r="C9" s="11">
        <v>0</v>
      </c>
      <c r="D9" s="11">
        <v>13.069994944731075</v>
      </c>
      <c r="E9" s="11">
        <v>19.547975866912587</v>
      </c>
      <c r="F9" s="11">
        <v>39.661345446421088</v>
      </c>
      <c r="G9" s="11">
        <v>71.238504999065029</v>
      </c>
      <c r="H9" s="11">
        <v>139.95253048836298</v>
      </c>
      <c r="I9" s="11">
        <v>34.975601895520242</v>
      </c>
      <c r="J9" s="11">
        <v>0</v>
      </c>
      <c r="K9" s="11">
        <v>0</v>
      </c>
      <c r="L9" s="11">
        <v>0</v>
      </c>
      <c r="M9" s="11">
        <v>0</v>
      </c>
    </row>
    <row r="10" spans="1:13" x14ac:dyDescent="0.25">
      <c r="A10" s="2" t="s">
        <v>80</v>
      </c>
      <c r="B10" s="26">
        <v>0</v>
      </c>
      <c r="C10" s="11">
        <v>0</v>
      </c>
      <c r="D10" s="11">
        <v>13.069994944731073</v>
      </c>
      <c r="E10" s="11">
        <v>19.547975866912584</v>
      </c>
      <c r="F10" s="11">
        <v>39.661345446421095</v>
      </c>
      <c r="G10" s="11">
        <v>71.238504999065071</v>
      </c>
      <c r="H10" s="11">
        <v>139.84420562169626</v>
      </c>
      <c r="I10" s="11">
        <v>34.877248159622809</v>
      </c>
      <c r="J10" s="11">
        <v>0</v>
      </c>
      <c r="K10" s="11">
        <v>0</v>
      </c>
      <c r="L10" s="11">
        <v>0</v>
      </c>
      <c r="M10" s="11">
        <v>0</v>
      </c>
    </row>
    <row r="11" spans="1:13" x14ac:dyDescent="0.25">
      <c r="A11" t="s">
        <v>81</v>
      </c>
      <c r="B11" s="12">
        <v>0</v>
      </c>
      <c r="C11" s="12">
        <v>0</v>
      </c>
      <c r="D11" s="12">
        <v>0</v>
      </c>
      <c r="E11" s="12">
        <v>0</v>
      </c>
      <c r="F11" s="12">
        <v>0</v>
      </c>
      <c r="G11" s="12">
        <v>0</v>
      </c>
      <c r="H11" s="12">
        <v>0</v>
      </c>
      <c r="I11" s="12">
        <v>0</v>
      </c>
      <c r="J11" s="12">
        <v>0</v>
      </c>
      <c r="K11" s="12">
        <v>0</v>
      </c>
      <c r="L11" s="12">
        <v>0</v>
      </c>
      <c r="M11" s="12">
        <v>0</v>
      </c>
    </row>
    <row r="12" spans="1:13" x14ac:dyDescent="0.25">
      <c r="A12" t="s">
        <v>82</v>
      </c>
      <c r="B12" s="12">
        <v>0</v>
      </c>
      <c r="C12" s="12">
        <v>0</v>
      </c>
      <c r="D12" s="12">
        <v>0</v>
      </c>
      <c r="E12" s="12">
        <v>0</v>
      </c>
      <c r="F12" s="12">
        <v>0</v>
      </c>
      <c r="G12" s="12">
        <v>0</v>
      </c>
      <c r="H12" s="12">
        <v>0</v>
      </c>
      <c r="I12" s="12">
        <v>0</v>
      </c>
      <c r="J12" s="12">
        <v>0</v>
      </c>
      <c r="K12" s="12">
        <v>0</v>
      </c>
      <c r="L12" s="12">
        <v>0</v>
      </c>
      <c r="M12" s="12">
        <v>0</v>
      </c>
    </row>
    <row r="13" spans="1:13" x14ac:dyDescent="0.25">
      <c r="A13" t="s">
        <v>83</v>
      </c>
      <c r="B13" s="12">
        <v>0</v>
      </c>
      <c r="C13" s="12">
        <v>0</v>
      </c>
      <c r="D13" s="12">
        <v>0</v>
      </c>
      <c r="E13" s="12">
        <v>0</v>
      </c>
      <c r="F13" s="12">
        <v>0</v>
      </c>
      <c r="G13" s="12">
        <v>0</v>
      </c>
      <c r="H13" s="12">
        <v>0</v>
      </c>
      <c r="I13" s="12">
        <v>0</v>
      </c>
      <c r="J13" s="12">
        <v>0</v>
      </c>
      <c r="K13" s="12">
        <v>0</v>
      </c>
      <c r="L13" s="12">
        <v>0</v>
      </c>
      <c r="M13" s="12">
        <v>0</v>
      </c>
    </row>
    <row r="14" spans="1:13" x14ac:dyDescent="0.25">
      <c r="A14"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1F9C8-6518-44EE-A171-D12BD12692CA}">
  <sheetPr codeName="Sheet58">
    <tabColor rgb="FF7030A0"/>
  </sheetPr>
  <dimension ref="A1:M14"/>
  <sheetViews>
    <sheetView workbookViewId="0">
      <selection activeCell="M5" sqref="B5:M5"/>
    </sheetView>
  </sheetViews>
  <sheetFormatPr defaultRowHeight="15" x14ac:dyDescent="0.25"/>
  <cols>
    <col min="1" max="1" width="23" customWidth="1"/>
  </cols>
  <sheetData>
    <row r="1" spans="1:13" x14ac:dyDescent="0.25">
      <c r="A1" s="14" t="s">
        <v>68</v>
      </c>
      <c r="B1" t="s">
        <v>1</v>
      </c>
      <c r="C1" t="s">
        <v>2</v>
      </c>
      <c r="D1" t="s">
        <v>3</v>
      </c>
      <c r="E1" t="s">
        <v>4</v>
      </c>
      <c r="F1" t="s">
        <v>5</v>
      </c>
      <c r="G1" t="s">
        <v>6</v>
      </c>
      <c r="H1" t="s">
        <v>7</v>
      </c>
      <c r="I1" t="s">
        <v>8</v>
      </c>
      <c r="J1" t="s">
        <v>9</v>
      </c>
      <c r="K1" t="s">
        <v>10</v>
      </c>
      <c r="L1" t="s">
        <v>11</v>
      </c>
      <c r="M1" t="s">
        <v>12</v>
      </c>
    </row>
    <row r="2" spans="1:13" x14ac:dyDescent="0.25">
      <c r="A2" t="s">
        <v>72</v>
      </c>
      <c r="B2" s="12">
        <v>0</v>
      </c>
      <c r="C2" s="12">
        <v>0</v>
      </c>
      <c r="D2" s="12">
        <v>0</v>
      </c>
      <c r="E2" s="12">
        <v>0</v>
      </c>
      <c r="F2" s="12">
        <v>0</v>
      </c>
      <c r="G2" s="12">
        <v>0</v>
      </c>
      <c r="H2" s="12">
        <v>0</v>
      </c>
      <c r="I2" s="12">
        <v>0</v>
      </c>
      <c r="J2" s="12">
        <v>0</v>
      </c>
      <c r="K2" s="12">
        <v>0</v>
      </c>
      <c r="L2" s="12">
        <v>0</v>
      </c>
      <c r="M2" s="12">
        <v>0</v>
      </c>
    </row>
    <row r="3" spans="1:13" x14ac:dyDescent="0.25">
      <c r="A3" t="s">
        <v>73</v>
      </c>
      <c r="B3" s="12">
        <v>0</v>
      </c>
      <c r="C3" s="12">
        <v>0</v>
      </c>
      <c r="D3" s="12">
        <v>0</v>
      </c>
      <c r="E3" s="12">
        <v>0</v>
      </c>
      <c r="F3" s="12">
        <v>0</v>
      </c>
      <c r="G3" s="12">
        <v>0</v>
      </c>
      <c r="H3" s="12">
        <v>0</v>
      </c>
      <c r="I3" s="12">
        <v>0</v>
      </c>
      <c r="J3" s="12">
        <v>0</v>
      </c>
      <c r="K3" s="12">
        <v>0</v>
      </c>
      <c r="L3" s="12">
        <v>0</v>
      </c>
      <c r="M3" s="12">
        <v>0</v>
      </c>
    </row>
    <row r="4" spans="1:13" x14ac:dyDescent="0.25">
      <c r="A4" t="s">
        <v>74</v>
      </c>
      <c r="B4" s="12">
        <v>0</v>
      </c>
      <c r="C4" s="12">
        <v>0</v>
      </c>
      <c r="D4" s="12">
        <v>0</v>
      </c>
      <c r="E4" s="12">
        <v>0</v>
      </c>
      <c r="F4" s="12">
        <v>0</v>
      </c>
      <c r="G4" s="12">
        <v>0</v>
      </c>
      <c r="H4" s="12">
        <v>0</v>
      </c>
      <c r="I4" s="12">
        <v>0</v>
      </c>
      <c r="J4" s="12">
        <v>0</v>
      </c>
      <c r="K4" s="12">
        <v>0</v>
      </c>
      <c r="L4" s="12">
        <v>0</v>
      </c>
      <c r="M4" s="12">
        <v>0</v>
      </c>
    </row>
    <row r="5" spans="1:13" x14ac:dyDescent="0.25">
      <c r="A5" s="2" t="s">
        <v>75</v>
      </c>
      <c r="B5" s="26">
        <v>30.030730495776869</v>
      </c>
      <c r="C5" s="11">
        <v>32.940608668205101</v>
      </c>
      <c r="D5" s="11">
        <v>33.833547530898812</v>
      </c>
      <c r="E5" s="11">
        <v>36.611691838287705</v>
      </c>
      <c r="F5" s="11">
        <v>38.69875061288451</v>
      </c>
      <c r="G5" s="11">
        <v>40.936290675382736</v>
      </c>
      <c r="H5" s="11">
        <v>46.642484555586144</v>
      </c>
      <c r="I5" s="11">
        <v>33.877371445334916</v>
      </c>
      <c r="J5" s="11">
        <v>27.365362911790069</v>
      </c>
      <c r="K5" s="11">
        <v>23.676650061559251</v>
      </c>
      <c r="L5" s="11">
        <v>23.657442721045921</v>
      </c>
      <c r="M5" s="11">
        <v>25.799210697343508</v>
      </c>
    </row>
    <row r="6" spans="1:13" x14ac:dyDescent="0.25">
      <c r="A6" s="2" t="s">
        <v>76</v>
      </c>
      <c r="B6" s="26">
        <v>28.102714996063121</v>
      </c>
      <c r="C6" s="11">
        <v>30.812209098070671</v>
      </c>
      <c r="D6" s="11">
        <v>31.677241505880694</v>
      </c>
      <c r="E6" s="11">
        <v>34.471010128200639</v>
      </c>
      <c r="F6" s="11">
        <v>36.57159236048372</v>
      </c>
      <c r="G6" s="11">
        <v>38.818891711244056</v>
      </c>
      <c r="H6" s="11">
        <v>44.101094414617343</v>
      </c>
      <c r="I6" s="11">
        <v>31.950506549968523</v>
      </c>
      <c r="J6" s="11">
        <v>25.384277587447379</v>
      </c>
      <c r="K6" s="11">
        <v>22.143426530309185</v>
      </c>
      <c r="L6" s="11">
        <v>22.294887503305024</v>
      </c>
      <c r="M6" s="11">
        <v>24.214238986078747</v>
      </c>
    </row>
    <row r="7" spans="1:13" x14ac:dyDescent="0.25">
      <c r="A7" t="s">
        <v>77</v>
      </c>
      <c r="B7" s="12">
        <v>0</v>
      </c>
      <c r="C7" s="12">
        <v>0</v>
      </c>
      <c r="D7" s="12">
        <v>0</v>
      </c>
      <c r="E7" s="12">
        <v>0</v>
      </c>
      <c r="F7" s="12">
        <v>0</v>
      </c>
      <c r="G7" s="12">
        <v>0</v>
      </c>
      <c r="H7" s="12">
        <v>0</v>
      </c>
      <c r="I7" s="12">
        <v>0</v>
      </c>
      <c r="J7" s="12">
        <v>0</v>
      </c>
      <c r="K7" s="12">
        <v>0</v>
      </c>
      <c r="L7" s="12">
        <v>0</v>
      </c>
      <c r="M7" s="12">
        <v>0</v>
      </c>
    </row>
    <row r="8" spans="1:13" x14ac:dyDescent="0.25">
      <c r="A8" s="2" t="s">
        <v>78</v>
      </c>
      <c r="B8" s="26">
        <v>29.655780176185171</v>
      </c>
      <c r="C8" s="11">
        <v>32.130371352883124</v>
      </c>
      <c r="D8" s="11">
        <v>41.872194208839936</v>
      </c>
      <c r="E8" s="11">
        <v>47.542091648020786</v>
      </c>
      <c r="F8" s="11">
        <v>59.724933459347525</v>
      </c>
      <c r="G8" s="11">
        <v>74.758562724833965</v>
      </c>
      <c r="H8" s="11">
        <v>95.226663658122291</v>
      </c>
      <c r="I8" s="11">
        <v>58.981807722813429</v>
      </c>
      <c r="J8" s="11">
        <v>33.612442023602874</v>
      </c>
      <c r="K8" s="11">
        <v>29.431000000000015</v>
      </c>
      <c r="L8" s="11">
        <v>29.431000000000015</v>
      </c>
      <c r="M8" s="11">
        <v>29.431000000000015</v>
      </c>
    </row>
    <row r="9" spans="1:13" x14ac:dyDescent="0.25">
      <c r="A9" s="2" t="s">
        <v>79</v>
      </c>
      <c r="B9" s="26">
        <v>42.674659981458923</v>
      </c>
      <c r="C9" s="11">
        <v>45.302551262342497</v>
      </c>
      <c r="D9" s="11">
        <v>54.133837052008744</v>
      </c>
      <c r="E9" s="11">
        <v>59.805031795890628</v>
      </c>
      <c r="F9" s="11">
        <v>70.732236166645407</v>
      </c>
      <c r="G9" s="11">
        <v>86.624124245520562</v>
      </c>
      <c r="H9" s="11">
        <v>90.211778438625288</v>
      </c>
      <c r="I9" s="11">
        <v>73.662959906781495</v>
      </c>
      <c r="J9" s="11">
        <v>48.421634892997858</v>
      </c>
      <c r="K9" s="11">
        <v>42.437651964850616</v>
      </c>
      <c r="L9" s="11">
        <v>42.433999999999976</v>
      </c>
      <c r="M9" s="11">
        <v>42.433999999999969</v>
      </c>
    </row>
    <row r="10" spans="1:13" x14ac:dyDescent="0.25">
      <c r="A10" s="2" t="s">
        <v>80</v>
      </c>
      <c r="B10" s="26">
        <v>10.548522920775477</v>
      </c>
      <c r="C10" s="11">
        <v>11.231597049289656</v>
      </c>
      <c r="D10" s="11">
        <v>13.427341064587099</v>
      </c>
      <c r="E10" s="11">
        <v>14.803605937456959</v>
      </c>
      <c r="F10" s="11">
        <v>17.521290164838359</v>
      </c>
      <c r="G10" s="11">
        <v>21.513253063229353</v>
      </c>
      <c r="H10" s="11">
        <v>22.386541802502883</v>
      </c>
      <c r="I10" s="11">
        <v>18.188571540696149</v>
      </c>
      <c r="J10" s="11">
        <v>11.857869550703787</v>
      </c>
      <c r="K10" s="11">
        <v>10.385299746846309</v>
      </c>
      <c r="L10" s="11">
        <v>10.40977011373136</v>
      </c>
      <c r="M10" s="11">
        <v>10.454993457974897</v>
      </c>
    </row>
    <row r="11" spans="1:13" x14ac:dyDescent="0.25">
      <c r="A11" t="s">
        <v>81</v>
      </c>
      <c r="B11" s="12">
        <v>0</v>
      </c>
      <c r="C11" s="12">
        <v>0</v>
      </c>
      <c r="D11" s="12">
        <v>0</v>
      </c>
      <c r="E11" s="12">
        <v>0</v>
      </c>
      <c r="F11" s="12">
        <v>0</v>
      </c>
      <c r="G11" s="12">
        <v>0</v>
      </c>
      <c r="H11" s="12">
        <v>0</v>
      </c>
      <c r="I11" s="12">
        <v>0</v>
      </c>
      <c r="J11" s="12">
        <v>0</v>
      </c>
      <c r="K11" s="12">
        <v>0</v>
      </c>
      <c r="L11" s="12">
        <v>0</v>
      </c>
      <c r="M11" s="12">
        <v>0</v>
      </c>
    </row>
    <row r="12" spans="1:13" x14ac:dyDescent="0.25">
      <c r="A12" t="s">
        <v>82</v>
      </c>
      <c r="B12" s="12">
        <v>0</v>
      </c>
      <c r="C12" s="12">
        <v>0</v>
      </c>
      <c r="D12" s="12">
        <v>0</v>
      </c>
      <c r="E12" s="12">
        <v>0</v>
      </c>
      <c r="F12" s="12">
        <v>0</v>
      </c>
      <c r="G12" s="12">
        <v>0</v>
      </c>
      <c r="H12" s="12">
        <v>0</v>
      </c>
      <c r="I12" s="12">
        <v>0</v>
      </c>
      <c r="J12" s="12">
        <v>0</v>
      </c>
      <c r="K12" s="12">
        <v>0</v>
      </c>
      <c r="L12" s="12">
        <v>0</v>
      </c>
      <c r="M12" s="12">
        <v>0</v>
      </c>
    </row>
    <row r="13" spans="1:13" x14ac:dyDescent="0.25">
      <c r="A13" t="s">
        <v>83</v>
      </c>
      <c r="B13" s="12">
        <v>0</v>
      </c>
      <c r="C13" s="12">
        <v>0</v>
      </c>
      <c r="D13" s="12">
        <v>0</v>
      </c>
      <c r="E13" s="12">
        <v>0</v>
      </c>
      <c r="F13" s="12">
        <v>0</v>
      </c>
      <c r="G13" s="12">
        <v>0</v>
      </c>
      <c r="H13" s="12">
        <v>0</v>
      </c>
      <c r="I13" s="12">
        <v>0</v>
      </c>
      <c r="J13" s="12">
        <v>0</v>
      </c>
      <c r="K13" s="12">
        <v>0</v>
      </c>
      <c r="L13" s="12">
        <v>0</v>
      </c>
      <c r="M13" s="12">
        <v>0</v>
      </c>
    </row>
    <row r="14" spans="1:13" x14ac:dyDescent="0.25">
      <c r="A14"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7D050-83CD-4C66-92FC-B704F7E7DE54}">
  <sheetPr codeName="Sheet59">
    <tabColor rgb="FF7030A0"/>
  </sheetPr>
  <dimension ref="A1:M14"/>
  <sheetViews>
    <sheetView workbookViewId="0">
      <selection activeCell="B4" sqref="B4:N14"/>
    </sheetView>
  </sheetViews>
  <sheetFormatPr defaultRowHeight="15" x14ac:dyDescent="0.25"/>
  <cols>
    <col min="1" max="1" width="23" customWidth="1"/>
  </cols>
  <sheetData>
    <row r="1" spans="1:13" x14ac:dyDescent="0.25">
      <c r="A1" s="14" t="s">
        <v>69</v>
      </c>
      <c r="B1" t="s">
        <v>1</v>
      </c>
      <c r="C1" t="s">
        <v>2</v>
      </c>
      <c r="D1" t="s">
        <v>3</v>
      </c>
      <c r="E1" t="s">
        <v>4</v>
      </c>
      <c r="F1" t="s">
        <v>5</v>
      </c>
      <c r="G1" t="s">
        <v>6</v>
      </c>
      <c r="H1" t="s">
        <v>7</v>
      </c>
      <c r="I1" t="s">
        <v>8</v>
      </c>
      <c r="J1" t="s">
        <v>9</v>
      </c>
      <c r="K1" t="s">
        <v>10</v>
      </c>
      <c r="L1" t="s">
        <v>11</v>
      </c>
      <c r="M1" t="s">
        <v>12</v>
      </c>
    </row>
    <row r="2" spans="1:13" x14ac:dyDescent="0.25">
      <c r="A2" t="s">
        <v>72</v>
      </c>
      <c r="B2" s="12">
        <v>0</v>
      </c>
      <c r="C2" s="12">
        <v>0</v>
      </c>
      <c r="D2" s="12">
        <v>0</v>
      </c>
      <c r="E2" s="12">
        <v>0</v>
      </c>
      <c r="F2" s="12">
        <v>0</v>
      </c>
      <c r="G2" s="12">
        <v>0</v>
      </c>
      <c r="H2" s="12">
        <v>0</v>
      </c>
      <c r="I2" s="12">
        <v>0</v>
      </c>
      <c r="J2" s="12">
        <v>0</v>
      </c>
      <c r="K2" s="12">
        <v>0</v>
      </c>
      <c r="L2" s="12">
        <v>0</v>
      </c>
      <c r="M2" s="12">
        <v>0</v>
      </c>
    </row>
    <row r="3" spans="1:13" x14ac:dyDescent="0.25">
      <c r="A3" t="s">
        <v>73</v>
      </c>
      <c r="B3" s="12">
        <v>0</v>
      </c>
      <c r="C3" s="12">
        <v>0</v>
      </c>
      <c r="D3" s="12">
        <v>0</v>
      </c>
      <c r="E3" s="12">
        <v>0</v>
      </c>
      <c r="F3" s="12">
        <v>0</v>
      </c>
      <c r="G3" s="12">
        <v>0</v>
      </c>
      <c r="H3" s="12">
        <v>0</v>
      </c>
      <c r="I3" s="12">
        <v>0</v>
      </c>
      <c r="J3" s="12">
        <v>0</v>
      </c>
      <c r="K3" s="12">
        <v>0</v>
      </c>
      <c r="L3" s="12">
        <v>0</v>
      </c>
      <c r="M3" s="12">
        <v>0</v>
      </c>
    </row>
    <row r="4" spans="1:13" x14ac:dyDescent="0.25">
      <c r="A4" t="s">
        <v>74</v>
      </c>
      <c r="B4" s="12">
        <v>0</v>
      </c>
      <c r="C4" s="12">
        <v>0</v>
      </c>
      <c r="D4" s="12">
        <v>0</v>
      </c>
      <c r="E4" s="12">
        <v>0</v>
      </c>
      <c r="F4" s="12">
        <v>0</v>
      </c>
      <c r="G4" s="12">
        <v>0</v>
      </c>
      <c r="H4" s="12">
        <v>0</v>
      </c>
      <c r="I4" s="12">
        <v>0</v>
      </c>
      <c r="J4" s="12">
        <v>0</v>
      </c>
      <c r="K4" s="12">
        <v>0</v>
      </c>
      <c r="L4" s="12">
        <v>0</v>
      </c>
      <c r="M4" s="12">
        <v>0</v>
      </c>
    </row>
    <row r="5" spans="1:13" x14ac:dyDescent="0.25">
      <c r="A5" s="2" t="s">
        <v>75</v>
      </c>
      <c r="B5" s="26">
        <v>22.342863488857997</v>
      </c>
      <c r="C5" s="11">
        <v>23.717238241107687</v>
      </c>
      <c r="D5" s="11">
        <v>25.172159362988729</v>
      </c>
      <c r="E5" s="11">
        <v>27.239098727686066</v>
      </c>
      <c r="F5" s="11">
        <v>26.224195424840463</v>
      </c>
      <c r="G5" s="11">
        <v>30.45660026248477</v>
      </c>
      <c r="H5" s="11">
        <v>33.582588880022023</v>
      </c>
      <c r="I5" s="11">
        <v>25.204764355329196</v>
      </c>
      <c r="J5" s="11">
        <v>19.703061296488869</v>
      </c>
      <c r="K5" s="11">
        <v>17.615427645800096</v>
      </c>
      <c r="L5" s="11">
        <v>17.601137384458177</v>
      </c>
      <c r="M5" s="11">
        <v>18.575431702087336</v>
      </c>
    </row>
    <row r="6" spans="1:13" x14ac:dyDescent="0.25">
      <c r="A6" s="2" t="s">
        <v>76</v>
      </c>
      <c r="B6" s="26">
        <v>20.908419957070954</v>
      </c>
      <c r="C6" s="11">
        <v>22.184790550610881</v>
      </c>
      <c r="D6" s="11">
        <v>23.567867680375237</v>
      </c>
      <c r="E6" s="11">
        <v>25.646431535381282</v>
      </c>
      <c r="F6" s="11">
        <v>24.780517209956574</v>
      </c>
      <c r="G6" s="11">
        <v>28.881255433165581</v>
      </c>
      <c r="H6" s="11">
        <v>31.752787978524477</v>
      </c>
      <c r="I6" s="11">
        <v>23.771176873176586</v>
      </c>
      <c r="J6" s="11">
        <v>18.276679862962112</v>
      </c>
      <c r="K6" s="11">
        <v>16.474709338550046</v>
      </c>
      <c r="L6" s="11">
        <v>16.587396302458941</v>
      </c>
      <c r="M6" s="11">
        <v>17.434252069976697</v>
      </c>
    </row>
    <row r="7" spans="1:13" x14ac:dyDescent="0.25">
      <c r="A7" t="s">
        <v>77</v>
      </c>
      <c r="B7" s="12">
        <v>0</v>
      </c>
      <c r="C7" s="12">
        <v>0</v>
      </c>
      <c r="D7" s="12">
        <v>0</v>
      </c>
      <c r="E7" s="12">
        <v>0</v>
      </c>
      <c r="F7" s="12">
        <v>0</v>
      </c>
      <c r="G7" s="12">
        <v>0</v>
      </c>
      <c r="H7" s="12">
        <v>0</v>
      </c>
      <c r="I7" s="12">
        <v>0</v>
      </c>
      <c r="J7" s="12">
        <v>0</v>
      </c>
      <c r="K7" s="12">
        <v>0</v>
      </c>
      <c r="L7" s="12">
        <v>0</v>
      </c>
      <c r="M7" s="12">
        <v>0</v>
      </c>
    </row>
    <row r="8" spans="1:13" x14ac:dyDescent="0.25">
      <c r="A8" s="2" t="s">
        <v>78</v>
      </c>
      <c r="B8" s="26">
        <v>22.063900451081746</v>
      </c>
      <c r="C8" s="11">
        <v>23.133867374075844</v>
      </c>
      <c r="D8" s="11">
        <v>31.152912491376892</v>
      </c>
      <c r="E8" s="11">
        <v>35.371316186127444</v>
      </c>
      <c r="F8" s="11">
        <v>40.429712763052564</v>
      </c>
      <c r="G8" s="11">
        <v>55.620370667276497</v>
      </c>
      <c r="H8" s="11">
        <v>68.563197833848079</v>
      </c>
      <c r="I8" s="11">
        <v>43.882464945773208</v>
      </c>
      <c r="J8" s="11">
        <v>24.200958256994078</v>
      </c>
      <c r="K8" s="11">
        <v>21.896663999999991</v>
      </c>
      <c r="L8" s="11">
        <v>21.896663999999991</v>
      </c>
      <c r="M8" s="11">
        <v>21.19032000000001</v>
      </c>
    </row>
    <row r="9" spans="1:13" x14ac:dyDescent="0.25">
      <c r="A9" s="2" t="s">
        <v>79</v>
      </c>
      <c r="B9" s="26">
        <v>31.749947026205426</v>
      </c>
      <c r="C9" s="11">
        <v>32.617836908886602</v>
      </c>
      <c r="D9" s="11">
        <v>40.275574766694497</v>
      </c>
      <c r="E9" s="11">
        <v>44.494943656142624</v>
      </c>
      <c r="F9" s="11">
        <v>47.941378317137868</v>
      </c>
      <c r="G9" s="11">
        <v>64.448348438667281</v>
      </c>
      <c r="H9" s="11">
        <v>64.952480475810162</v>
      </c>
      <c r="I9" s="11">
        <v>54.805242170645414</v>
      </c>
      <c r="J9" s="11">
        <v>34.863577122958482</v>
      </c>
      <c r="K9" s="11">
        <v>31.573613061848846</v>
      </c>
      <c r="L9" s="11">
        <v>31.570895999999973</v>
      </c>
      <c r="M9" s="11">
        <v>30.552479999999985</v>
      </c>
    </row>
    <row r="10" spans="1:13" x14ac:dyDescent="0.25">
      <c r="A10" s="2" t="s">
        <v>80</v>
      </c>
      <c r="B10" s="26">
        <v>7.8481010530569533</v>
      </c>
      <c r="C10" s="11">
        <v>8.0867498754885538</v>
      </c>
      <c r="D10" s="11">
        <v>9.989941752052804</v>
      </c>
      <c r="E10" s="11">
        <v>11.013882817467977</v>
      </c>
      <c r="F10" s="11">
        <v>11.875336100783741</v>
      </c>
      <c r="G10" s="11">
        <v>16.005860279042643</v>
      </c>
      <c r="H10" s="11">
        <v>16.118310097802084</v>
      </c>
      <c r="I10" s="11">
        <v>13.532297226277938</v>
      </c>
      <c r="J10" s="11">
        <v>8.537666076506726</v>
      </c>
      <c r="K10" s="11">
        <v>7.7266630116536517</v>
      </c>
      <c r="L10" s="11">
        <v>7.7448689646161331</v>
      </c>
      <c r="M10" s="11">
        <v>7.5275952897419263</v>
      </c>
    </row>
    <row r="11" spans="1:13" x14ac:dyDescent="0.25">
      <c r="A11" t="s">
        <v>81</v>
      </c>
      <c r="B11" s="12">
        <v>0</v>
      </c>
      <c r="C11" s="12">
        <v>0</v>
      </c>
      <c r="D11" s="12">
        <v>0</v>
      </c>
      <c r="E11" s="12">
        <v>0</v>
      </c>
      <c r="F11" s="12">
        <v>0</v>
      </c>
      <c r="G11" s="12">
        <v>0</v>
      </c>
      <c r="H11" s="12">
        <v>0</v>
      </c>
      <c r="I11" s="12">
        <v>0</v>
      </c>
      <c r="J11" s="12">
        <v>0</v>
      </c>
      <c r="K11" s="12">
        <v>0</v>
      </c>
      <c r="L11" s="12">
        <v>0</v>
      </c>
      <c r="M11" s="12">
        <v>0</v>
      </c>
    </row>
    <row r="12" spans="1:13" x14ac:dyDescent="0.25">
      <c r="A12" t="s">
        <v>82</v>
      </c>
      <c r="B12" s="12">
        <v>0</v>
      </c>
      <c r="C12" s="12">
        <v>0</v>
      </c>
      <c r="D12" s="12">
        <v>0</v>
      </c>
      <c r="E12" s="12">
        <v>0</v>
      </c>
      <c r="F12" s="12">
        <v>0</v>
      </c>
      <c r="G12" s="12">
        <v>0</v>
      </c>
      <c r="H12" s="12">
        <v>0</v>
      </c>
      <c r="I12" s="12">
        <v>0</v>
      </c>
      <c r="J12" s="12">
        <v>0</v>
      </c>
      <c r="K12" s="12">
        <v>0</v>
      </c>
      <c r="L12" s="12">
        <v>0</v>
      </c>
      <c r="M12" s="12">
        <v>0</v>
      </c>
    </row>
    <row r="13" spans="1:13" x14ac:dyDescent="0.25">
      <c r="A13" t="s">
        <v>83</v>
      </c>
      <c r="B13" s="12">
        <v>0</v>
      </c>
      <c r="C13" s="12">
        <v>0</v>
      </c>
      <c r="D13" s="12">
        <v>0</v>
      </c>
      <c r="E13" s="12">
        <v>0</v>
      </c>
      <c r="F13" s="12">
        <v>0</v>
      </c>
      <c r="G13" s="12">
        <v>0</v>
      </c>
      <c r="H13" s="12">
        <v>0</v>
      </c>
      <c r="I13" s="12">
        <v>0</v>
      </c>
      <c r="J13" s="12">
        <v>0</v>
      </c>
      <c r="K13" s="12">
        <v>0</v>
      </c>
      <c r="L13" s="12">
        <v>0</v>
      </c>
      <c r="M13" s="12">
        <v>0</v>
      </c>
    </row>
    <row r="14" spans="1:13" x14ac:dyDescent="0.25">
      <c r="A14"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15B5B-5766-490D-ACB2-9BF45CDE4B07}">
  <sheetPr codeName="Sheet69">
    <tabColor rgb="FF7030A0"/>
  </sheetPr>
  <dimension ref="A1:M14"/>
  <sheetViews>
    <sheetView workbookViewId="0">
      <selection activeCell="B4" sqref="B4:B12"/>
    </sheetView>
  </sheetViews>
  <sheetFormatPr defaultRowHeight="15" x14ac:dyDescent="0.25"/>
  <cols>
    <col min="1" max="1" width="23" customWidth="1"/>
  </cols>
  <sheetData>
    <row r="1" spans="1:13" x14ac:dyDescent="0.25">
      <c r="A1" s="14" t="s">
        <v>169</v>
      </c>
      <c r="B1" t="s">
        <v>1</v>
      </c>
      <c r="C1" t="s">
        <v>2</v>
      </c>
      <c r="D1" t="s">
        <v>3</v>
      </c>
      <c r="E1" t="s">
        <v>4</v>
      </c>
      <c r="F1" t="s">
        <v>5</v>
      </c>
      <c r="G1" t="s">
        <v>6</v>
      </c>
      <c r="H1" t="s">
        <v>7</v>
      </c>
      <c r="I1" t="s">
        <v>8</v>
      </c>
      <c r="J1" t="s">
        <v>9</v>
      </c>
      <c r="K1" t="s">
        <v>10</v>
      </c>
      <c r="L1" t="s">
        <v>11</v>
      </c>
      <c r="M1" t="s">
        <v>12</v>
      </c>
    </row>
    <row r="2" spans="1:13" x14ac:dyDescent="0.25">
      <c r="A2" t="s">
        <v>72</v>
      </c>
      <c r="B2" s="12">
        <v>0</v>
      </c>
      <c r="C2" s="12">
        <v>0</v>
      </c>
      <c r="D2" s="12">
        <v>0</v>
      </c>
      <c r="E2" s="12">
        <v>0</v>
      </c>
      <c r="F2" s="12">
        <v>0</v>
      </c>
      <c r="G2" s="12">
        <v>0</v>
      </c>
      <c r="H2" s="12">
        <v>0</v>
      </c>
      <c r="I2" s="12">
        <v>0</v>
      </c>
      <c r="J2" s="12">
        <v>0</v>
      </c>
      <c r="K2" s="12">
        <v>0</v>
      </c>
      <c r="L2" s="12">
        <v>0</v>
      </c>
      <c r="M2" s="12">
        <v>0</v>
      </c>
    </row>
    <row r="3" spans="1:13" x14ac:dyDescent="0.25">
      <c r="A3" t="s">
        <v>73</v>
      </c>
      <c r="B3" s="12">
        <v>0</v>
      </c>
      <c r="C3" s="12">
        <v>0</v>
      </c>
      <c r="D3" s="12">
        <v>0</v>
      </c>
      <c r="E3" s="12">
        <v>0</v>
      </c>
      <c r="F3" s="12">
        <v>0</v>
      </c>
      <c r="G3" s="12">
        <v>0</v>
      </c>
      <c r="H3" s="12">
        <v>0</v>
      </c>
      <c r="I3" s="12">
        <v>0</v>
      </c>
      <c r="J3" s="12">
        <v>0</v>
      </c>
      <c r="K3" s="12">
        <v>0</v>
      </c>
      <c r="L3" s="12">
        <v>0</v>
      </c>
      <c r="M3" s="12">
        <v>0</v>
      </c>
    </row>
    <row r="4" spans="1:13" x14ac:dyDescent="0.25">
      <c r="A4" t="s">
        <v>74</v>
      </c>
      <c r="B4" s="12">
        <v>0</v>
      </c>
      <c r="C4" s="12">
        <v>0</v>
      </c>
      <c r="D4" s="12">
        <v>0</v>
      </c>
      <c r="E4" s="12">
        <v>0</v>
      </c>
      <c r="F4" s="12">
        <v>0</v>
      </c>
      <c r="G4" s="12">
        <v>0</v>
      </c>
      <c r="H4" s="12">
        <v>0</v>
      </c>
      <c r="I4" s="12">
        <v>0</v>
      </c>
      <c r="J4" s="12">
        <v>0</v>
      </c>
      <c r="K4" s="12">
        <v>0</v>
      </c>
      <c r="L4" s="12">
        <v>0</v>
      </c>
      <c r="M4" s="12">
        <v>0</v>
      </c>
    </row>
    <row r="5" spans="1:13" x14ac:dyDescent="0.25">
      <c r="A5" s="2" t="s">
        <v>75</v>
      </c>
      <c r="B5" s="26">
        <v>50.831999999999901</v>
      </c>
      <c r="C5" s="11">
        <v>50.831999999999901</v>
      </c>
      <c r="D5" s="11">
        <v>50.831999999999901</v>
      </c>
      <c r="E5" s="11">
        <v>50.831999999999901</v>
      </c>
      <c r="F5" s="11">
        <v>50.831999999999901</v>
      </c>
      <c r="G5" s="11">
        <v>50.831999999999901</v>
      </c>
      <c r="H5" s="11">
        <v>50.831999999999901</v>
      </c>
      <c r="I5" s="11">
        <v>50.831999999999901</v>
      </c>
      <c r="J5" s="11">
        <v>50.831999999999901</v>
      </c>
      <c r="K5" s="11">
        <v>50.831999999999901</v>
      </c>
      <c r="L5" s="11">
        <v>50.831999999999901</v>
      </c>
      <c r="M5" s="11">
        <v>50.831999999999901</v>
      </c>
    </row>
    <row r="6" spans="1:13" x14ac:dyDescent="0.25">
      <c r="A6" s="2" t="s">
        <v>76</v>
      </c>
      <c r="B6" s="26">
        <v>70.156800000000004</v>
      </c>
      <c r="C6" s="11">
        <v>70.156800000000004</v>
      </c>
      <c r="D6" s="11">
        <v>70.156800000000004</v>
      </c>
      <c r="E6" s="11">
        <v>70.156800000000004</v>
      </c>
      <c r="F6" s="11">
        <v>70.156800000000004</v>
      </c>
      <c r="G6" s="11">
        <v>70.156800000000004</v>
      </c>
      <c r="H6" s="11">
        <v>70.156800000000004</v>
      </c>
      <c r="I6" s="11">
        <v>70.156800000000004</v>
      </c>
      <c r="J6" s="11">
        <v>70.156800000000004</v>
      </c>
      <c r="K6" s="11">
        <v>70.156800000000004</v>
      </c>
      <c r="L6" s="11">
        <v>70.156800000000004</v>
      </c>
      <c r="M6" s="11">
        <v>70.156800000000004</v>
      </c>
    </row>
    <row r="7" spans="1:13" x14ac:dyDescent="0.25">
      <c r="A7" t="s">
        <v>77</v>
      </c>
      <c r="B7" s="12">
        <v>0</v>
      </c>
      <c r="C7" s="12">
        <v>0</v>
      </c>
      <c r="D7" s="12">
        <v>0</v>
      </c>
      <c r="E7" s="12">
        <v>0</v>
      </c>
      <c r="F7" s="12">
        <v>0</v>
      </c>
      <c r="G7" s="12">
        <v>0</v>
      </c>
      <c r="H7" s="12">
        <v>0</v>
      </c>
      <c r="I7" s="12">
        <v>0</v>
      </c>
      <c r="J7" s="12">
        <v>0</v>
      </c>
      <c r="K7" s="12">
        <v>0</v>
      </c>
      <c r="L7" s="12">
        <v>0</v>
      </c>
      <c r="M7" s="12">
        <v>0</v>
      </c>
    </row>
    <row r="8" spans="1:13" x14ac:dyDescent="0.25">
      <c r="A8" s="2" t="s">
        <v>78</v>
      </c>
      <c r="B8" s="26">
        <v>115.2</v>
      </c>
      <c r="C8" s="11">
        <v>115.2</v>
      </c>
      <c r="D8" s="11">
        <v>115.2</v>
      </c>
      <c r="E8" s="11">
        <v>115.2</v>
      </c>
      <c r="F8" s="11">
        <v>115.2</v>
      </c>
      <c r="G8" s="11">
        <v>115.2</v>
      </c>
      <c r="H8" s="11">
        <v>115.2</v>
      </c>
      <c r="I8" s="11">
        <v>115.2</v>
      </c>
      <c r="J8" s="11">
        <v>115.2</v>
      </c>
      <c r="K8" s="11">
        <v>115.2</v>
      </c>
      <c r="L8" s="11">
        <v>115.2</v>
      </c>
      <c r="M8" s="11">
        <v>115.2</v>
      </c>
    </row>
    <row r="9" spans="1:13" x14ac:dyDescent="0.25">
      <c r="A9" s="2" t="s">
        <v>79</v>
      </c>
      <c r="B9" s="26">
        <v>200.44799999999901</v>
      </c>
      <c r="C9" s="11">
        <v>200.44799999999901</v>
      </c>
      <c r="D9" s="11">
        <v>200.44799999999901</v>
      </c>
      <c r="E9" s="11">
        <v>200.44799999999901</v>
      </c>
      <c r="F9" s="11">
        <v>200.44799999999901</v>
      </c>
      <c r="G9" s="11">
        <v>200.44799999999901</v>
      </c>
      <c r="H9" s="11">
        <v>200.44799999999901</v>
      </c>
      <c r="I9" s="11">
        <v>200.44799999999901</v>
      </c>
      <c r="J9" s="11">
        <v>200.44799999999901</v>
      </c>
      <c r="K9" s="11">
        <v>200.44799999999901</v>
      </c>
      <c r="L9" s="11">
        <v>200.44799999999901</v>
      </c>
      <c r="M9" s="11">
        <v>200.44799999999901</v>
      </c>
    </row>
    <row r="10" spans="1:13" x14ac:dyDescent="0.25">
      <c r="A10" s="2" t="s">
        <v>80</v>
      </c>
      <c r="B10" s="26">
        <v>27.287999999999901</v>
      </c>
      <c r="C10" s="11">
        <v>27.287999999999901</v>
      </c>
      <c r="D10" s="11">
        <v>27.287999999999901</v>
      </c>
      <c r="E10" s="11">
        <v>27.287999999999901</v>
      </c>
      <c r="F10" s="11">
        <v>27.287999999999901</v>
      </c>
      <c r="G10" s="11">
        <v>27.287999999999901</v>
      </c>
      <c r="H10" s="11">
        <v>27.287999999999901</v>
      </c>
      <c r="I10" s="11">
        <v>27.287999999999901</v>
      </c>
      <c r="J10" s="11">
        <v>27.287999999999901</v>
      </c>
      <c r="K10" s="11">
        <v>27.287999999999901</v>
      </c>
      <c r="L10" s="11">
        <v>27.287999999999901</v>
      </c>
      <c r="M10" s="11">
        <v>27.287999999999901</v>
      </c>
    </row>
    <row r="11" spans="1:13" x14ac:dyDescent="0.25">
      <c r="A11" t="s">
        <v>81</v>
      </c>
      <c r="B11" s="12">
        <v>0</v>
      </c>
      <c r="C11" s="12">
        <v>0</v>
      </c>
      <c r="D11" s="12">
        <v>0</v>
      </c>
      <c r="E11" s="12">
        <v>0</v>
      </c>
      <c r="F11" s="12">
        <v>0</v>
      </c>
      <c r="G11" s="12">
        <v>0</v>
      </c>
      <c r="H11" s="12">
        <v>0</v>
      </c>
      <c r="I11" s="12">
        <v>0</v>
      </c>
      <c r="J11" s="12">
        <v>0</v>
      </c>
      <c r="K11" s="12">
        <v>0</v>
      </c>
      <c r="L11" s="12">
        <v>0</v>
      </c>
      <c r="M11" s="12">
        <v>0</v>
      </c>
    </row>
    <row r="12" spans="1:13" x14ac:dyDescent="0.25">
      <c r="A12" t="s">
        <v>82</v>
      </c>
      <c r="B12" s="12">
        <v>0</v>
      </c>
      <c r="C12" s="12">
        <v>0</v>
      </c>
      <c r="D12" s="12">
        <v>0</v>
      </c>
      <c r="E12" s="12">
        <v>0</v>
      </c>
      <c r="F12" s="12">
        <v>0</v>
      </c>
      <c r="G12" s="12">
        <v>0</v>
      </c>
      <c r="H12" s="12">
        <v>0</v>
      </c>
      <c r="I12" s="12">
        <v>0</v>
      </c>
      <c r="J12" s="12">
        <v>0</v>
      </c>
      <c r="K12" s="12">
        <v>0</v>
      </c>
      <c r="L12" s="12">
        <v>0</v>
      </c>
      <c r="M12" s="12">
        <v>0</v>
      </c>
    </row>
    <row r="13" spans="1:13" x14ac:dyDescent="0.25">
      <c r="A13" t="s">
        <v>83</v>
      </c>
      <c r="B13" s="12">
        <v>0</v>
      </c>
      <c r="C13" s="12">
        <v>0</v>
      </c>
      <c r="D13" s="12">
        <v>0</v>
      </c>
      <c r="E13" s="12">
        <v>0</v>
      </c>
      <c r="F13" s="12">
        <v>0</v>
      </c>
      <c r="G13" s="12">
        <v>0</v>
      </c>
      <c r="H13" s="12">
        <v>0</v>
      </c>
      <c r="I13" s="12">
        <v>0</v>
      </c>
      <c r="J13" s="12">
        <v>0</v>
      </c>
      <c r="K13" s="12">
        <v>0</v>
      </c>
      <c r="L13" s="12">
        <v>0</v>
      </c>
      <c r="M13" s="12">
        <v>0</v>
      </c>
    </row>
    <row r="14" spans="1:13" x14ac:dyDescent="0.25">
      <c r="A14"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0795E-6FE5-4057-AFFD-947E9699614E}">
  <sheetPr codeName="Sheet60">
    <tabColor rgb="FF7030A0"/>
  </sheetPr>
  <dimension ref="A1:M14"/>
  <sheetViews>
    <sheetView workbookViewId="0">
      <selection activeCell="H28" sqref="H28"/>
    </sheetView>
  </sheetViews>
  <sheetFormatPr defaultRowHeight="15" x14ac:dyDescent="0.25"/>
  <cols>
    <col min="1" max="1" width="23" customWidth="1"/>
  </cols>
  <sheetData>
    <row r="1" spans="1:13" x14ac:dyDescent="0.25">
      <c r="A1" s="14" t="s">
        <v>70</v>
      </c>
      <c r="B1" t="s">
        <v>1</v>
      </c>
      <c r="C1" t="s">
        <v>2</v>
      </c>
      <c r="D1" t="s">
        <v>3</v>
      </c>
      <c r="E1" t="s">
        <v>4</v>
      </c>
      <c r="F1" t="s">
        <v>5</v>
      </c>
      <c r="G1" t="s">
        <v>6</v>
      </c>
      <c r="H1" t="s">
        <v>7</v>
      </c>
      <c r="I1" t="s">
        <v>8</v>
      </c>
      <c r="J1" t="s">
        <v>9</v>
      </c>
      <c r="K1" t="s">
        <v>10</v>
      </c>
      <c r="L1" t="s">
        <v>11</v>
      </c>
      <c r="M1" t="s">
        <v>12</v>
      </c>
    </row>
    <row r="2" spans="1:13" x14ac:dyDescent="0.25">
      <c r="A2" t="s">
        <v>72</v>
      </c>
      <c r="B2" s="12">
        <v>0</v>
      </c>
      <c r="C2" s="12">
        <v>0</v>
      </c>
      <c r="D2" s="12">
        <v>0</v>
      </c>
      <c r="E2" s="12">
        <v>0</v>
      </c>
      <c r="F2" s="12">
        <v>0</v>
      </c>
      <c r="G2" s="12">
        <v>0</v>
      </c>
      <c r="H2" s="12">
        <v>0</v>
      </c>
      <c r="I2" s="12">
        <v>0</v>
      </c>
      <c r="J2" s="12">
        <v>0</v>
      </c>
      <c r="K2" s="12">
        <v>0</v>
      </c>
      <c r="L2" s="12">
        <v>0</v>
      </c>
      <c r="M2" s="12">
        <v>0</v>
      </c>
    </row>
    <row r="3" spans="1:13" x14ac:dyDescent="0.25">
      <c r="A3" t="s">
        <v>73</v>
      </c>
      <c r="B3" s="12">
        <v>0</v>
      </c>
      <c r="C3" s="12">
        <v>0</v>
      </c>
      <c r="D3" s="12">
        <v>0</v>
      </c>
      <c r="E3" s="12">
        <v>0</v>
      </c>
      <c r="F3" s="12">
        <v>0</v>
      </c>
      <c r="G3" s="12">
        <v>0</v>
      </c>
      <c r="H3" s="12">
        <v>0</v>
      </c>
      <c r="I3" s="12">
        <v>0</v>
      </c>
      <c r="J3" s="12">
        <v>0</v>
      </c>
      <c r="K3" s="12">
        <v>0</v>
      </c>
      <c r="L3" s="12">
        <v>0</v>
      </c>
      <c r="M3" s="12">
        <v>0</v>
      </c>
    </row>
    <row r="4" spans="1:13" x14ac:dyDescent="0.25">
      <c r="A4" t="s">
        <v>74</v>
      </c>
      <c r="B4" s="12">
        <v>0</v>
      </c>
      <c r="C4" s="12">
        <v>0</v>
      </c>
      <c r="D4" s="12">
        <v>0</v>
      </c>
      <c r="E4" s="12">
        <v>0</v>
      </c>
      <c r="F4" s="12">
        <v>0</v>
      </c>
      <c r="G4" s="12">
        <v>0</v>
      </c>
      <c r="H4" s="12">
        <v>0</v>
      </c>
      <c r="I4" s="12">
        <v>0</v>
      </c>
      <c r="J4" s="12">
        <v>0</v>
      </c>
      <c r="K4" s="12">
        <v>0</v>
      </c>
      <c r="L4" s="12">
        <v>0</v>
      </c>
      <c r="M4" s="12">
        <v>0</v>
      </c>
    </row>
    <row r="5" spans="1:13" x14ac:dyDescent="0.25">
      <c r="A5" s="2" t="s">
        <v>75</v>
      </c>
      <c r="B5" s="26">
        <v>87.844664198634078</v>
      </c>
      <c r="C5" s="11">
        <v>88.164910409807675</v>
      </c>
      <c r="D5" s="11">
        <v>88.484018693827906</v>
      </c>
      <c r="E5" s="11">
        <v>88.717284789735047</v>
      </c>
      <c r="F5" s="11">
        <v>88.898297552188751</v>
      </c>
      <c r="G5" s="11">
        <v>89.068861654452931</v>
      </c>
      <c r="H5" s="11">
        <v>89.265441276071627</v>
      </c>
      <c r="I5" s="11">
        <v>89.783170186303039</v>
      </c>
      <c r="J5" s="11">
        <v>89.723372466845831</v>
      </c>
      <c r="K5" s="11">
        <v>89.128586470248564</v>
      </c>
      <c r="L5" s="11">
        <v>88.234641525522619</v>
      </c>
      <c r="M5" s="11">
        <v>87.743409733986837</v>
      </c>
    </row>
    <row r="6" spans="1:13" x14ac:dyDescent="0.25">
      <c r="A6" s="2" t="s">
        <v>76</v>
      </c>
      <c r="B6" s="26">
        <v>82.027129111804328</v>
      </c>
      <c r="C6" s="11">
        <v>82.23455060478814</v>
      </c>
      <c r="D6" s="11">
        <v>82.320737234066101</v>
      </c>
      <c r="E6" s="11">
        <v>82.284118043794962</v>
      </c>
      <c r="F6" s="11">
        <v>82.246913393263043</v>
      </c>
      <c r="G6" s="11">
        <v>82.215868196665454</v>
      </c>
      <c r="H6" s="11">
        <v>82.126192635235455</v>
      </c>
      <c r="I6" s="11">
        <v>82.273673102757968</v>
      </c>
      <c r="J6" s="11">
        <v>82.251412328571334</v>
      </c>
      <c r="K6" s="11">
        <v>82.077833741629959</v>
      </c>
      <c r="L6" s="11">
        <v>81.860169654902776</v>
      </c>
      <c r="M6" s="11">
        <v>81.836281507156812</v>
      </c>
    </row>
    <row r="7" spans="1:13" x14ac:dyDescent="0.25">
      <c r="A7" t="s">
        <v>77</v>
      </c>
      <c r="B7" s="12">
        <v>0</v>
      </c>
      <c r="C7" s="12">
        <v>0</v>
      </c>
      <c r="D7" s="12">
        <v>0</v>
      </c>
      <c r="E7" s="12">
        <v>0</v>
      </c>
      <c r="F7" s="12">
        <v>0</v>
      </c>
      <c r="G7" s="12">
        <v>0</v>
      </c>
      <c r="H7" s="12">
        <v>0</v>
      </c>
      <c r="I7" s="12">
        <v>0</v>
      </c>
      <c r="J7" s="12">
        <v>0</v>
      </c>
      <c r="K7" s="12">
        <v>0</v>
      </c>
      <c r="L7" s="12">
        <v>0</v>
      </c>
      <c r="M7" s="12">
        <v>0</v>
      </c>
    </row>
    <row r="8" spans="1:13" x14ac:dyDescent="0.25">
      <c r="A8" s="2" t="s">
        <v>78</v>
      </c>
      <c r="B8" s="26">
        <v>82.689831381656759</v>
      </c>
      <c r="C8" s="11">
        <v>82.822469087299041</v>
      </c>
      <c r="D8" s="11">
        <v>83.118215690617134</v>
      </c>
      <c r="E8" s="11">
        <v>83.543618948299738</v>
      </c>
      <c r="F8" s="11">
        <v>83.788602129693771</v>
      </c>
      <c r="G8" s="11">
        <v>84.119466259020498</v>
      </c>
      <c r="H8" s="11">
        <v>84.129393395546543</v>
      </c>
      <c r="I8" s="11">
        <v>85.024054958298464</v>
      </c>
      <c r="J8" s="11">
        <v>85.229506586271356</v>
      </c>
      <c r="K8" s="11">
        <v>84.610313507273574</v>
      </c>
      <c r="L8" s="11">
        <v>83.664428540479832</v>
      </c>
      <c r="M8" s="11">
        <v>82.946111233321275</v>
      </c>
    </row>
    <row r="9" spans="1:13" x14ac:dyDescent="0.25">
      <c r="A9" s="2" t="s">
        <v>79</v>
      </c>
      <c r="B9" s="26">
        <v>113.79206161829904</v>
      </c>
      <c r="C9" s="11">
        <v>113.64091369365622</v>
      </c>
      <c r="D9" s="11">
        <v>113.46663053525732</v>
      </c>
      <c r="E9" s="11">
        <v>113.62446644370615</v>
      </c>
      <c r="F9" s="11">
        <v>113.44127705925995</v>
      </c>
      <c r="G9" s="11">
        <v>113.00550893397956</v>
      </c>
      <c r="H9" s="11">
        <v>113.06280913208241</v>
      </c>
      <c r="I9" s="11">
        <v>113.81824887330451</v>
      </c>
      <c r="J9" s="11">
        <v>114.65813907672211</v>
      </c>
      <c r="K9" s="11">
        <v>114.60635624194099</v>
      </c>
      <c r="L9" s="11">
        <v>114.28251316317758</v>
      </c>
      <c r="M9" s="11">
        <v>113.97935277455345</v>
      </c>
    </row>
    <row r="10" spans="1:13" x14ac:dyDescent="0.25">
      <c r="A10" s="2" t="s">
        <v>80</v>
      </c>
      <c r="B10" s="26">
        <v>28.173019542233142</v>
      </c>
      <c r="C10" s="11">
        <v>28.166052729498688</v>
      </c>
      <c r="D10" s="11">
        <v>28.141775629278925</v>
      </c>
      <c r="E10" s="11">
        <v>28.137571308803572</v>
      </c>
      <c r="F10" s="11">
        <v>28.121586686070831</v>
      </c>
      <c r="G10" s="11">
        <v>28.086079000237241</v>
      </c>
      <c r="H10" s="11">
        <v>28.074602368579001</v>
      </c>
      <c r="I10" s="11">
        <v>28.129748281351123</v>
      </c>
      <c r="J10" s="11">
        <v>28.200546219611159</v>
      </c>
      <c r="K10" s="11">
        <v>28.203496432327984</v>
      </c>
      <c r="L10" s="11">
        <v>28.187999828662139</v>
      </c>
      <c r="M10" s="11">
        <v>28.175782510716108</v>
      </c>
    </row>
    <row r="11" spans="1:13" x14ac:dyDescent="0.25">
      <c r="A11" t="s">
        <v>81</v>
      </c>
      <c r="B11" s="12">
        <v>0</v>
      </c>
      <c r="C11" s="12">
        <v>0</v>
      </c>
      <c r="D11" s="12">
        <v>0</v>
      </c>
      <c r="E11" s="12">
        <v>0</v>
      </c>
      <c r="F11" s="12">
        <v>0</v>
      </c>
      <c r="G11" s="12">
        <v>0</v>
      </c>
      <c r="H11" s="12">
        <v>0</v>
      </c>
      <c r="I11" s="12">
        <v>0</v>
      </c>
      <c r="J11" s="12">
        <v>0</v>
      </c>
      <c r="K11" s="12">
        <v>0</v>
      </c>
      <c r="L11" s="12">
        <v>0</v>
      </c>
      <c r="M11" s="12">
        <v>0</v>
      </c>
    </row>
    <row r="12" spans="1:13" x14ac:dyDescent="0.25">
      <c r="A12" t="s">
        <v>82</v>
      </c>
      <c r="B12" s="12">
        <v>0</v>
      </c>
      <c r="C12" s="12">
        <v>0</v>
      </c>
      <c r="D12" s="12">
        <v>0</v>
      </c>
      <c r="E12" s="12">
        <v>0</v>
      </c>
      <c r="F12" s="12">
        <v>0</v>
      </c>
      <c r="G12" s="12">
        <v>0</v>
      </c>
      <c r="H12" s="12">
        <v>0</v>
      </c>
      <c r="I12" s="12">
        <v>0</v>
      </c>
      <c r="J12" s="12">
        <v>0</v>
      </c>
      <c r="K12" s="12">
        <v>0</v>
      </c>
      <c r="L12" s="12">
        <v>0</v>
      </c>
      <c r="M12" s="12">
        <v>0</v>
      </c>
    </row>
    <row r="13" spans="1:13" x14ac:dyDescent="0.25">
      <c r="A13" t="s">
        <v>83</v>
      </c>
      <c r="B13" s="12">
        <v>0</v>
      </c>
      <c r="C13" s="12">
        <v>0</v>
      </c>
      <c r="D13" s="12">
        <v>0</v>
      </c>
      <c r="E13" s="12">
        <v>0</v>
      </c>
      <c r="F13" s="12">
        <v>0</v>
      </c>
      <c r="G13" s="12">
        <v>0</v>
      </c>
      <c r="H13" s="12">
        <v>0</v>
      </c>
      <c r="I13" s="12">
        <v>0</v>
      </c>
      <c r="J13" s="12">
        <v>0</v>
      </c>
      <c r="K13" s="12">
        <v>0</v>
      </c>
      <c r="L13" s="12">
        <v>0</v>
      </c>
      <c r="M13" s="12">
        <v>0</v>
      </c>
    </row>
    <row r="14" spans="1:13" x14ac:dyDescent="0.25">
      <c r="A14" t="s">
        <v>84</v>
      </c>
      <c r="B14" s="12">
        <v>0</v>
      </c>
      <c r="C14" s="12">
        <v>0</v>
      </c>
      <c r="D14" s="12">
        <v>0</v>
      </c>
      <c r="E14" s="12">
        <v>0</v>
      </c>
      <c r="F14" s="12">
        <v>0</v>
      </c>
      <c r="G14" s="12">
        <v>0</v>
      </c>
      <c r="H14" s="12">
        <v>0</v>
      </c>
      <c r="I14" s="12">
        <v>0</v>
      </c>
      <c r="J14" s="12">
        <v>0</v>
      </c>
      <c r="K14" s="12">
        <v>0</v>
      </c>
      <c r="L14" s="12">
        <v>0</v>
      </c>
      <c r="M14" s="12">
        <v>0</v>
      </c>
    </row>
  </sheetData>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386BA-2FA6-4E12-9B51-F87B59F7D2BB}">
  <sheetPr codeName="Sheet62">
    <tabColor rgb="FF7030A0"/>
  </sheetPr>
  <dimension ref="A1:M14"/>
  <sheetViews>
    <sheetView workbookViewId="0">
      <selection activeCell="M14" sqref="B2:M14"/>
    </sheetView>
  </sheetViews>
  <sheetFormatPr defaultRowHeight="15" x14ac:dyDescent="0.25"/>
  <cols>
    <col min="1" max="1" width="23" customWidth="1"/>
    <col min="2" max="13" width="8.88671875" style="5"/>
  </cols>
  <sheetData>
    <row r="1" spans="1:13" x14ac:dyDescent="0.25">
      <c r="A1" s="14" t="s">
        <v>71</v>
      </c>
      <c r="B1" s="5" t="s">
        <v>1</v>
      </c>
      <c r="C1" s="5" t="s">
        <v>2</v>
      </c>
      <c r="D1" s="5" t="s">
        <v>3</v>
      </c>
      <c r="E1" s="5" t="s">
        <v>4</v>
      </c>
      <c r="F1" s="5" t="s">
        <v>5</v>
      </c>
      <c r="G1" s="5" t="s">
        <v>6</v>
      </c>
      <c r="H1" s="5" t="s">
        <v>7</v>
      </c>
      <c r="I1" s="5" t="s">
        <v>8</v>
      </c>
      <c r="J1" s="5" t="s">
        <v>9</v>
      </c>
      <c r="K1" s="5" t="s">
        <v>10</v>
      </c>
      <c r="L1" s="5" t="s">
        <v>11</v>
      </c>
      <c r="M1" s="5" t="s">
        <v>12</v>
      </c>
    </row>
    <row r="2" spans="1:13" x14ac:dyDescent="0.25">
      <c r="A2" t="s">
        <v>72</v>
      </c>
      <c r="B2" s="47">
        <v>0</v>
      </c>
      <c r="C2" s="47">
        <v>0</v>
      </c>
      <c r="D2" s="47">
        <v>0</v>
      </c>
      <c r="E2" s="47">
        <v>0</v>
      </c>
      <c r="F2" s="47">
        <v>0</v>
      </c>
      <c r="G2" s="47">
        <v>0</v>
      </c>
      <c r="H2" s="47">
        <v>0</v>
      </c>
      <c r="I2" s="47">
        <v>0</v>
      </c>
      <c r="J2" s="47">
        <v>0</v>
      </c>
      <c r="K2" s="47">
        <v>0</v>
      </c>
      <c r="L2" s="47">
        <v>0</v>
      </c>
      <c r="M2" s="47">
        <v>0</v>
      </c>
    </row>
    <row r="3" spans="1:13" x14ac:dyDescent="0.25">
      <c r="A3" t="s">
        <v>73</v>
      </c>
      <c r="B3" s="47">
        <v>0</v>
      </c>
      <c r="C3" s="47">
        <v>0</v>
      </c>
      <c r="D3" s="47">
        <v>0</v>
      </c>
      <c r="E3" s="47">
        <v>0</v>
      </c>
      <c r="F3" s="47">
        <v>0</v>
      </c>
      <c r="G3" s="47">
        <v>0</v>
      </c>
      <c r="H3" s="47">
        <v>0</v>
      </c>
      <c r="I3" s="47">
        <v>0</v>
      </c>
      <c r="J3" s="47">
        <v>0</v>
      </c>
      <c r="K3" s="47">
        <v>0</v>
      </c>
      <c r="L3" s="47">
        <v>0</v>
      </c>
      <c r="M3" s="47">
        <v>0</v>
      </c>
    </row>
    <row r="4" spans="1:13" x14ac:dyDescent="0.25">
      <c r="A4" t="s">
        <v>74</v>
      </c>
      <c r="B4" s="47">
        <v>0</v>
      </c>
      <c r="C4" s="47">
        <v>0</v>
      </c>
      <c r="D4" s="47">
        <v>0</v>
      </c>
      <c r="E4" s="47">
        <v>0</v>
      </c>
      <c r="F4" s="47">
        <v>0</v>
      </c>
      <c r="G4" s="47">
        <v>0</v>
      </c>
      <c r="H4" s="47">
        <v>0</v>
      </c>
      <c r="I4" s="47">
        <v>0</v>
      </c>
      <c r="J4" s="47">
        <v>0</v>
      </c>
      <c r="K4" s="47">
        <v>0</v>
      </c>
      <c r="L4" s="47">
        <v>0</v>
      </c>
      <c r="M4" s="47">
        <v>0</v>
      </c>
    </row>
    <row r="5" spans="1:13" x14ac:dyDescent="0.25">
      <c r="A5" s="2" t="s">
        <v>75</v>
      </c>
      <c r="B5" s="48">
        <v>0.85742621900515081</v>
      </c>
      <c r="C5" s="49">
        <v>0.88740983401661633</v>
      </c>
      <c r="D5" s="49">
        <v>0.85821043989117896</v>
      </c>
      <c r="E5" s="49">
        <v>0.85941028366608829</v>
      </c>
      <c r="F5" s="49">
        <v>0.943533810618021</v>
      </c>
      <c r="G5" s="49">
        <v>0.85972999061242295</v>
      </c>
      <c r="H5" s="49">
        <v>0.8886377359812222</v>
      </c>
      <c r="I5" s="49">
        <v>0.85634029222229857</v>
      </c>
      <c r="J5" s="49">
        <v>0.88385275598494484</v>
      </c>
      <c r="K5" s="49">
        <v>0.85311721557476594</v>
      </c>
      <c r="L5" s="49">
        <v>0.85180831596812479</v>
      </c>
      <c r="M5" s="49">
        <v>0.88226064558806161</v>
      </c>
    </row>
    <row r="6" spans="1:13" x14ac:dyDescent="0.25">
      <c r="A6" s="2" t="s">
        <v>76</v>
      </c>
      <c r="B6" s="48">
        <v>0.86487577896443735</v>
      </c>
      <c r="C6" s="49">
        <v>0.89306992133688201</v>
      </c>
      <c r="D6" s="49">
        <v>0.86404636486709041</v>
      </c>
      <c r="E6" s="49">
        <v>0.86391504027260513</v>
      </c>
      <c r="F6" s="49">
        <v>0.94878265415666907</v>
      </c>
      <c r="G6" s="49">
        <v>0.86351414733895193</v>
      </c>
      <c r="H6" s="49">
        <v>0.89207633821596399</v>
      </c>
      <c r="I6" s="49">
        <v>0.86343065150400033</v>
      </c>
      <c r="J6" s="49">
        <v>0.89260678838020435</v>
      </c>
      <c r="K6" s="49">
        <v>0.86380101440997314</v>
      </c>
      <c r="L6" s="49">
        <v>0.86449810787784998</v>
      </c>
      <c r="M6" s="49">
        <v>0.89387225537986303</v>
      </c>
    </row>
    <row r="7" spans="1:13" x14ac:dyDescent="0.25">
      <c r="A7" t="s">
        <v>77</v>
      </c>
      <c r="B7" s="47">
        <v>0</v>
      </c>
      <c r="C7" s="47">
        <v>0</v>
      </c>
      <c r="D7" s="47">
        <v>0</v>
      </c>
      <c r="E7" s="47">
        <v>0</v>
      </c>
      <c r="F7" s="47">
        <v>0</v>
      </c>
      <c r="G7" s="47">
        <v>0</v>
      </c>
      <c r="H7" s="47">
        <v>0</v>
      </c>
      <c r="I7" s="47">
        <v>0</v>
      </c>
      <c r="J7" s="47">
        <v>0</v>
      </c>
      <c r="K7" s="47">
        <v>0</v>
      </c>
      <c r="L7" s="47">
        <v>0</v>
      </c>
      <c r="M7" s="47">
        <v>0</v>
      </c>
    </row>
    <row r="8" spans="1:13" x14ac:dyDescent="0.25">
      <c r="A8" s="2" t="s">
        <v>78</v>
      </c>
      <c r="B8" s="48">
        <v>0.86370057059863226</v>
      </c>
      <c r="C8" s="49">
        <v>0.89467804570610654</v>
      </c>
      <c r="D8" s="49">
        <v>0.8684574214321511</v>
      </c>
      <c r="E8" s="49">
        <v>0.8690819524597001</v>
      </c>
      <c r="F8" s="49">
        <v>0.9534777122946263</v>
      </c>
      <c r="G8" s="49">
        <v>0.86700565913520866</v>
      </c>
      <c r="H8" s="49">
        <v>0.89279990407078691</v>
      </c>
      <c r="I8" s="49">
        <v>0.86319840804651626</v>
      </c>
      <c r="J8" s="49">
        <v>0.89398022198770744</v>
      </c>
      <c r="K8" s="49">
        <v>0.86389113521653083</v>
      </c>
      <c r="L8" s="49">
        <v>0.86344221709054403</v>
      </c>
      <c r="M8" s="49">
        <v>0.89251137926927016</v>
      </c>
    </row>
    <row r="9" spans="1:13" x14ac:dyDescent="0.25">
      <c r="A9" s="2" t="s">
        <v>79</v>
      </c>
      <c r="B9" s="48">
        <v>0.86383417048171274</v>
      </c>
      <c r="C9" s="49">
        <v>0.8929524056256618</v>
      </c>
      <c r="D9" s="49">
        <v>0.86314962034251996</v>
      </c>
      <c r="E9" s="49">
        <v>0.86450864385797277</v>
      </c>
      <c r="F9" s="49">
        <v>0.94824497833179122</v>
      </c>
      <c r="G9" s="49">
        <v>0.86410953224524556</v>
      </c>
      <c r="H9" s="49">
        <v>0.89262828102530667</v>
      </c>
      <c r="I9" s="49">
        <v>0.86335303053477552</v>
      </c>
      <c r="J9" s="49">
        <v>0.89234338316523432</v>
      </c>
      <c r="K9" s="49">
        <v>0.86434334425455694</v>
      </c>
      <c r="L9" s="49">
        <v>0.86424697862530708</v>
      </c>
      <c r="M9" s="49">
        <v>0.89246977314412756</v>
      </c>
    </row>
    <row r="10" spans="1:13" x14ac:dyDescent="0.25">
      <c r="A10" s="2" t="s">
        <v>80</v>
      </c>
      <c r="B10" s="48">
        <v>0.86318333229152244</v>
      </c>
      <c r="C10" s="49">
        <v>0.89181831746809226</v>
      </c>
      <c r="D10" s="49">
        <v>0.8653551815623528</v>
      </c>
      <c r="E10" s="49">
        <v>0.86510962071728426</v>
      </c>
      <c r="F10" s="49">
        <v>0.94847509865236179</v>
      </c>
      <c r="G10" s="49">
        <v>0.86299473961721918</v>
      </c>
      <c r="H10" s="49">
        <v>0.89156024163108227</v>
      </c>
      <c r="I10" s="49">
        <v>0.86463333498291073</v>
      </c>
      <c r="J10" s="49">
        <v>0.89310633407528994</v>
      </c>
      <c r="K10" s="49">
        <v>0.86416669963069337</v>
      </c>
      <c r="L10" s="49">
        <v>0.86390120218723576</v>
      </c>
      <c r="M10" s="49">
        <v>0.89215087709877861</v>
      </c>
    </row>
    <row r="11" spans="1:13" x14ac:dyDescent="0.25">
      <c r="A11" t="s">
        <v>81</v>
      </c>
      <c r="B11" s="47">
        <v>0</v>
      </c>
      <c r="C11" s="47">
        <v>0</v>
      </c>
      <c r="D11" s="47">
        <v>0</v>
      </c>
      <c r="E11" s="47">
        <v>0</v>
      </c>
      <c r="F11" s="47">
        <v>0</v>
      </c>
      <c r="G11" s="47">
        <v>0</v>
      </c>
      <c r="H11" s="47">
        <v>0</v>
      </c>
      <c r="I11" s="47">
        <v>0</v>
      </c>
      <c r="J11" s="47">
        <v>0</v>
      </c>
      <c r="K11" s="47">
        <v>0</v>
      </c>
      <c r="L11" s="47">
        <v>0</v>
      </c>
      <c r="M11" s="47">
        <v>0</v>
      </c>
    </row>
    <row r="12" spans="1:13" x14ac:dyDescent="0.25">
      <c r="A12" t="s">
        <v>82</v>
      </c>
      <c r="B12" s="47">
        <v>0</v>
      </c>
      <c r="C12" s="47">
        <v>0</v>
      </c>
      <c r="D12" s="47">
        <v>0</v>
      </c>
      <c r="E12" s="47">
        <v>0</v>
      </c>
      <c r="F12" s="47">
        <v>0</v>
      </c>
      <c r="G12" s="47">
        <v>0</v>
      </c>
      <c r="H12" s="47">
        <v>0</v>
      </c>
      <c r="I12" s="47">
        <v>0</v>
      </c>
      <c r="J12" s="47">
        <v>0</v>
      </c>
      <c r="K12" s="47">
        <v>0</v>
      </c>
      <c r="L12" s="47">
        <v>0</v>
      </c>
      <c r="M12" s="47">
        <v>0</v>
      </c>
    </row>
    <row r="13" spans="1:13" x14ac:dyDescent="0.25">
      <c r="A13" t="s">
        <v>83</v>
      </c>
      <c r="B13" s="47">
        <v>0</v>
      </c>
      <c r="C13" s="47">
        <v>0</v>
      </c>
      <c r="D13" s="47">
        <v>0</v>
      </c>
      <c r="E13" s="47">
        <v>0</v>
      </c>
      <c r="F13" s="47">
        <v>0</v>
      </c>
      <c r="G13" s="47">
        <v>0</v>
      </c>
      <c r="H13" s="47">
        <v>0</v>
      </c>
      <c r="I13" s="47">
        <v>0</v>
      </c>
      <c r="J13" s="47">
        <v>0</v>
      </c>
      <c r="K13" s="47">
        <v>0</v>
      </c>
      <c r="L13" s="47">
        <v>0</v>
      </c>
      <c r="M13" s="47">
        <v>0</v>
      </c>
    </row>
    <row r="14" spans="1:13" x14ac:dyDescent="0.25">
      <c r="A14" t="s">
        <v>84</v>
      </c>
      <c r="B14" s="47">
        <v>0</v>
      </c>
      <c r="C14" s="47">
        <v>0</v>
      </c>
      <c r="D14" s="47">
        <v>0</v>
      </c>
      <c r="E14" s="47">
        <v>0</v>
      </c>
      <c r="F14" s="47">
        <v>0</v>
      </c>
      <c r="G14" s="47">
        <v>0</v>
      </c>
      <c r="H14" s="47">
        <v>0</v>
      </c>
      <c r="I14" s="47">
        <v>0</v>
      </c>
      <c r="J14" s="47">
        <v>0</v>
      </c>
      <c r="K14" s="47">
        <v>0</v>
      </c>
      <c r="L14" s="47">
        <v>0</v>
      </c>
      <c r="M14" s="47">
        <v>0</v>
      </c>
    </row>
  </sheetData>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2594C-83B1-48A6-B708-EC0B4265043A}">
  <sheetPr codeName="Sheet57">
    <tabColor rgb="FF7030A0"/>
  </sheetPr>
  <dimension ref="A1:M14"/>
  <sheetViews>
    <sheetView workbookViewId="0">
      <selection activeCell="A2" sqref="A2"/>
    </sheetView>
  </sheetViews>
  <sheetFormatPr defaultRowHeight="15" x14ac:dyDescent="0.25"/>
  <cols>
    <col min="1" max="1" width="23" customWidth="1"/>
  </cols>
  <sheetData>
    <row r="1" spans="1:13" x14ac:dyDescent="0.25">
      <c r="A1" s="14" t="s">
        <v>142</v>
      </c>
      <c r="B1" t="s">
        <v>1</v>
      </c>
      <c r="C1" t="s">
        <v>2</v>
      </c>
      <c r="D1" t="s">
        <v>3</v>
      </c>
      <c r="E1" t="s">
        <v>4</v>
      </c>
      <c r="F1" t="s">
        <v>5</v>
      </c>
      <c r="G1" t="s">
        <v>6</v>
      </c>
      <c r="H1" t="s">
        <v>7</v>
      </c>
      <c r="I1" t="s">
        <v>8</v>
      </c>
      <c r="J1" t="s">
        <v>9</v>
      </c>
      <c r="K1" t="s">
        <v>10</v>
      </c>
      <c r="L1" t="s">
        <v>11</v>
      </c>
      <c r="M1" t="s">
        <v>12</v>
      </c>
    </row>
    <row r="2" spans="1:13" x14ac:dyDescent="0.25">
      <c r="A2" t="s">
        <v>72</v>
      </c>
      <c r="B2" s="12">
        <v>0</v>
      </c>
      <c r="C2" s="12">
        <v>0</v>
      </c>
      <c r="D2" s="12">
        <v>0</v>
      </c>
      <c r="E2" s="12">
        <v>0</v>
      </c>
      <c r="F2" s="12">
        <v>0</v>
      </c>
      <c r="G2" s="12">
        <v>0</v>
      </c>
      <c r="H2" s="12">
        <v>0</v>
      </c>
      <c r="I2" s="12">
        <v>0</v>
      </c>
      <c r="J2" s="12">
        <v>0</v>
      </c>
      <c r="K2" s="12">
        <v>0</v>
      </c>
      <c r="L2" s="12">
        <v>0</v>
      </c>
      <c r="M2" s="53">
        <v>0</v>
      </c>
    </row>
    <row r="3" spans="1:13" x14ac:dyDescent="0.25">
      <c r="A3" t="s">
        <v>73</v>
      </c>
      <c r="B3" s="12">
        <v>0</v>
      </c>
      <c r="C3" s="12">
        <v>0</v>
      </c>
      <c r="D3" s="12">
        <v>0</v>
      </c>
      <c r="E3" s="12">
        <v>0</v>
      </c>
      <c r="F3" s="12">
        <v>0</v>
      </c>
      <c r="G3" s="12">
        <v>0</v>
      </c>
      <c r="H3" s="12">
        <v>0</v>
      </c>
      <c r="I3" s="12">
        <v>0</v>
      </c>
      <c r="J3" s="12">
        <v>0</v>
      </c>
      <c r="K3" s="12">
        <v>0</v>
      </c>
      <c r="L3" s="12">
        <v>0</v>
      </c>
      <c r="M3" s="53">
        <v>0</v>
      </c>
    </row>
    <row r="4" spans="1:13" x14ac:dyDescent="0.25">
      <c r="A4" t="s">
        <v>74</v>
      </c>
      <c r="B4" s="12">
        <v>0</v>
      </c>
      <c r="C4" s="12">
        <v>0</v>
      </c>
      <c r="D4" s="12">
        <v>0</v>
      </c>
      <c r="E4" s="12">
        <v>0</v>
      </c>
      <c r="F4" s="12">
        <v>0</v>
      </c>
      <c r="G4" s="12">
        <v>0</v>
      </c>
      <c r="H4" s="12">
        <v>0</v>
      </c>
      <c r="I4" s="12">
        <v>0</v>
      </c>
      <c r="J4" s="12">
        <v>0</v>
      </c>
      <c r="K4" s="12">
        <v>0</v>
      </c>
      <c r="L4" s="12">
        <v>0</v>
      </c>
      <c r="M4" s="53">
        <v>0</v>
      </c>
    </row>
    <row r="5" spans="1:13" x14ac:dyDescent="0.25">
      <c r="A5" s="2" t="s">
        <v>75</v>
      </c>
      <c r="B5" s="11">
        <v>645.75311993875403</v>
      </c>
      <c r="C5" s="11">
        <v>646.12348844217661</v>
      </c>
      <c r="D5" s="11">
        <v>646.4177574127275</v>
      </c>
      <c r="E5" s="11">
        <v>646.6933428333673</v>
      </c>
      <c r="F5" s="11">
        <v>646.87719665470627</v>
      </c>
      <c r="G5" s="11">
        <v>647.10944796913213</v>
      </c>
      <c r="H5" s="11">
        <v>647.53161446977799</v>
      </c>
      <c r="I5" s="11">
        <v>647.6141293267317</v>
      </c>
      <c r="J5" s="11">
        <v>647.19589061692625</v>
      </c>
      <c r="K5" s="11">
        <v>646.31037750498763</v>
      </c>
      <c r="L5" s="11">
        <v>645.42302370356117</v>
      </c>
      <c r="M5" s="54">
        <v>645.39514694697505</v>
      </c>
    </row>
    <row r="6" spans="1:13" x14ac:dyDescent="0.25">
      <c r="A6" s="2" t="s">
        <v>76</v>
      </c>
      <c r="B6" s="11">
        <v>557.30607608648984</v>
      </c>
      <c r="C6" s="11">
        <v>557.49703980590061</v>
      </c>
      <c r="D6" s="11">
        <v>557.5</v>
      </c>
      <c r="E6" s="11">
        <v>557.5</v>
      </c>
      <c r="F6" s="11">
        <v>557.49869429394948</v>
      </c>
      <c r="G6" s="11">
        <v>557.5</v>
      </c>
      <c r="H6" s="11">
        <v>557.49267223363472</v>
      </c>
      <c r="I6" s="11">
        <v>557.44721360457493</v>
      </c>
      <c r="J6" s="11">
        <v>557.27770168803943</v>
      </c>
      <c r="K6" s="11">
        <v>557.03868397505016</v>
      </c>
      <c r="L6" s="11">
        <v>556.84578934266517</v>
      </c>
      <c r="M6" s="54">
        <v>557.02639825213453</v>
      </c>
    </row>
    <row r="7" spans="1:13" x14ac:dyDescent="0.25">
      <c r="A7" t="s">
        <v>77</v>
      </c>
      <c r="B7" s="12">
        <v>0</v>
      </c>
      <c r="C7" s="12">
        <v>0</v>
      </c>
      <c r="D7" s="12">
        <v>0</v>
      </c>
      <c r="E7" s="12">
        <v>0</v>
      </c>
      <c r="F7" s="12">
        <v>0</v>
      </c>
      <c r="G7" s="12">
        <v>0</v>
      </c>
      <c r="H7" s="12">
        <v>0</v>
      </c>
      <c r="I7" s="12">
        <v>0</v>
      </c>
      <c r="J7" s="12">
        <v>0</v>
      </c>
      <c r="K7" s="12">
        <v>0</v>
      </c>
      <c r="L7" s="12">
        <v>0</v>
      </c>
      <c r="M7" s="53">
        <v>0</v>
      </c>
    </row>
    <row r="8" spans="1:13" x14ac:dyDescent="0.25">
      <c r="A8" s="2" t="s">
        <v>78</v>
      </c>
      <c r="B8" s="11">
        <v>471.77055052761978</v>
      </c>
      <c r="C8" s="11">
        <v>472.13797291948566</v>
      </c>
      <c r="D8" s="11">
        <v>472.64693729886233</v>
      </c>
      <c r="E8" s="11">
        <v>473.13049430325862</v>
      </c>
      <c r="F8" s="11">
        <v>473.55233652358646</v>
      </c>
      <c r="G8" s="11">
        <v>474.26256948234163</v>
      </c>
      <c r="H8" s="11">
        <v>474.54054670200594</v>
      </c>
      <c r="I8" s="11">
        <v>474.55555524172553</v>
      </c>
      <c r="J8" s="11">
        <v>474.17034751894596</v>
      </c>
      <c r="K8" s="11">
        <v>473.24551156077314</v>
      </c>
      <c r="L8" s="11">
        <v>472.27599698576495</v>
      </c>
      <c r="M8" s="54">
        <v>471.81774153211069</v>
      </c>
    </row>
    <row r="9" spans="1:13" x14ac:dyDescent="0.25">
      <c r="A9" s="2" t="s">
        <v>79</v>
      </c>
      <c r="B9" s="11">
        <v>387.29972363333593</v>
      </c>
      <c r="C9" s="11">
        <v>387.32594160262954</v>
      </c>
      <c r="D9" s="11">
        <v>387.60512523635828</v>
      </c>
      <c r="E9" s="11">
        <v>387.99554070971254</v>
      </c>
      <c r="F9" s="11">
        <v>388.13453688023793</v>
      </c>
      <c r="G9" s="11">
        <v>388.43902989926022</v>
      </c>
      <c r="H9" s="11">
        <v>388.56028685534835</v>
      </c>
      <c r="I9" s="11">
        <v>388.48863983807831</v>
      </c>
      <c r="J9" s="11">
        <v>388.3329344484136</v>
      </c>
      <c r="K9" s="11">
        <v>388.01383754548107</v>
      </c>
      <c r="L9" s="11">
        <v>387.69031564525471</v>
      </c>
      <c r="M9" s="54">
        <v>387.44368149707958</v>
      </c>
    </row>
    <row r="10" spans="1:13" x14ac:dyDescent="0.25">
      <c r="A10" s="2" t="s">
        <v>80</v>
      </c>
      <c r="B10" s="11">
        <v>273.06375602290757</v>
      </c>
      <c r="C10" s="11">
        <v>273.05388735160068</v>
      </c>
      <c r="D10" s="11">
        <v>273.06554149026738</v>
      </c>
      <c r="E10" s="11">
        <v>273.07179487179502</v>
      </c>
      <c r="F10" s="11">
        <v>273.10000000000019</v>
      </c>
      <c r="G10" s="11">
        <v>273.10000000000019</v>
      </c>
      <c r="H10" s="11">
        <v>273.10000000000019</v>
      </c>
      <c r="I10" s="11">
        <v>273.10000000000019</v>
      </c>
      <c r="J10" s="11">
        <v>273.09809318753389</v>
      </c>
      <c r="K10" s="11">
        <v>273.07663676634513</v>
      </c>
      <c r="L10" s="11">
        <v>273.06682008371018</v>
      </c>
      <c r="M10" s="54">
        <v>273.05319445089259</v>
      </c>
    </row>
    <row r="11" spans="1:13" x14ac:dyDescent="0.25">
      <c r="A11" t="s">
        <v>81</v>
      </c>
      <c r="B11" s="12">
        <v>0</v>
      </c>
      <c r="C11" s="12">
        <v>0</v>
      </c>
      <c r="D11" s="12">
        <v>0</v>
      </c>
      <c r="E11" s="12">
        <v>0</v>
      </c>
      <c r="F11" s="12">
        <v>0</v>
      </c>
      <c r="G11" s="12">
        <v>0</v>
      </c>
      <c r="H11" s="12">
        <v>0</v>
      </c>
      <c r="I11" s="12">
        <v>0</v>
      </c>
      <c r="J11" s="12">
        <v>0</v>
      </c>
      <c r="K11" s="12">
        <v>0</v>
      </c>
      <c r="L11" s="12">
        <v>0</v>
      </c>
      <c r="M11" s="53">
        <v>0</v>
      </c>
    </row>
    <row r="12" spans="1:13" x14ac:dyDescent="0.25">
      <c r="A12" t="s">
        <v>82</v>
      </c>
      <c r="B12" s="12">
        <v>0</v>
      </c>
      <c r="C12" s="12">
        <v>0</v>
      </c>
      <c r="D12" s="12">
        <v>0</v>
      </c>
      <c r="E12" s="12">
        <v>0</v>
      </c>
      <c r="F12" s="12">
        <v>0</v>
      </c>
      <c r="G12" s="12">
        <v>0</v>
      </c>
      <c r="H12" s="12">
        <v>0</v>
      </c>
      <c r="I12" s="12">
        <v>0</v>
      </c>
      <c r="J12" s="12">
        <v>0</v>
      </c>
      <c r="K12" s="12">
        <v>0</v>
      </c>
      <c r="L12" s="12">
        <v>0</v>
      </c>
      <c r="M12" s="53">
        <v>0</v>
      </c>
    </row>
    <row r="13" spans="1:13" x14ac:dyDescent="0.25">
      <c r="A13" t="s">
        <v>83</v>
      </c>
      <c r="B13" s="12">
        <v>0</v>
      </c>
      <c r="C13" s="12">
        <v>0</v>
      </c>
      <c r="D13" s="12">
        <v>0</v>
      </c>
      <c r="E13" s="12">
        <v>0</v>
      </c>
      <c r="F13" s="12">
        <v>0</v>
      </c>
      <c r="G13" s="12">
        <v>0</v>
      </c>
      <c r="H13" s="12">
        <v>0</v>
      </c>
      <c r="I13" s="12">
        <v>0</v>
      </c>
      <c r="J13" s="12">
        <v>0</v>
      </c>
      <c r="K13" s="12">
        <v>0</v>
      </c>
      <c r="L13" s="12">
        <v>0</v>
      </c>
      <c r="M13" s="53">
        <v>0</v>
      </c>
    </row>
    <row r="14" spans="1:13" x14ac:dyDescent="0.25">
      <c r="A14" t="s">
        <v>84</v>
      </c>
      <c r="B14" s="12">
        <v>0</v>
      </c>
      <c r="C14" s="12">
        <v>0</v>
      </c>
      <c r="D14" s="12">
        <v>0</v>
      </c>
      <c r="E14" s="12">
        <v>0</v>
      </c>
      <c r="F14" s="12">
        <v>0</v>
      </c>
      <c r="G14" s="12">
        <v>0</v>
      </c>
      <c r="H14" s="12">
        <v>0</v>
      </c>
      <c r="I14" s="12">
        <v>0</v>
      </c>
      <c r="J14" s="12">
        <v>0</v>
      </c>
      <c r="K14" s="12">
        <v>0</v>
      </c>
      <c r="L14" s="12">
        <v>0</v>
      </c>
      <c r="M14" s="53">
        <v>0</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871E6-1B0C-4990-A11B-103C6CEC6953}">
  <sheetPr codeName="Sheet31">
    <tabColor rgb="FF7030A0"/>
  </sheetPr>
  <dimension ref="A1:B14"/>
  <sheetViews>
    <sheetView workbookViewId="0">
      <selection activeCell="E22" sqref="E22"/>
    </sheetView>
  </sheetViews>
  <sheetFormatPr defaultRowHeight="15" x14ac:dyDescent="0.25"/>
  <cols>
    <col min="1" max="1" width="23" customWidth="1"/>
  </cols>
  <sheetData>
    <row r="1" spans="1:2" x14ac:dyDescent="0.25">
      <c r="A1" s="32" t="s">
        <v>103</v>
      </c>
      <c r="B1" s="32"/>
    </row>
    <row r="2" spans="1:2" x14ac:dyDescent="0.25">
      <c r="A2" t="s">
        <v>72</v>
      </c>
      <c r="B2">
        <v>0</v>
      </c>
    </row>
    <row r="3" spans="1:2" x14ac:dyDescent="0.25">
      <c r="A3" t="s">
        <v>73</v>
      </c>
      <c r="B3">
        <v>0</v>
      </c>
    </row>
    <row r="4" spans="1:2" x14ac:dyDescent="0.25">
      <c r="A4" t="s">
        <v>74</v>
      </c>
      <c r="B4">
        <v>0</v>
      </c>
    </row>
    <row r="5" spans="1:2" x14ac:dyDescent="0.25">
      <c r="A5" s="2" t="s">
        <v>75</v>
      </c>
      <c r="B5" s="2">
        <v>623</v>
      </c>
    </row>
    <row r="6" spans="1:2" x14ac:dyDescent="0.25">
      <c r="A6" s="2" t="s">
        <v>76</v>
      </c>
      <c r="B6" s="2">
        <v>552.6</v>
      </c>
    </row>
    <row r="7" spans="1:2" x14ac:dyDescent="0.25">
      <c r="A7" t="s">
        <v>77</v>
      </c>
      <c r="B7">
        <v>0</v>
      </c>
    </row>
    <row r="8" spans="1:2" x14ac:dyDescent="0.25">
      <c r="A8" s="2" t="s">
        <v>78</v>
      </c>
      <c r="B8" s="2">
        <v>460</v>
      </c>
    </row>
    <row r="9" spans="1:2" x14ac:dyDescent="0.25">
      <c r="A9" s="2" t="s">
        <v>79</v>
      </c>
      <c r="B9" s="2">
        <v>377.5</v>
      </c>
    </row>
    <row r="10" spans="1:2" x14ac:dyDescent="0.25">
      <c r="A10" s="2" t="s">
        <v>80</v>
      </c>
      <c r="B10" s="2">
        <v>272</v>
      </c>
    </row>
    <row r="11" spans="1:2" x14ac:dyDescent="0.25">
      <c r="A11" t="s">
        <v>81</v>
      </c>
      <c r="B11">
        <v>0</v>
      </c>
    </row>
    <row r="12" spans="1:2" x14ac:dyDescent="0.25">
      <c r="A12" t="s">
        <v>82</v>
      </c>
      <c r="B12">
        <v>0</v>
      </c>
    </row>
    <row r="13" spans="1:2" x14ac:dyDescent="0.25">
      <c r="A13" t="s">
        <v>83</v>
      </c>
      <c r="B13">
        <v>0</v>
      </c>
    </row>
    <row r="14" spans="1:2" x14ac:dyDescent="0.25">
      <c r="A14" t="s">
        <v>84</v>
      </c>
      <c r="B14">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738F-1F90-41C5-BA13-A8705F06FDAA}">
  <sheetPr codeName="Sheet32">
    <tabColor rgb="FF7030A0"/>
  </sheetPr>
  <dimension ref="A1:B14"/>
  <sheetViews>
    <sheetView workbookViewId="0">
      <selection activeCell="B6" sqref="B6"/>
    </sheetView>
  </sheetViews>
  <sheetFormatPr defaultRowHeight="15" x14ac:dyDescent="0.25"/>
  <cols>
    <col min="1" max="1" width="23" customWidth="1"/>
  </cols>
  <sheetData>
    <row r="1" spans="1:2" x14ac:dyDescent="0.25">
      <c r="A1" s="32" t="s">
        <v>102</v>
      </c>
      <c r="B1" s="32"/>
    </row>
    <row r="2" spans="1:2" x14ac:dyDescent="0.25">
      <c r="A2" t="s">
        <v>72</v>
      </c>
      <c r="B2">
        <v>0</v>
      </c>
    </row>
    <row r="3" spans="1:2" x14ac:dyDescent="0.25">
      <c r="A3" t="s">
        <v>73</v>
      </c>
      <c r="B3">
        <v>0</v>
      </c>
    </row>
    <row r="4" spans="1:2" x14ac:dyDescent="0.25">
      <c r="A4" t="s">
        <v>74</v>
      </c>
      <c r="B4">
        <v>0</v>
      </c>
    </row>
    <row r="5" spans="1:2" x14ac:dyDescent="0.25">
      <c r="A5" s="2" t="s">
        <v>75</v>
      </c>
      <c r="B5" s="2">
        <v>649</v>
      </c>
    </row>
    <row r="6" spans="1:2" x14ac:dyDescent="0.25">
      <c r="A6" s="2" t="s">
        <v>76</v>
      </c>
      <c r="B6" s="2">
        <v>557.5</v>
      </c>
    </row>
    <row r="7" spans="1:2" x14ac:dyDescent="0.25">
      <c r="A7" t="s">
        <v>77</v>
      </c>
      <c r="B7">
        <v>0</v>
      </c>
    </row>
    <row r="8" spans="1:2" x14ac:dyDescent="0.25">
      <c r="A8" s="2" t="s">
        <v>78</v>
      </c>
      <c r="B8" s="2">
        <v>475</v>
      </c>
    </row>
    <row r="9" spans="1:2" x14ac:dyDescent="0.25">
      <c r="A9" s="2" t="s">
        <v>79</v>
      </c>
      <c r="B9" s="2">
        <v>389</v>
      </c>
    </row>
    <row r="10" spans="1:2" x14ac:dyDescent="0.25">
      <c r="A10" s="2" t="s">
        <v>80</v>
      </c>
      <c r="B10" s="2">
        <v>273.10000000000002</v>
      </c>
    </row>
    <row r="11" spans="1:2" x14ac:dyDescent="0.25">
      <c r="A11" t="s">
        <v>81</v>
      </c>
      <c r="B11">
        <v>0</v>
      </c>
    </row>
    <row r="12" spans="1:2" x14ac:dyDescent="0.25">
      <c r="A12" t="s">
        <v>82</v>
      </c>
      <c r="B12">
        <v>0</v>
      </c>
    </row>
    <row r="13" spans="1:2" x14ac:dyDescent="0.25">
      <c r="A13" t="s">
        <v>83</v>
      </c>
      <c r="B13">
        <v>0</v>
      </c>
    </row>
    <row r="14" spans="1:2" x14ac:dyDescent="0.25">
      <c r="A14" t="s">
        <v>84</v>
      </c>
      <c r="B14">
        <v>0</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D4F9C-6D2E-48CB-AFFD-9AD3AF5D18FF}">
  <sheetPr codeName="Sheet71">
    <tabColor rgb="FF7030A0"/>
  </sheetPr>
  <dimension ref="A1:M14"/>
  <sheetViews>
    <sheetView workbookViewId="0">
      <selection activeCell="E38" sqref="E38"/>
    </sheetView>
  </sheetViews>
  <sheetFormatPr defaultRowHeight="15" x14ac:dyDescent="0.25"/>
  <cols>
    <col min="1" max="1" width="23" customWidth="1"/>
  </cols>
  <sheetData>
    <row r="1" spans="1:13" x14ac:dyDescent="0.25">
      <c r="A1" t="s">
        <v>127</v>
      </c>
      <c r="B1" t="s">
        <v>1</v>
      </c>
      <c r="C1" t="s">
        <v>2</v>
      </c>
      <c r="D1" t="s">
        <v>3</v>
      </c>
      <c r="E1" t="s">
        <v>4</v>
      </c>
      <c r="F1" t="s">
        <v>5</v>
      </c>
      <c r="G1" t="s">
        <v>6</v>
      </c>
      <c r="H1" t="s">
        <v>7</v>
      </c>
      <c r="I1" t="s">
        <v>8</v>
      </c>
      <c r="J1" t="s">
        <v>9</v>
      </c>
      <c r="K1" t="s">
        <v>10</v>
      </c>
      <c r="L1" t="s">
        <v>11</v>
      </c>
      <c r="M1" t="s">
        <v>12</v>
      </c>
    </row>
    <row r="2" spans="1:13" x14ac:dyDescent="0.25">
      <c r="A2" t="s">
        <v>72</v>
      </c>
      <c r="B2" s="4">
        <v>0</v>
      </c>
      <c r="C2" s="4">
        <v>0</v>
      </c>
      <c r="D2" s="4">
        <v>0</v>
      </c>
      <c r="E2" s="4">
        <v>0</v>
      </c>
      <c r="F2" s="4">
        <v>0</v>
      </c>
      <c r="G2" s="4">
        <v>0</v>
      </c>
      <c r="H2" s="4">
        <v>0</v>
      </c>
      <c r="I2" s="4">
        <v>0</v>
      </c>
      <c r="J2" s="4">
        <v>0</v>
      </c>
      <c r="K2" s="4">
        <v>0</v>
      </c>
      <c r="L2" s="4">
        <v>0</v>
      </c>
      <c r="M2" s="4">
        <v>0</v>
      </c>
    </row>
    <row r="3" spans="1:13" x14ac:dyDescent="0.25">
      <c r="A3" t="s">
        <v>73</v>
      </c>
      <c r="B3" s="4">
        <v>0</v>
      </c>
      <c r="C3" s="4">
        <v>0</v>
      </c>
      <c r="D3" s="4">
        <v>0</v>
      </c>
      <c r="E3" s="4">
        <v>0</v>
      </c>
      <c r="F3" s="4">
        <v>0</v>
      </c>
      <c r="G3" s="4">
        <v>0</v>
      </c>
      <c r="H3" s="4">
        <v>0</v>
      </c>
      <c r="I3" s="4">
        <v>0</v>
      </c>
      <c r="J3" s="4">
        <v>0</v>
      </c>
      <c r="K3" s="4">
        <v>0</v>
      </c>
      <c r="L3" s="4">
        <v>0</v>
      </c>
      <c r="M3" s="4">
        <v>0</v>
      </c>
    </row>
    <row r="4" spans="1:13" x14ac:dyDescent="0.25">
      <c r="A4" t="s">
        <v>74</v>
      </c>
      <c r="B4" s="4">
        <v>0</v>
      </c>
      <c r="C4" s="4">
        <v>0</v>
      </c>
      <c r="D4" s="4">
        <v>0</v>
      </c>
      <c r="E4" s="4">
        <v>0</v>
      </c>
      <c r="F4" s="4">
        <v>0</v>
      </c>
      <c r="G4" s="4">
        <v>0</v>
      </c>
      <c r="H4" s="4">
        <v>0</v>
      </c>
      <c r="I4" s="4">
        <v>0</v>
      </c>
      <c r="J4" s="4">
        <v>0</v>
      </c>
      <c r="K4" s="4">
        <v>0</v>
      </c>
      <c r="L4" s="4">
        <v>0</v>
      </c>
      <c r="M4" s="4">
        <v>0</v>
      </c>
    </row>
    <row r="5" spans="1:13" x14ac:dyDescent="0.25">
      <c r="A5" s="24" t="s">
        <v>75</v>
      </c>
      <c r="B5" s="39">
        <v>78.776092945140917</v>
      </c>
      <c r="C5" s="39">
        <v>76.402874463456612</v>
      </c>
      <c r="D5" s="39">
        <v>79.048262560068579</v>
      </c>
      <c r="E5" s="39">
        <v>78.980144026965576</v>
      </c>
      <c r="F5" s="39">
        <v>71.184222845930378</v>
      </c>
      <c r="G5" s="39">
        <v>82.034887598767526</v>
      </c>
      <c r="H5" s="39">
        <v>75.970699632733542</v>
      </c>
      <c r="I5" s="39">
        <v>78.401259728709206</v>
      </c>
      <c r="J5" s="39">
        <v>75.830120105482891</v>
      </c>
      <c r="K5" s="39">
        <v>78.341232391867564</v>
      </c>
      <c r="L5" s="39">
        <v>78.364421319999977</v>
      </c>
      <c r="M5" s="39">
        <v>76.1911910016305</v>
      </c>
    </row>
    <row r="6" spans="1:13" x14ac:dyDescent="0.25">
      <c r="A6" s="24" t="s">
        <v>76</v>
      </c>
      <c r="B6" s="39">
        <v>79.158897034314506</v>
      </c>
      <c r="C6" s="39">
        <v>76.437381392682298</v>
      </c>
      <c r="D6" s="39">
        <v>79.048262560068579</v>
      </c>
      <c r="E6" s="39">
        <v>78.980144026965576</v>
      </c>
      <c r="F6" s="39">
        <v>71.268211781197579</v>
      </c>
      <c r="G6" s="39">
        <v>82.034887598767526</v>
      </c>
      <c r="H6" s="39">
        <v>76.470828490108062</v>
      </c>
      <c r="I6" s="39">
        <v>78.978339147664784</v>
      </c>
      <c r="J6" s="39">
        <v>76.441020526217258</v>
      </c>
      <c r="K6" s="39">
        <v>78.983348288415314</v>
      </c>
      <c r="L6" s="39">
        <v>79.134211779770126</v>
      </c>
      <c r="M6" s="39">
        <v>76.798020266837497</v>
      </c>
    </row>
    <row r="7" spans="1:13" x14ac:dyDescent="0.25">
      <c r="A7" t="s">
        <v>77</v>
      </c>
      <c r="B7" s="4">
        <v>0</v>
      </c>
      <c r="C7" s="4">
        <v>0</v>
      </c>
      <c r="D7" s="4">
        <v>0</v>
      </c>
      <c r="E7" s="4">
        <v>0</v>
      </c>
      <c r="F7" s="4">
        <v>0</v>
      </c>
      <c r="G7" s="4">
        <v>0</v>
      </c>
      <c r="H7" s="4">
        <v>0</v>
      </c>
      <c r="I7" s="4">
        <v>0</v>
      </c>
      <c r="J7" s="4">
        <v>0</v>
      </c>
      <c r="K7" s="4">
        <v>0</v>
      </c>
      <c r="L7" s="4">
        <v>0</v>
      </c>
      <c r="M7" s="4">
        <v>0</v>
      </c>
    </row>
    <row r="8" spans="1:13" x14ac:dyDescent="0.25">
      <c r="A8" s="24" t="s">
        <v>78</v>
      </c>
      <c r="B8" s="39">
        <v>104.96599465567991</v>
      </c>
      <c r="C8" s="39">
        <v>101.78228557518396</v>
      </c>
      <c r="D8" s="39">
        <v>105.85743605575834</v>
      </c>
      <c r="E8" s="39">
        <v>104.75675678523925</v>
      </c>
      <c r="F8" s="39">
        <v>95.250611907756522</v>
      </c>
      <c r="G8" s="39">
        <v>105.2126206814809</v>
      </c>
      <c r="H8" s="39">
        <v>101.64109034633547</v>
      </c>
      <c r="I8" s="39">
        <v>104.76994846444076</v>
      </c>
      <c r="J8" s="39">
        <v>101.36954473033826</v>
      </c>
      <c r="K8" s="39">
        <v>104.80400177295138</v>
      </c>
      <c r="L8" s="39">
        <v>104.93060297187606</v>
      </c>
      <c r="M8" s="39">
        <v>101.54445822930489</v>
      </c>
    </row>
    <row r="9" spans="1:13" x14ac:dyDescent="0.25">
      <c r="A9" s="24" t="s">
        <v>79</v>
      </c>
      <c r="B9" s="39">
        <v>112.53589295498777</v>
      </c>
      <c r="C9" s="39">
        <v>108.87360104699518</v>
      </c>
      <c r="D9" s="39">
        <v>112.50373852577268</v>
      </c>
      <c r="E9" s="39">
        <v>112.54286914844623</v>
      </c>
      <c r="F9" s="39">
        <v>102.35767707638567</v>
      </c>
      <c r="G9" s="39">
        <v>113.40315127806517</v>
      </c>
      <c r="H9" s="39">
        <v>108.88290125021548</v>
      </c>
      <c r="I9" s="39">
        <v>112.4202397556914</v>
      </c>
      <c r="J9" s="39">
        <v>108.75287404149492</v>
      </c>
      <c r="K9" s="39">
        <v>112.37830441644012</v>
      </c>
      <c r="L9" s="39">
        <v>112.48966628992567</v>
      </c>
      <c r="M9" s="39">
        <v>108.99828690065158</v>
      </c>
    </row>
    <row r="10" spans="1:13" x14ac:dyDescent="0.25">
      <c r="A10" s="24" t="s">
        <v>80</v>
      </c>
      <c r="B10" s="39">
        <v>112.21203091427803</v>
      </c>
      <c r="C10" s="39">
        <v>108.83254935263156</v>
      </c>
      <c r="D10" s="39">
        <v>112.69090690562373</v>
      </c>
      <c r="E10" s="39">
        <v>112.54286914844624</v>
      </c>
      <c r="F10" s="39">
        <v>102.35767707638567</v>
      </c>
      <c r="G10" s="39">
        <v>113.40315127806517</v>
      </c>
      <c r="H10" s="39">
        <v>108.70687334188216</v>
      </c>
      <c r="I10" s="39">
        <v>112.0366601856914</v>
      </c>
      <c r="J10" s="39">
        <v>108.2326585449687</v>
      </c>
      <c r="K10" s="39">
        <v>111.83132116442151</v>
      </c>
      <c r="L10" s="39">
        <v>111.85298194222018</v>
      </c>
      <c r="M10" s="39">
        <v>108.55948894447594</v>
      </c>
    </row>
    <row r="11" spans="1:13" x14ac:dyDescent="0.25">
      <c r="A11" t="s">
        <v>81</v>
      </c>
      <c r="B11" s="4">
        <v>0</v>
      </c>
      <c r="C11" s="4">
        <v>0</v>
      </c>
      <c r="D11" s="4">
        <v>0</v>
      </c>
      <c r="E11" s="4">
        <v>0</v>
      </c>
      <c r="F11" s="4">
        <v>0</v>
      </c>
      <c r="G11" s="4">
        <v>0</v>
      </c>
      <c r="H11" s="4">
        <v>0</v>
      </c>
      <c r="I11" s="4">
        <v>0</v>
      </c>
      <c r="J11" s="4">
        <v>0</v>
      </c>
      <c r="K11" s="4">
        <v>0</v>
      </c>
      <c r="L11" s="4">
        <v>0</v>
      </c>
      <c r="M11" s="4">
        <v>0</v>
      </c>
    </row>
    <row r="12" spans="1:13" x14ac:dyDescent="0.25">
      <c r="A12" t="s">
        <v>82</v>
      </c>
      <c r="B12" s="4">
        <v>0</v>
      </c>
      <c r="C12" s="4">
        <v>0</v>
      </c>
      <c r="D12" s="4">
        <v>0</v>
      </c>
      <c r="E12" s="4">
        <v>0</v>
      </c>
      <c r="F12" s="4">
        <v>0</v>
      </c>
      <c r="G12" s="4">
        <v>0</v>
      </c>
      <c r="H12" s="4">
        <v>0</v>
      </c>
      <c r="I12" s="4">
        <v>0</v>
      </c>
      <c r="J12" s="4">
        <v>0</v>
      </c>
      <c r="K12" s="4">
        <v>0</v>
      </c>
      <c r="L12" s="4">
        <v>0</v>
      </c>
      <c r="M12" s="4">
        <v>0</v>
      </c>
    </row>
    <row r="13" spans="1:13" x14ac:dyDescent="0.25">
      <c r="A13" t="s">
        <v>83</v>
      </c>
      <c r="B13" s="4">
        <v>0</v>
      </c>
      <c r="C13" s="4">
        <v>0</v>
      </c>
      <c r="D13" s="4">
        <v>0</v>
      </c>
      <c r="E13" s="4">
        <v>0</v>
      </c>
      <c r="F13" s="4">
        <v>0</v>
      </c>
      <c r="G13" s="4">
        <v>0</v>
      </c>
      <c r="H13" s="4">
        <v>0</v>
      </c>
      <c r="I13" s="4">
        <v>0</v>
      </c>
      <c r="J13" s="4">
        <v>0</v>
      </c>
      <c r="K13" s="4">
        <v>0</v>
      </c>
      <c r="L13" s="4">
        <v>0</v>
      </c>
      <c r="M13" s="4">
        <v>0</v>
      </c>
    </row>
    <row r="14" spans="1:13" x14ac:dyDescent="0.25">
      <c r="A14" t="s">
        <v>84</v>
      </c>
      <c r="B14" s="4">
        <v>0</v>
      </c>
      <c r="C14" s="4">
        <v>0</v>
      </c>
      <c r="D14" s="4">
        <v>0</v>
      </c>
      <c r="E14" s="4">
        <v>0</v>
      </c>
      <c r="F14" s="4">
        <v>0</v>
      </c>
      <c r="G14" s="4">
        <v>0</v>
      </c>
      <c r="H14" s="4">
        <v>0</v>
      </c>
      <c r="I14" s="4">
        <v>0</v>
      </c>
      <c r="J14" s="4">
        <v>0</v>
      </c>
      <c r="K14" s="4">
        <v>0</v>
      </c>
      <c r="L14" s="4">
        <v>0</v>
      </c>
      <c r="M14" s="4">
        <v>0</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1BFD4-CE74-47A3-A586-2F0D5007A645}">
  <sheetPr codeName="Sheet72">
    <tabColor rgb="FF7030A0"/>
  </sheetPr>
  <dimension ref="A1:M14"/>
  <sheetViews>
    <sheetView workbookViewId="0">
      <selection activeCell="E38" sqref="E38"/>
    </sheetView>
  </sheetViews>
  <sheetFormatPr defaultRowHeight="15" x14ac:dyDescent="0.25"/>
  <cols>
    <col min="1" max="1" width="23" customWidth="1"/>
  </cols>
  <sheetData>
    <row r="1" spans="1:13" x14ac:dyDescent="0.25">
      <c r="A1" t="s">
        <v>128</v>
      </c>
      <c r="B1" t="s">
        <v>1</v>
      </c>
      <c r="C1" t="s">
        <v>2</v>
      </c>
      <c r="D1" t="s">
        <v>3</v>
      </c>
      <c r="E1" t="s">
        <v>4</v>
      </c>
      <c r="F1" t="s">
        <v>5</v>
      </c>
      <c r="G1" t="s">
        <v>6</v>
      </c>
      <c r="H1" t="s">
        <v>7</v>
      </c>
      <c r="I1" t="s">
        <v>8</v>
      </c>
      <c r="J1" t="s">
        <v>9</v>
      </c>
      <c r="K1" t="s">
        <v>10</v>
      </c>
      <c r="L1" t="s">
        <v>11</v>
      </c>
      <c r="M1" t="s">
        <v>12</v>
      </c>
    </row>
    <row r="2" spans="1:13" x14ac:dyDescent="0.25">
      <c r="A2" t="s">
        <v>72</v>
      </c>
      <c r="B2" s="1">
        <v>0</v>
      </c>
      <c r="C2" s="1">
        <v>0</v>
      </c>
      <c r="D2" s="1">
        <v>0</v>
      </c>
      <c r="E2" s="1">
        <v>0</v>
      </c>
      <c r="F2" s="1">
        <v>0</v>
      </c>
      <c r="G2" s="1">
        <v>0</v>
      </c>
      <c r="H2" s="1">
        <v>0</v>
      </c>
      <c r="I2" s="1">
        <v>0</v>
      </c>
      <c r="J2" s="1">
        <v>0</v>
      </c>
      <c r="K2" s="1">
        <v>0</v>
      </c>
      <c r="L2" s="1">
        <v>0</v>
      </c>
      <c r="M2" s="1">
        <v>0</v>
      </c>
    </row>
    <row r="3" spans="1:13" x14ac:dyDescent="0.25">
      <c r="A3" t="s">
        <v>73</v>
      </c>
      <c r="B3" s="1">
        <v>0</v>
      </c>
      <c r="C3" s="1">
        <v>0</v>
      </c>
      <c r="D3" s="1">
        <v>0</v>
      </c>
      <c r="E3" s="1">
        <v>0</v>
      </c>
      <c r="F3" s="1">
        <v>0</v>
      </c>
      <c r="G3" s="1">
        <v>0</v>
      </c>
      <c r="H3" s="1">
        <v>0</v>
      </c>
      <c r="I3" s="1">
        <v>0</v>
      </c>
      <c r="J3" s="1">
        <v>0</v>
      </c>
      <c r="K3" s="1">
        <v>0</v>
      </c>
      <c r="L3" s="1">
        <v>0</v>
      </c>
      <c r="M3" s="1">
        <v>0</v>
      </c>
    </row>
    <row r="4" spans="1:13" x14ac:dyDescent="0.25">
      <c r="A4" t="s">
        <v>74</v>
      </c>
      <c r="B4" s="1">
        <v>0</v>
      </c>
      <c r="C4" s="1">
        <v>0</v>
      </c>
      <c r="D4" s="1">
        <v>0</v>
      </c>
      <c r="E4" s="1">
        <v>0</v>
      </c>
      <c r="F4" s="1">
        <v>0</v>
      </c>
      <c r="G4" s="1">
        <v>0</v>
      </c>
      <c r="H4" s="1">
        <v>0</v>
      </c>
      <c r="I4" s="1">
        <v>0</v>
      </c>
      <c r="J4" s="1">
        <v>0</v>
      </c>
      <c r="K4" s="1">
        <v>0</v>
      </c>
      <c r="L4" s="1">
        <v>0</v>
      </c>
      <c r="M4" s="1">
        <v>0</v>
      </c>
    </row>
    <row r="5" spans="1:13" x14ac:dyDescent="0.25">
      <c r="A5" s="2" t="s">
        <v>75</v>
      </c>
      <c r="B5" s="25">
        <v>180.951761415617</v>
      </c>
      <c r="C5" s="25">
        <v>182.89525132421895</v>
      </c>
      <c r="D5" s="25">
        <v>240.75454788164228</v>
      </c>
      <c r="E5" s="25">
        <v>241.40009891210894</v>
      </c>
      <c r="F5" s="25">
        <v>218.03879901738867</v>
      </c>
      <c r="G5" s="25">
        <v>241.40009891210894</v>
      </c>
      <c r="H5" s="25">
        <v>233.61299894720219</v>
      </c>
      <c r="I5" s="25">
        <v>241.40009891210894</v>
      </c>
      <c r="J5" s="25">
        <v>181.93859373421557</v>
      </c>
      <c r="K5" s="25">
        <v>125.50854220070352</v>
      </c>
      <c r="L5" s="25">
        <v>126.14671630955324</v>
      </c>
      <c r="M5" s="25">
        <v>137.82099367767637</v>
      </c>
    </row>
    <row r="6" spans="1:13" x14ac:dyDescent="0.25">
      <c r="A6" s="2" t="s">
        <v>76</v>
      </c>
      <c r="B6" s="25">
        <v>180.84050031295575</v>
      </c>
      <c r="C6" s="25">
        <v>182.89525132421898</v>
      </c>
      <c r="D6" s="25">
        <v>240.75454788164228</v>
      </c>
      <c r="E6" s="25">
        <v>291.18216045562218</v>
      </c>
      <c r="F6" s="25">
        <v>287.04475097911279</v>
      </c>
      <c r="G6" s="25">
        <v>355.51016450258959</v>
      </c>
      <c r="H6" s="25">
        <v>342.32767195994211</v>
      </c>
      <c r="I6" s="25">
        <v>339.73363923868237</v>
      </c>
      <c r="J6" s="25">
        <v>181.70161136988912</v>
      </c>
      <c r="K6" s="25">
        <v>125.18433269535613</v>
      </c>
      <c r="L6" s="25">
        <v>125.82269277607864</v>
      </c>
      <c r="M6" s="25">
        <v>135.04718990077984</v>
      </c>
    </row>
    <row r="7" spans="1:13" x14ac:dyDescent="0.25">
      <c r="A7" t="s">
        <v>77</v>
      </c>
      <c r="B7" s="1">
        <v>0</v>
      </c>
      <c r="C7" s="1">
        <v>0</v>
      </c>
      <c r="D7" s="1">
        <v>0</v>
      </c>
      <c r="E7" s="1">
        <v>0</v>
      </c>
      <c r="F7" s="1">
        <v>0</v>
      </c>
      <c r="G7" s="1">
        <v>0</v>
      </c>
      <c r="H7" s="1">
        <v>0</v>
      </c>
      <c r="I7" s="1">
        <v>0</v>
      </c>
      <c r="J7" s="1">
        <v>0</v>
      </c>
      <c r="K7" s="1">
        <v>0</v>
      </c>
      <c r="L7" s="1">
        <v>0</v>
      </c>
      <c r="M7" s="1">
        <v>0</v>
      </c>
    </row>
    <row r="8" spans="1:13" x14ac:dyDescent="0.25">
      <c r="A8" s="2" t="s">
        <v>78</v>
      </c>
      <c r="B8" s="25">
        <v>136.40442296135942</v>
      </c>
      <c r="C8" s="25">
        <v>286.05835407149328</v>
      </c>
      <c r="D8" s="25">
        <v>538.52427285599367</v>
      </c>
      <c r="E8" s="25">
        <v>538.52427285599367</v>
      </c>
      <c r="F8" s="25">
        <v>486.4090206441233</v>
      </c>
      <c r="G8" s="25">
        <v>538.52427285599367</v>
      </c>
      <c r="H8" s="25">
        <v>521.15252211870359</v>
      </c>
      <c r="I8" s="25">
        <v>538.52427285599367</v>
      </c>
      <c r="J8" s="25">
        <v>222.89941851800162</v>
      </c>
      <c r="K8" s="25">
        <v>115.06855374831132</v>
      </c>
      <c r="L8" s="25">
        <v>118.05659737619079</v>
      </c>
      <c r="M8" s="25">
        <v>117.84426069009663</v>
      </c>
    </row>
    <row r="9" spans="1:13" x14ac:dyDescent="0.25">
      <c r="A9" s="2" t="s">
        <v>79</v>
      </c>
      <c r="B9" s="25">
        <v>135.13554754772579</v>
      </c>
      <c r="C9" s="25">
        <v>273.36370095413207</v>
      </c>
      <c r="D9" s="25">
        <v>289.90381387877591</v>
      </c>
      <c r="E9" s="25">
        <v>289.90381387877591</v>
      </c>
      <c r="F9" s="25">
        <v>271.20034201562908</v>
      </c>
      <c r="G9" s="25">
        <v>289.90381387877591</v>
      </c>
      <c r="H9" s="25">
        <v>280.55207794720252</v>
      </c>
      <c r="I9" s="25">
        <v>289.90381387877591</v>
      </c>
      <c r="J9" s="25">
        <v>251.21413342979832</v>
      </c>
      <c r="K9" s="25">
        <v>122.74277556496698</v>
      </c>
      <c r="L9" s="25">
        <v>123.42230941566801</v>
      </c>
      <c r="M9" s="25">
        <v>119.99799328543055</v>
      </c>
    </row>
    <row r="10" spans="1:13" x14ac:dyDescent="0.25">
      <c r="A10" s="2" t="s">
        <v>80</v>
      </c>
      <c r="B10" s="25">
        <v>133.02030661419957</v>
      </c>
      <c r="C10" s="25">
        <v>273.32264925976847</v>
      </c>
      <c r="D10" s="25">
        <v>289.90381387877591</v>
      </c>
      <c r="E10" s="25">
        <v>289.90381387877591</v>
      </c>
      <c r="F10" s="25">
        <v>271.20034201562908</v>
      </c>
      <c r="G10" s="25">
        <v>289.90381387877591</v>
      </c>
      <c r="H10" s="25">
        <v>280.55207794720252</v>
      </c>
      <c r="I10" s="25">
        <v>289.90381387877591</v>
      </c>
      <c r="J10" s="25">
        <v>250.62637852599835</v>
      </c>
      <c r="K10" s="25">
        <v>121.99612451306699</v>
      </c>
      <c r="L10" s="25">
        <v>122.73414813209803</v>
      </c>
      <c r="M10" s="25">
        <v>119.54323880093057</v>
      </c>
    </row>
    <row r="11" spans="1:13" x14ac:dyDescent="0.25">
      <c r="A11" t="s">
        <v>81</v>
      </c>
      <c r="B11" s="1">
        <v>0</v>
      </c>
      <c r="C11" s="1">
        <v>0</v>
      </c>
      <c r="D11" s="1">
        <v>0</v>
      </c>
      <c r="E11" s="1">
        <v>0</v>
      </c>
      <c r="F11" s="1">
        <v>0</v>
      </c>
      <c r="G11" s="1">
        <v>0</v>
      </c>
      <c r="H11" s="1">
        <v>0</v>
      </c>
      <c r="I11" s="1">
        <v>0</v>
      </c>
      <c r="J11" s="1">
        <v>0</v>
      </c>
      <c r="K11" s="1">
        <v>0</v>
      </c>
      <c r="L11" s="1">
        <v>0</v>
      </c>
      <c r="M11" s="1">
        <v>0</v>
      </c>
    </row>
    <row r="12" spans="1:13" x14ac:dyDescent="0.25">
      <c r="A12" t="s">
        <v>82</v>
      </c>
      <c r="B12" s="1">
        <v>0</v>
      </c>
      <c r="C12" s="1">
        <v>0</v>
      </c>
      <c r="D12" s="1">
        <v>0</v>
      </c>
      <c r="E12" s="1">
        <v>0</v>
      </c>
      <c r="F12" s="1">
        <v>0</v>
      </c>
      <c r="G12" s="1">
        <v>0</v>
      </c>
      <c r="H12" s="1">
        <v>0</v>
      </c>
      <c r="I12" s="1">
        <v>0</v>
      </c>
      <c r="J12" s="1">
        <v>0</v>
      </c>
      <c r="K12" s="1">
        <v>0</v>
      </c>
      <c r="L12" s="1">
        <v>0</v>
      </c>
      <c r="M12" s="1">
        <v>0</v>
      </c>
    </row>
    <row r="13" spans="1:13" x14ac:dyDescent="0.25">
      <c r="A13" t="s">
        <v>83</v>
      </c>
      <c r="B13" s="1">
        <v>0</v>
      </c>
      <c r="C13" s="1">
        <v>0</v>
      </c>
      <c r="D13" s="1">
        <v>0</v>
      </c>
      <c r="E13" s="1">
        <v>0</v>
      </c>
      <c r="F13" s="1">
        <v>0</v>
      </c>
      <c r="G13" s="1">
        <v>0</v>
      </c>
      <c r="H13" s="1">
        <v>0</v>
      </c>
      <c r="I13" s="1">
        <v>0</v>
      </c>
      <c r="J13" s="1">
        <v>0</v>
      </c>
      <c r="K13" s="1">
        <v>0</v>
      </c>
      <c r="L13" s="1">
        <v>0</v>
      </c>
      <c r="M13" s="1">
        <v>0</v>
      </c>
    </row>
    <row r="14" spans="1:13" x14ac:dyDescent="0.25">
      <c r="A14" t="s">
        <v>84</v>
      </c>
      <c r="B14" s="1">
        <v>0</v>
      </c>
      <c r="C14" s="1">
        <v>0</v>
      </c>
      <c r="D14" s="1">
        <v>0</v>
      </c>
      <c r="E14" s="1">
        <v>0</v>
      </c>
      <c r="F14" s="1">
        <v>0</v>
      </c>
      <c r="G14" s="1">
        <v>0</v>
      </c>
      <c r="H14" s="1">
        <v>0</v>
      </c>
      <c r="I14" s="1">
        <v>0</v>
      </c>
      <c r="J14" s="1">
        <v>0</v>
      </c>
      <c r="K14" s="1">
        <v>0</v>
      </c>
      <c r="L14" s="1">
        <v>0</v>
      </c>
      <c r="M14" s="1">
        <v>0</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B6996-8041-493D-8141-174C6216715C}">
  <sheetPr codeName="Sheet77">
    <tabColor rgb="FFFF5050"/>
  </sheetPr>
  <dimension ref="A1:N14"/>
  <sheetViews>
    <sheetView workbookViewId="0">
      <selection activeCell="F8" sqref="F8"/>
    </sheetView>
  </sheetViews>
  <sheetFormatPr defaultRowHeight="15" x14ac:dyDescent="0.25"/>
  <cols>
    <col min="1" max="1" width="23" customWidth="1"/>
  </cols>
  <sheetData>
    <row r="1" spans="1:14" x14ac:dyDescent="0.25">
      <c r="A1" s="15" t="s">
        <v>151</v>
      </c>
      <c r="B1" t="s">
        <v>72</v>
      </c>
      <c r="C1" t="s">
        <v>73</v>
      </c>
      <c r="D1" t="s">
        <v>74</v>
      </c>
      <c r="E1" s="2" t="s">
        <v>75</v>
      </c>
      <c r="F1" s="2" t="s">
        <v>76</v>
      </c>
      <c r="G1" t="s">
        <v>77</v>
      </c>
      <c r="H1" s="2" t="s">
        <v>78</v>
      </c>
      <c r="I1" s="2" t="s">
        <v>79</v>
      </c>
      <c r="J1" s="2" t="s">
        <v>80</v>
      </c>
      <c r="K1" t="s">
        <v>81</v>
      </c>
      <c r="L1" t="s">
        <v>82</v>
      </c>
      <c r="M1" t="s">
        <v>83</v>
      </c>
      <c r="N1" t="s">
        <v>84</v>
      </c>
    </row>
    <row r="2" spans="1:14" x14ac:dyDescent="0.25">
      <c r="A2" t="s">
        <v>72</v>
      </c>
      <c r="B2" s="35">
        <v>0</v>
      </c>
      <c r="C2" s="35">
        <v>0</v>
      </c>
      <c r="D2" s="35">
        <v>0</v>
      </c>
      <c r="E2" s="35">
        <v>0</v>
      </c>
      <c r="F2" s="35">
        <v>0</v>
      </c>
      <c r="G2" s="35">
        <v>0</v>
      </c>
      <c r="H2" s="35">
        <v>0</v>
      </c>
      <c r="I2" s="35">
        <v>0</v>
      </c>
      <c r="J2" s="35">
        <v>0</v>
      </c>
      <c r="K2" s="35">
        <v>0</v>
      </c>
      <c r="L2" s="35">
        <v>0</v>
      </c>
      <c r="M2" s="35">
        <v>0</v>
      </c>
      <c r="N2" s="35">
        <v>0</v>
      </c>
    </row>
    <row r="3" spans="1:14" x14ac:dyDescent="0.25">
      <c r="A3" t="s">
        <v>73</v>
      </c>
      <c r="B3" s="35">
        <v>0</v>
      </c>
      <c r="C3" s="35">
        <v>0</v>
      </c>
      <c r="D3" s="35">
        <v>0</v>
      </c>
      <c r="E3" s="35">
        <v>0</v>
      </c>
      <c r="F3" s="35">
        <v>0</v>
      </c>
      <c r="G3" s="35">
        <v>0</v>
      </c>
      <c r="H3" s="35">
        <v>0</v>
      </c>
      <c r="I3" s="35">
        <v>0</v>
      </c>
      <c r="J3" s="35">
        <v>0</v>
      </c>
      <c r="K3" s="35">
        <v>0</v>
      </c>
      <c r="L3" s="35">
        <v>0</v>
      </c>
      <c r="M3" s="35">
        <v>0</v>
      </c>
      <c r="N3" s="35">
        <v>0</v>
      </c>
    </row>
    <row r="4" spans="1:14" x14ac:dyDescent="0.25">
      <c r="A4" t="s">
        <v>74</v>
      </c>
      <c r="B4" s="35">
        <v>0</v>
      </c>
      <c r="C4" s="35">
        <v>0</v>
      </c>
      <c r="D4" s="35">
        <v>0</v>
      </c>
      <c r="E4" s="35">
        <v>0</v>
      </c>
      <c r="F4" s="35">
        <v>0</v>
      </c>
      <c r="G4" s="35">
        <v>0</v>
      </c>
      <c r="H4" s="35">
        <v>0</v>
      </c>
      <c r="I4" s="35">
        <v>0</v>
      </c>
      <c r="J4" s="35">
        <v>0</v>
      </c>
      <c r="K4" s="35">
        <v>0</v>
      </c>
      <c r="L4" s="35">
        <v>0</v>
      </c>
      <c r="M4" s="35">
        <v>0</v>
      </c>
      <c r="N4" s="35">
        <v>0</v>
      </c>
    </row>
    <row r="5" spans="1:14" x14ac:dyDescent="0.25">
      <c r="A5" s="2" t="s">
        <v>75</v>
      </c>
      <c r="B5" s="35">
        <v>0</v>
      </c>
      <c r="C5" s="35">
        <v>0</v>
      </c>
      <c r="D5" s="35">
        <v>0</v>
      </c>
      <c r="E5" s="35">
        <v>1</v>
      </c>
      <c r="F5" s="35">
        <v>0</v>
      </c>
      <c r="G5" s="35">
        <v>0</v>
      </c>
      <c r="H5" s="35">
        <v>0</v>
      </c>
      <c r="I5" s="35">
        <v>0</v>
      </c>
      <c r="J5" s="35">
        <v>0</v>
      </c>
      <c r="K5" s="35">
        <v>0</v>
      </c>
      <c r="L5" s="35">
        <v>0</v>
      </c>
      <c r="M5" s="35">
        <v>0</v>
      </c>
      <c r="N5" s="35">
        <v>0</v>
      </c>
    </row>
    <row r="6" spans="1:14" x14ac:dyDescent="0.25">
      <c r="A6" s="2" t="s">
        <v>76</v>
      </c>
      <c r="B6" s="35">
        <v>0</v>
      </c>
      <c r="C6" s="35">
        <v>0</v>
      </c>
      <c r="D6" s="35">
        <v>0</v>
      </c>
      <c r="E6" s="35">
        <v>-1</v>
      </c>
      <c r="F6" s="35">
        <v>1</v>
      </c>
      <c r="G6" s="35">
        <v>0</v>
      </c>
      <c r="H6" s="35">
        <v>0</v>
      </c>
      <c r="I6" s="35">
        <v>0</v>
      </c>
      <c r="J6" s="35">
        <v>0</v>
      </c>
      <c r="K6" s="35">
        <v>0</v>
      </c>
      <c r="L6" s="35">
        <v>0</v>
      </c>
      <c r="M6" s="35">
        <v>0</v>
      </c>
      <c r="N6" s="35">
        <v>0</v>
      </c>
    </row>
    <row r="7" spans="1:14" x14ac:dyDescent="0.25">
      <c r="A7" t="s">
        <v>77</v>
      </c>
      <c r="B7" s="35">
        <v>0</v>
      </c>
      <c r="C7" s="35">
        <v>0</v>
      </c>
      <c r="D7" s="35">
        <v>0</v>
      </c>
      <c r="E7" s="35">
        <v>0</v>
      </c>
      <c r="F7" s="35">
        <v>0</v>
      </c>
      <c r="G7" s="35">
        <v>0</v>
      </c>
      <c r="H7" s="35">
        <v>0</v>
      </c>
      <c r="I7" s="35">
        <v>0</v>
      </c>
      <c r="J7" s="35">
        <v>0</v>
      </c>
      <c r="K7" s="35">
        <v>0</v>
      </c>
      <c r="L7" s="35">
        <v>0</v>
      </c>
      <c r="M7" s="35">
        <v>0</v>
      </c>
      <c r="N7" s="35">
        <v>0</v>
      </c>
    </row>
    <row r="8" spans="1:14" x14ac:dyDescent="0.25">
      <c r="A8" s="2" t="s">
        <v>78</v>
      </c>
      <c r="B8" s="35">
        <v>0</v>
      </c>
      <c r="C8" s="35">
        <v>0</v>
      </c>
      <c r="D8" s="35">
        <v>0</v>
      </c>
      <c r="E8" s="35">
        <v>0</v>
      </c>
      <c r="F8" s="35">
        <v>-1</v>
      </c>
      <c r="G8" s="35">
        <v>0</v>
      </c>
      <c r="H8" s="35">
        <v>1</v>
      </c>
      <c r="I8" s="35">
        <v>0</v>
      </c>
      <c r="J8" s="35">
        <v>0</v>
      </c>
      <c r="K8" s="35">
        <v>0</v>
      </c>
      <c r="L8" s="35">
        <v>0</v>
      </c>
      <c r="M8" s="35">
        <v>0</v>
      </c>
      <c r="N8" s="35">
        <v>0</v>
      </c>
    </row>
    <row r="9" spans="1:14" x14ac:dyDescent="0.25">
      <c r="A9" s="2" t="s">
        <v>79</v>
      </c>
      <c r="B9" s="35">
        <v>0</v>
      </c>
      <c r="C9" s="35">
        <v>0</v>
      </c>
      <c r="D9" s="35">
        <v>0</v>
      </c>
      <c r="E9" s="35">
        <v>0</v>
      </c>
      <c r="F9" s="35">
        <v>0</v>
      </c>
      <c r="G9" s="35">
        <v>0</v>
      </c>
      <c r="H9" s="35">
        <v>-1</v>
      </c>
      <c r="I9" s="35">
        <v>1</v>
      </c>
      <c r="J9" s="35">
        <v>0</v>
      </c>
      <c r="K9" s="35">
        <v>0</v>
      </c>
      <c r="L9" s="35">
        <v>0</v>
      </c>
      <c r="M9" s="35">
        <v>0</v>
      </c>
      <c r="N9" s="35">
        <v>0</v>
      </c>
    </row>
    <row r="10" spans="1:14" x14ac:dyDescent="0.25">
      <c r="A10" s="2" t="s">
        <v>80</v>
      </c>
      <c r="B10" s="35">
        <v>0</v>
      </c>
      <c r="C10" s="35">
        <v>0</v>
      </c>
      <c r="D10" s="35">
        <v>0</v>
      </c>
      <c r="E10" s="35">
        <v>0</v>
      </c>
      <c r="F10" s="35">
        <v>0</v>
      </c>
      <c r="G10" s="35">
        <v>0</v>
      </c>
      <c r="H10" s="35">
        <v>0</v>
      </c>
      <c r="I10" s="35">
        <v>-1</v>
      </c>
      <c r="J10" s="35">
        <v>1</v>
      </c>
      <c r="K10" s="35">
        <v>0</v>
      </c>
      <c r="L10" s="35">
        <v>0</v>
      </c>
      <c r="M10" s="35">
        <v>0</v>
      </c>
      <c r="N10" s="35">
        <v>0</v>
      </c>
    </row>
    <row r="11" spans="1:14" x14ac:dyDescent="0.25">
      <c r="A11" t="s">
        <v>81</v>
      </c>
      <c r="B11" s="35">
        <v>0</v>
      </c>
      <c r="C11" s="35">
        <v>0</v>
      </c>
      <c r="D11" s="35">
        <v>0</v>
      </c>
      <c r="E11" s="35">
        <v>0</v>
      </c>
      <c r="F11" s="35">
        <v>0</v>
      </c>
      <c r="G11" s="35">
        <v>0</v>
      </c>
      <c r="H11" s="35">
        <v>0</v>
      </c>
      <c r="I11" s="35">
        <v>0</v>
      </c>
      <c r="J11" s="35">
        <v>0</v>
      </c>
      <c r="K11" s="35">
        <v>0</v>
      </c>
      <c r="L11" s="35">
        <v>0</v>
      </c>
      <c r="M11" s="35">
        <v>0</v>
      </c>
      <c r="N11" s="35">
        <v>0</v>
      </c>
    </row>
    <row r="12" spans="1:14" x14ac:dyDescent="0.25">
      <c r="A12" t="s">
        <v>82</v>
      </c>
      <c r="B12" s="35">
        <v>0</v>
      </c>
      <c r="C12" s="35">
        <v>0</v>
      </c>
      <c r="D12" s="35">
        <v>0</v>
      </c>
      <c r="E12" s="35">
        <v>0</v>
      </c>
      <c r="F12" s="35">
        <v>0</v>
      </c>
      <c r="G12" s="35">
        <v>0</v>
      </c>
      <c r="H12" s="35">
        <v>0</v>
      </c>
      <c r="I12" s="35">
        <v>0</v>
      </c>
      <c r="J12" s="35">
        <v>0</v>
      </c>
      <c r="K12" s="35">
        <v>0</v>
      </c>
      <c r="L12" s="35">
        <v>0</v>
      </c>
      <c r="M12" s="35">
        <v>0</v>
      </c>
      <c r="N12" s="35">
        <v>0</v>
      </c>
    </row>
    <row r="13" spans="1:14" x14ac:dyDescent="0.25">
      <c r="A13" t="s">
        <v>83</v>
      </c>
      <c r="B13" s="35">
        <v>0</v>
      </c>
      <c r="C13" s="35">
        <v>0</v>
      </c>
      <c r="D13" s="35">
        <v>0</v>
      </c>
      <c r="E13" s="35">
        <v>0</v>
      </c>
      <c r="F13" s="35">
        <v>0</v>
      </c>
      <c r="G13" s="35">
        <v>0</v>
      </c>
      <c r="H13" s="35">
        <v>0</v>
      </c>
      <c r="I13" s="35">
        <v>0</v>
      </c>
      <c r="J13" s="35">
        <v>0</v>
      </c>
      <c r="K13" s="35">
        <v>0</v>
      </c>
      <c r="L13" s="35">
        <v>0</v>
      </c>
      <c r="M13" s="35">
        <v>0</v>
      </c>
      <c r="N13" s="35">
        <v>0</v>
      </c>
    </row>
    <row r="14" spans="1:14" x14ac:dyDescent="0.25">
      <c r="A14" t="s">
        <v>84</v>
      </c>
      <c r="B14" s="35">
        <v>0</v>
      </c>
      <c r="C14" s="35">
        <v>0</v>
      </c>
      <c r="D14" s="35">
        <v>0</v>
      </c>
      <c r="E14" s="35">
        <v>0</v>
      </c>
      <c r="F14" s="35">
        <v>0</v>
      </c>
      <c r="G14" s="35">
        <v>0</v>
      </c>
      <c r="H14" s="35">
        <v>0</v>
      </c>
      <c r="I14" s="35">
        <v>0</v>
      </c>
      <c r="J14" s="35">
        <v>0</v>
      </c>
      <c r="K14" s="35">
        <v>0</v>
      </c>
      <c r="L14" s="35">
        <v>0</v>
      </c>
      <c r="M14" s="35">
        <v>0</v>
      </c>
      <c r="N14" s="35">
        <v>0</v>
      </c>
    </row>
  </sheetData>
  <conditionalFormatting sqref="B2:N14">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920E6-19A2-4075-A8FA-43D906099124}">
  <sheetPr codeName="Sheet47">
    <tabColor rgb="FFFF5050"/>
  </sheetPr>
  <dimension ref="A1:N14"/>
  <sheetViews>
    <sheetView workbookViewId="0">
      <selection activeCell="A2" sqref="A2:A14"/>
    </sheetView>
  </sheetViews>
  <sheetFormatPr defaultRowHeight="15" x14ac:dyDescent="0.25"/>
  <cols>
    <col min="1" max="1" width="23" customWidth="1"/>
  </cols>
  <sheetData>
    <row r="1" spans="1:14" x14ac:dyDescent="0.25">
      <c r="A1" s="15" t="s">
        <v>54</v>
      </c>
      <c r="B1">
        <v>1</v>
      </c>
      <c r="C1">
        <v>2</v>
      </c>
      <c r="D1">
        <v>3</v>
      </c>
      <c r="E1">
        <v>4</v>
      </c>
      <c r="F1">
        <v>5</v>
      </c>
      <c r="G1">
        <v>6</v>
      </c>
      <c r="H1">
        <v>7</v>
      </c>
      <c r="I1">
        <v>8</v>
      </c>
      <c r="J1">
        <v>9</v>
      </c>
      <c r="K1">
        <v>10</v>
      </c>
      <c r="L1">
        <v>11</v>
      </c>
      <c r="M1">
        <v>12</v>
      </c>
      <c r="N1">
        <v>13</v>
      </c>
    </row>
    <row r="2" spans="1:14" x14ac:dyDescent="0.25">
      <c r="A2" t="s">
        <v>72</v>
      </c>
      <c r="B2" s="10">
        <v>1</v>
      </c>
      <c r="C2" s="10">
        <v>0</v>
      </c>
      <c r="D2" s="10">
        <v>0</v>
      </c>
      <c r="E2" s="10">
        <v>0</v>
      </c>
      <c r="F2" s="10">
        <v>0</v>
      </c>
      <c r="G2" s="10">
        <v>0</v>
      </c>
      <c r="H2" s="10">
        <v>0</v>
      </c>
      <c r="I2" s="10">
        <v>0</v>
      </c>
      <c r="J2" s="10">
        <v>0</v>
      </c>
      <c r="K2" s="10">
        <v>0</v>
      </c>
      <c r="L2" s="10">
        <v>0</v>
      </c>
      <c r="M2" s="10">
        <v>0</v>
      </c>
      <c r="N2" s="10">
        <v>0</v>
      </c>
    </row>
    <row r="3" spans="1:14" x14ac:dyDescent="0.25">
      <c r="A3" t="s">
        <v>73</v>
      </c>
      <c r="B3" s="10">
        <v>0</v>
      </c>
      <c r="C3" s="10">
        <v>1</v>
      </c>
      <c r="D3" s="10">
        <v>0</v>
      </c>
      <c r="E3" s="10">
        <v>0</v>
      </c>
      <c r="F3" s="10">
        <v>0</v>
      </c>
      <c r="G3" s="10">
        <v>0</v>
      </c>
      <c r="H3" s="10">
        <v>0</v>
      </c>
      <c r="I3" s="10">
        <v>0</v>
      </c>
      <c r="J3" s="10">
        <v>0</v>
      </c>
      <c r="K3" s="10">
        <v>0</v>
      </c>
      <c r="L3" s="10">
        <v>0</v>
      </c>
      <c r="M3" s="10">
        <v>0</v>
      </c>
      <c r="N3" s="10">
        <v>0</v>
      </c>
    </row>
    <row r="4" spans="1:14" x14ac:dyDescent="0.25">
      <c r="A4" t="s">
        <v>74</v>
      </c>
      <c r="B4" s="10">
        <v>0</v>
      </c>
      <c r="C4" s="10">
        <v>0</v>
      </c>
      <c r="D4" s="10">
        <v>1</v>
      </c>
      <c r="E4" s="10">
        <v>0</v>
      </c>
      <c r="F4" s="10">
        <v>0</v>
      </c>
      <c r="G4" s="10">
        <v>0</v>
      </c>
      <c r="H4" s="10">
        <v>0</v>
      </c>
      <c r="I4" s="10">
        <v>0</v>
      </c>
      <c r="J4" s="10">
        <v>0</v>
      </c>
      <c r="K4" s="10">
        <v>0</v>
      </c>
      <c r="L4" s="10">
        <v>0</v>
      </c>
      <c r="M4" s="10">
        <v>0</v>
      </c>
      <c r="N4" s="10">
        <v>0</v>
      </c>
    </row>
    <row r="5" spans="1:14" x14ac:dyDescent="0.25">
      <c r="A5" s="2" t="s">
        <v>75</v>
      </c>
      <c r="B5" s="30">
        <v>1</v>
      </c>
      <c r="C5" s="10">
        <v>1</v>
      </c>
      <c r="D5" s="10">
        <v>1</v>
      </c>
      <c r="E5" s="10">
        <v>1</v>
      </c>
      <c r="F5" s="10">
        <v>0</v>
      </c>
      <c r="G5" s="10">
        <v>0</v>
      </c>
      <c r="H5" s="10">
        <v>0</v>
      </c>
      <c r="I5" s="10">
        <v>0</v>
      </c>
      <c r="J5" s="10">
        <v>0</v>
      </c>
      <c r="K5" s="10">
        <v>0</v>
      </c>
      <c r="L5" s="10">
        <v>0</v>
      </c>
      <c r="M5" s="10">
        <v>0</v>
      </c>
      <c r="N5" s="10">
        <v>0</v>
      </c>
    </row>
    <row r="6" spans="1:14" x14ac:dyDescent="0.25">
      <c r="A6" s="2" t="s">
        <v>76</v>
      </c>
      <c r="B6" s="10">
        <v>0</v>
      </c>
      <c r="C6" s="10">
        <v>0</v>
      </c>
      <c r="D6" s="10">
        <v>0</v>
      </c>
      <c r="E6" s="10">
        <v>0</v>
      </c>
      <c r="F6" s="10">
        <v>1</v>
      </c>
      <c r="G6" s="10">
        <v>0</v>
      </c>
      <c r="H6" s="10">
        <v>0</v>
      </c>
      <c r="I6" s="10">
        <v>0</v>
      </c>
      <c r="J6" s="10">
        <v>0</v>
      </c>
      <c r="K6" s="10">
        <v>0</v>
      </c>
      <c r="L6" s="10">
        <v>0</v>
      </c>
      <c r="M6" s="10">
        <v>0</v>
      </c>
      <c r="N6" s="10">
        <v>0</v>
      </c>
    </row>
    <row r="7" spans="1:14" x14ac:dyDescent="0.25">
      <c r="A7" t="s">
        <v>77</v>
      </c>
      <c r="B7" s="10">
        <v>0</v>
      </c>
      <c r="C7" s="10">
        <v>0</v>
      </c>
      <c r="D7" s="10">
        <v>0</v>
      </c>
      <c r="E7" s="10">
        <v>0</v>
      </c>
      <c r="F7" s="10">
        <v>0</v>
      </c>
      <c r="G7" s="10">
        <v>1</v>
      </c>
      <c r="H7" s="10">
        <v>0</v>
      </c>
      <c r="I7" s="10">
        <v>0</v>
      </c>
      <c r="J7" s="10">
        <v>0</v>
      </c>
      <c r="K7" s="10">
        <v>0</v>
      </c>
      <c r="L7" s="10">
        <v>0</v>
      </c>
      <c r="M7" s="10">
        <v>0</v>
      </c>
      <c r="N7" s="10">
        <v>0</v>
      </c>
    </row>
    <row r="8" spans="1:14" x14ac:dyDescent="0.25">
      <c r="A8" s="2" t="s">
        <v>78</v>
      </c>
      <c r="B8" s="10">
        <v>0</v>
      </c>
      <c r="C8" s="10">
        <v>0</v>
      </c>
      <c r="D8" s="10">
        <v>0</v>
      </c>
      <c r="E8" s="10">
        <v>0</v>
      </c>
      <c r="F8" s="10">
        <v>0</v>
      </c>
      <c r="G8" s="10">
        <v>1</v>
      </c>
      <c r="H8" s="10">
        <v>1</v>
      </c>
      <c r="I8" s="10">
        <v>0</v>
      </c>
      <c r="J8" s="10">
        <v>0</v>
      </c>
      <c r="K8" s="10">
        <v>0</v>
      </c>
      <c r="L8" s="10">
        <v>0</v>
      </c>
      <c r="M8" s="10">
        <v>0</v>
      </c>
      <c r="N8" s="10">
        <v>0</v>
      </c>
    </row>
    <row r="9" spans="1:14" x14ac:dyDescent="0.25">
      <c r="A9" s="2" t="s">
        <v>79</v>
      </c>
      <c r="B9" s="10">
        <v>0</v>
      </c>
      <c r="C9" s="10">
        <v>0</v>
      </c>
      <c r="D9" s="10">
        <v>0</v>
      </c>
      <c r="E9" s="10">
        <v>0</v>
      </c>
      <c r="F9" s="10">
        <v>0</v>
      </c>
      <c r="G9" s="10">
        <v>0</v>
      </c>
      <c r="H9" s="10">
        <v>0</v>
      </c>
      <c r="I9" s="10">
        <v>1</v>
      </c>
      <c r="J9" s="10">
        <v>0</v>
      </c>
      <c r="K9" s="10">
        <v>0</v>
      </c>
      <c r="L9" s="10">
        <v>0</v>
      </c>
      <c r="M9" s="10">
        <v>0</v>
      </c>
      <c r="N9" s="10">
        <v>0</v>
      </c>
    </row>
    <row r="10" spans="1:14" x14ac:dyDescent="0.25">
      <c r="A10" s="2" t="s">
        <v>80</v>
      </c>
      <c r="B10" s="10">
        <v>0</v>
      </c>
      <c r="C10" s="10">
        <v>0</v>
      </c>
      <c r="D10" s="10">
        <v>0</v>
      </c>
      <c r="E10" s="10">
        <v>0</v>
      </c>
      <c r="F10" s="10">
        <v>0</v>
      </c>
      <c r="G10" s="10">
        <v>0</v>
      </c>
      <c r="H10" s="10">
        <v>0</v>
      </c>
      <c r="I10" s="10">
        <v>0</v>
      </c>
      <c r="J10" s="10">
        <v>1</v>
      </c>
      <c r="K10" s="10">
        <v>0</v>
      </c>
      <c r="L10" s="10">
        <v>0</v>
      </c>
      <c r="M10" s="10">
        <v>0</v>
      </c>
      <c r="N10" s="10">
        <v>0</v>
      </c>
    </row>
    <row r="11" spans="1:14" x14ac:dyDescent="0.25">
      <c r="A11" t="s">
        <v>81</v>
      </c>
      <c r="B11" s="10">
        <v>0</v>
      </c>
      <c r="C11" s="10">
        <v>0</v>
      </c>
      <c r="D11" s="10">
        <v>0</v>
      </c>
      <c r="E11" s="10">
        <v>0</v>
      </c>
      <c r="F11" s="10">
        <v>0</v>
      </c>
      <c r="G11" s="10">
        <v>0</v>
      </c>
      <c r="H11" s="10">
        <v>0</v>
      </c>
      <c r="I11" s="10">
        <v>0</v>
      </c>
      <c r="J11" s="10">
        <v>0</v>
      </c>
      <c r="K11" s="10">
        <v>1</v>
      </c>
      <c r="L11" s="10">
        <v>0</v>
      </c>
      <c r="M11" s="10">
        <v>0</v>
      </c>
      <c r="N11" s="10">
        <v>0</v>
      </c>
    </row>
    <row r="12" spans="1:14" x14ac:dyDescent="0.25">
      <c r="A12" t="s">
        <v>82</v>
      </c>
      <c r="B12" s="10">
        <v>0</v>
      </c>
      <c r="C12" s="10">
        <v>0</v>
      </c>
      <c r="D12" s="10">
        <v>0</v>
      </c>
      <c r="E12" s="10">
        <v>0</v>
      </c>
      <c r="F12" s="10">
        <v>0</v>
      </c>
      <c r="G12" s="10">
        <v>0</v>
      </c>
      <c r="H12" s="10">
        <v>0</v>
      </c>
      <c r="I12" s="10">
        <v>0</v>
      </c>
      <c r="J12" s="10">
        <v>0</v>
      </c>
      <c r="K12" s="10">
        <v>0</v>
      </c>
      <c r="L12" s="10">
        <v>1</v>
      </c>
      <c r="M12" s="10">
        <v>0</v>
      </c>
      <c r="N12" s="10">
        <v>0</v>
      </c>
    </row>
    <row r="13" spans="1:14" x14ac:dyDescent="0.25">
      <c r="A13" t="s">
        <v>83</v>
      </c>
      <c r="B13" s="10">
        <v>0</v>
      </c>
      <c r="C13" s="10">
        <v>0</v>
      </c>
      <c r="D13" s="10">
        <v>0</v>
      </c>
      <c r="E13" s="10">
        <v>0</v>
      </c>
      <c r="F13" s="10">
        <v>0</v>
      </c>
      <c r="G13" s="10">
        <v>0</v>
      </c>
      <c r="H13" s="10">
        <v>0</v>
      </c>
      <c r="I13" s="10">
        <v>0</v>
      </c>
      <c r="J13" s="10">
        <v>0</v>
      </c>
      <c r="K13" s="10">
        <v>0</v>
      </c>
      <c r="L13" s="10">
        <v>1</v>
      </c>
      <c r="M13" s="10">
        <v>1</v>
      </c>
      <c r="N13" s="10">
        <v>0</v>
      </c>
    </row>
    <row r="14" spans="1:14" x14ac:dyDescent="0.25">
      <c r="A14" t="s">
        <v>84</v>
      </c>
      <c r="B14" s="10">
        <v>0</v>
      </c>
      <c r="C14" s="10">
        <v>0</v>
      </c>
      <c r="D14" s="10">
        <v>0</v>
      </c>
      <c r="E14" s="10">
        <v>0</v>
      </c>
      <c r="F14" s="10">
        <v>0</v>
      </c>
      <c r="G14" s="10">
        <v>0</v>
      </c>
      <c r="H14" s="10">
        <v>0</v>
      </c>
      <c r="I14" s="10">
        <v>0</v>
      </c>
      <c r="J14" s="10">
        <v>0</v>
      </c>
      <c r="K14" s="10">
        <v>0</v>
      </c>
      <c r="L14" s="10">
        <v>0</v>
      </c>
      <c r="M14" s="10">
        <v>0</v>
      </c>
      <c r="N14" s="10">
        <v>1</v>
      </c>
    </row>
  </sheetData>
  <conditionalFormatting sqref="B2:N14">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C5E27-6715-4E2D-9A39-1AD14B4E0703}">
  <sheetPr codeName="Sheet49">
    <tabColor rgb="FFFF5050"/>
  </sheetPr>
  <dimension ref="A1:N14"/>
  <sheetViews>
    <sheetView workbookViewId="0">
      <selection activeCell="O32" sqref="O32"/>
    </sheetView>
  </sheetViews>
  <sheetFormatPr defaultRowHeight="15" x14ac:dyDescent="0.25"/>
  <cols>
    <col min="1" max="1" width="23" customWidth="1"/>
  </cols>
  <sheetData>
    <row r="1" spans="1:14" x14ac:dyDescent="0.25">
      <c r="A1" s="15" t="s">
        <v>54</v>
      </c>
      <c r="B1">
        <v>1</v>
      </c>
      <c r="C1">
        <v>2</v>
      </c>
      <c r="D1">
        <v>3</v>
      </c>
      <c r="E1">
        <v>4</v>
      </c>
      <c r="F1">
        <v>5</v>
      </c>
      <c r="G1">
        <v>6</v>
      </c>
      <c r="H1">
        <v>7</v>
      </c>
      <c r="I1">
        <v>8</v>
      </c>
      <c r="J1">
        <v>9</v>
      </c>
      <c r="K1">
        <v>10</v>
      </c>
      <c r="L1">
        <v>11</v>
      </c>
      <c r="M1">
        <v>12</v>
      </c>
      <c r="N1">
        <v>13</v>
      </c>
    </row>
    <row r="2" spans="1:14" x14ac:dyDescent="0.25">
      <c r="A2" t="s">
        <v>72</v>
      </c>
      <c r="B2" s="10">
        <v>1</v>
      </c>
      <c r="C2" s="10">
        <v>0</v>
      </c>
      <c r="D2" s="10">
        <v>0</v>
      </c>
      <c r="E2" s="10">
        <v>0</v>
      </c>
      <c r="F2" s="10">
        <v>0</v>
      </c>
      <c r="G2" s="10">
        <v>0</v>
      </c>
      <c r="H2" s="10">
        <v>0</v>
      </c>
      <c r="I2" s="10">
        <v>0</v>
      </c>
      <c r="J2" s="10">
        <v>0</v>
      </c>
      <c r="K2" s="10">
        <v>0</v>
      </c>
      <c r="L2" s="10">
        <v>0</v>
      </c>
      <c r="M2" s="10">
        <v>0</v>
      </c>
      <c r="N2" s="10">
        <v>0</v>
      </c>
    </row>
    <row r="3" spans="1:14" x14ac:dyDescent="0.25">
      <c r="A3" t="s">
        <v>73</v>
      </c>
      <c r="B3" s="10">
        <v>0</v>
      </c>
      <c r="C3" s="10">
        <v>1</v>
      </c>
      <c r="D3" s="10">
        <v>0</v>
      </c>
      <c r="E3" s="10">
        <v>0</v>
      </c>
      <c r="F3" s="10">
        <v>0</v>
      </c>
      <c r="G3" s="10">
        <v>0</v>
      </c>
      <c r="H3" s="10">
        <v>0</v>
      </c>
      <c r="I3" s="10">
        <v>0</v>
      </c>
      <c r="J3" s="10">
        <v>0</v>
      </c>
      <c r="K3" s="10">
        <v>0</v>
      </c>
      <c r="L3" s="10">
        <v>0</v>
      </c>
      <c r="M3" s="10">
        <v>0</v>
      </c>
      <c r="N3" s="10">
        <v>0</v>
      </c>
    </row>
    <row r="4" spans="1:14" x14ac:dyDescent="0.25">
      <c r="A4" t="s">
        <v>74</v>
      </c>
      <c r="B4" s="10">
        <v>0</v>
      </c>
      <c r="C4" s="10">
        <v>0</v>
      </c>
      <c r="D4" s="10">
        <v>1</v>
      </c>
      <c r="E4" s="10">
        <v>0</v>
      </c>
      <c r="F4" s="10">
        <v>0</v>
      </c>
      <c r="G4" s="10">
        <v>0</v>
      </c>
      <c r="H4" s="10">
        <v>0</v>
      </c>
      <c r="I4" s="10">
        <v>0</v>
      </c>
      <c r="J4" s="10">
        <v>0</v>
      </c>
      <c r="K4" s="10">
        <v>0</v>
      </c>
      <c r="L4" s="10">
        <v>0</v>
      </c>
      <c r="M4" s="10">
        <v>0</v>
      </c>
      <c r="N4" s="10">
        <v>0</v>
      </c>
    </row>
    <row r="5" spans="1:14" x14ac:dyDescent="0.25">
      <c r="A5" s="2" t="s">
        <v>75</v>
      </c>
      <c r="B5" s="30">
        <v>1</v>
      </c>
      <c r="C5" s="10">
        <v>1</v>
      </c>
      <c r="D5" s="10">
        <v>1</v>
      </c>
      <c r="E5" s="10">
        <v>1</v>
      </c>
      <c r="F5" s="10">
        <v>0</v>
      </c>
      <c r="G5" s="10">
        <v>0</v>
      </c>
      <c r="H5" s="10">
        <v>0</v>
      </c>
      <c r="I5" s="10">
        <v>0</v>
      </c>
      <c r="J5" s="10">
        <v>0</v>
      </c>
      <c r="K5" s="10">
        <v>0</v>
      </c>
      <c r="L5" s="10">
        <v>0</v>
      </c>
      <c r="M5" s="10">
        <v>0</v>
      </c>
      <c r="N5" s="10">
        <v>0</v>
      </c>
    </row>
    <row r="6" spans="1:14" x14ac:dyDescent="0.25">
      <c r="A6" s="2" t="s">
        <v>76</v>
      </c>
      <c r="B6" s="30">
        <v>1</v>
      </c>
      <c r="C6" s="10">
        <v>1</v>
      </c>
      <c r="D6" s="10">
        <v>1</v>
      </c>
      <c r="E6" s="10">
        <v>1</v>
      </c>
      <c r="F6" s="10">
        <v>1</v>
      </c>
      <c r="G6" s="10">
        <v>0</v>
      </c>
      <c r="H6" s="10">
        <v>0</v>
      </c>
      <c r="I6" s="10">
        <v>0</v>
      </c>
      <c r="J6" s="10">
        <v>0</v>
      </c>
      <c r="K6" s="10">
        <v>0</v>
      </c>
      <c r="L6" s="10">
        <v>0</v>
      </c>
      <c r="M6" s="10">
        <v>0</v>
      </c>
      <c r="N6" s="10">
        <v>0</v>
      </c>
    </row>
    <row r="7" spans="1:14" x14ac:dyDescent="0.25">
      <c r="A7" t="s">
        <v>77</v>
      </c>
      <c r="B7" s="10">
        <v>0</v>
      </c>
      <c r="C7" s="10">
        <v>0</v>
      </c>
      <c r="D7" s="10">
        <v>0</v>
      </c>
      <c r="E7" s="10">
        <v>0</v>
      </c>
      <c r="F7" s="10">
        <v>0</v>
      </c>
      <c r="G7" s="10">
        <v>1</v>
      </c>
      <c r="H7" s="10">
        <v>0</v>
      </c>
      <c r="I7" s="10">
        <v>0</v>
      </c>
      <c r="J7" s="10">
        <v>0</v>
      </c>
      <c r="K7" s="10">
        <v>0</v>
      </c>
      <c r="L7" s="10">
        <v>0</v>
      </c>
      <c r="M7" s="10">
        <v>0</v>
      </c>
      <c r="N7" s="10">
        <v>0</v>
      </c>
    </row>
    <row r="8" spans="1:14" x14ac:dyDescent="0.25">
      <c r="A8" s="2" t="s">
        <v>78</v>
      </c>
      <c r="B8" s="30">
        <v>1</v>
      </c>
      <c r="C8" s="10">
        <v>1</v>
      </c>
      <c r="D8" s="10">
        <v>1</v>
      </c>
      <c r="E8" s="10">
        <v>1</v>
      </c>
      <c r="F8" s="10">
        <v>1</v>
      </c>
      <c r="G8" s="10">
        <v>1</v>
      </c>
      <c r="H8" s="10">
        <v>1</v>
      </c>
      <c r="I8" s="10">
        <v>0</v>
      </c>
      <c r="J8" s="10">
        <v>0</v>
      </c>
      <c r="K8" s="10">
        <v>0</v>
      </c>
      <c r="L8" s="10">
        <v>0</v>
      </c>
      <c r="M8" s="10">
        <v>0</v>
      </c>
      <c r="N8" s="10">
        <v>0</v>
      </c>
    </row>
    <row r="9" spans="1:14" x14ac:dyDescent="0.25">
      <c r="A9" s="2" t="s">
        <v>79</v>
      </c>
      <c r="B9" s="30">
        <v>1</v>
      </c>
      <c r="C9" s="10">
        <v>1</v>
      </c>
      <c r="D9" s="10">
        <v>1</v>
      </c>
      <c r="E9" s="10">
        <v>1</v>
      </c>
      <c r="F9" s="10">
        <v>1</v>
      </c>
      <c r="G9" s="10">
        <v>1</v>
      </c>
      <c r="H9" s="10">
        <v>1</v>
      </c>
      <c r="I9" s="10">
        <v>1</v>
      </c>
      <c r="J9" s="10">
        <v>0</v>
      </c>
      <c r="K9" s="10">
        <v>0</v>
      </c>
      <c r="L9" s="10">
        <v>0</v>
      </c>
      <c r="M9" s="10">
        <v>0</v>
      </c>
      <c r="N9" s="10">
        <v>0</v>
      </c>
    </row>
    <row r="10" spans="1:14" x14ac:dyDescent="0.25">
      <c r="A10" s="2" t="s">
        <v>80</v>
      </c>
      <c r="B10" s="30">
        <v>1</v>
      </c>
      <c r="C10" s="10">
        <v>1</v>
      </c>
      <c r="D10" s="10">
        <v>1</v>
      </c>
      <c r="E10" s="10">
        <v>1</v>
      </c>
      <c r="F10" s="10">
        <v>1</v>
      </c>
      <c r="G10" s="10">
        <v>1</v>
      </c>
      <c r="H10" s="10">
        <v>1</v>
      </c>
      <c r="I10" s="10">
        <v>1</v>
      </c>
      <c r="J10" s="10">
        <v>1</v>
      </c>
      <c r="K10" s="10">
        <v>0</v>
      </c>
      <c r="L10" s="10">
        <v>0</v>
      </c>
      <c r="M10" s="10">
        <v>0</v>
      </c>
      <c r="N10" s="10">
        <v>0</v>
      </c>
    </row>
    <row r="11" spans="1:14" x14ac:dyDescent="0.25">
      <c r="A11" t="s">
        <v>81</v>
      </c>
      <c r="B11" s="10">
        <v>1</v>
      </c>
      <c r="C11" s="10">
        <v>1</v>
      </c>
      <c r="D11" s="10">
        <v>1</v>
      </c>
      <c r="E11" s="10">
        <v>1</v>
      </c>
      <c r="F11" s="10">
        <v>1</v>
      </c>
      <c r="G11" s="10">
        <v>1</v>
      </c>
      <c r="H11" s="10">
        <v>1</v>
      </c>
      <c r="I11" s="10">
        <v>1</v>
      </c>
      <c r="J11" s="10">
        <v>1</v>
      </c>
      <c r="K11" s="10">
        <v>1</v>
      </c>
      <c r="L11" s="10">
        <v>0</v>
      </c>
      <c r="M11" s="10">
        <v>0</v>
      </c>
      <c r="N11" s="10">
        <v>0</v>
      </c>
    </row>
    <row r="12" spans="1:14" x14ac:dyDescent="0.25">
      <c r="A12" t="s">
        <v>82</v>
      </c>
      <c r="B12" s="10">
        <v>0</v>
      </c>
      <c r="C12" s="10">
        <v>0</v>
      </c>
      <c r="D12" s="10">
        <v>0</v>
      </c>
      <c r="E12" s="10">
        <v>0</v>
      </c>
      <c r="F12" s="10">
        <v>0</v>
      </c>
      <c r="G12" s="10">
        <v>0</v>
      </c>
      <c r="H12" s="10">
        <v>0</v>
      </c>
      <c r="I12" s="10">
        <v>0</v>
      </c>
      <c r="J12" s="10">
        <v>0</v>
      </c>
      <c r="K12" s="10">
        <v>0</v>
      </c>
      <c r="L12" s="10">
        <v>1</v>
      </c>
      <c r="M12" s="10">
        <v>0</v>
      </c>
      <c r="N12" s="10">
        <v>0</v>
      </c>
    </row>
    <row r="13" spans="1:14" x14ac:dyDescent="0.25">
      <c r="A13" t="s">
        <v>83</v>
      </c>
      <c r="B13" s="10">
        <v>1</v>
      </c>
      <c r="C13" s="10">
        <v>1</v>
      </c>
      <c r="D13" s="10">
        <v>1</v>
      </c>
      <c r="E13" s="10">
        <v>1</v>
      </c>
      <c r="F13" s="10">
        <v>1</v>
      </c>
      <c r="G13" s="10">
        <v>1</v>
      </c>
      <c r="H13" s="10">
        <v>1</v>
      </c>
      <c r="I13" s="10">
        <v>1</v>
      </c>
      <c r="J13" s="10">
        <v>1</v>
      </c>
      <c r="K13" s="10">
        <v>1</v>
      </c>
      <c r="L13" s="10">
        <v>1</v>
      </c>
      <c r="M13" s="10">
        <v>1</v>
      </c>
      <c r="N13" s="10">
        <v>0</v>
      </c>
    </row>
    <row r="14" spans="1:14" x14ac:dyDescent="0.25">
      <c r="A14" t="s">
        <v>84</v>
      </c>
      <c r="B14" s="10">
        <v>1</v>
      </c>
      <c r="C14" s="10">
        <v>1</v>
      </c>
      <c r="D14" s="10">
        <v>1</v>
      </c>
      <c r="E14" s="10">
        <v>1</v>
      </c>
      <c r="F14" s="10">
        <v>1</v>
      </c>
      <c r="G14" s="10">
        <v>1</v>
      </c>
      <c r="H14" s="10">
        <v>1</v>
      </c>
      <c r="I14" s="10">
        <v>1</v>
      </c>
      <c r="J14" s="10">
        <v>1</v>
      </c>
      <c r="K14" s="10">
        <v>1</v>
      </c>
      <c r="L14" s="10">
        <v>1</v>
      </c>
      <c r="M14" s="10">
        <v>1</v>
      </c>
      <c r="N14" s="10">
        <v>1</v>
      </c>
    </row>
  </sheetData>
  <conditionalFormatting sqref="B2:N14">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8F57D-76CF-409C-8428-30A279542066}">
  <sheetPr codeName="Sheet53">
    <tabColor rgb="FFFF5050"/>
  </sheetPr>
  <dimension ref="A1:N14"/>
  <sheetViews>
    <sheetView workbookViewId="0">
      <selection activeCell="J34" sqref="J34"/>
    </sheetView>
  </sheetViews>
  <sheetFormatPr defaultRowHeight="15" x14ac:dyDescent="0.25"/>
  <cols>
    <col min="1" max="1" width="23" customWidth="1"/>
  </cols>
  <sheetData>
    <row r="1" spans="1:14" x14ac:dyDescent="0.25">
      <c r="A1" s="15" t="s">
        <v>56</v>
      </c>
      <c r="B1">
        <v>1</v>
      </c>
      <c r="C1">
        <v>2</v>
      </c>
      <c r="D1">
        <v>3</v>
      </c>
      <c r="E1">
        <v>4</v>
      </c>
      <c r="F1">
        <v>5</v>
      </c>
      <c r="G1">
        <v>6</v>
      </c>
      <c r="H1">
        <v>7</v>
      </c>
      <c r="I1">
        <v>8</v>
      </c>
      <c r="J1">
        <v>9</v>
      </c>
      <c r="K1">
        <v>10</v>
      </c>
      <c r="L1">
        <v>11</v>
      </c>
      <c r="M1">
        <v>12</v>
      </c>
      <c r="N1">
        <v>13</v>
      </c>
    </row>
    <row r="2" spans="1:14" x14ac:dyDescent="0.25">
      <c r="A2" t="s">
        <v>72</v>
      </c>
      <c r="B2" s="10">
        <v>1</v>
      </c>
      <c r="C2" s="10">
        <v>1</v>
      </c>
      <c r="D2" s="10">
        <v>1</v>
      </c>
      <c r="E2" s="10">
        <v>1</v>
      </c>
      <c r="F2" s="10">
        <v>1</v>
      </c>
      <c r="G2" s="10">
        <v>1</v>
      </c>
      <c r="H2" s="10">
        <v>1</v>
      </c>
      <c r="I2" s="10">
        <v>1</v>
      </c>
      <c r="J2" s="10">
        <v>1</v>
      </c>
      <c r="K2" s="10">
        <v>1</v>
      </c>
      <c r="L2" s="10">
        <v>1</v>
      </c>
      <c r="M2" s="10">
        <v>1</v>
      </c>
      <c r="N2" s="10">
        <v>1</v>
      </c>
    </row>
    <row r="3" spans="1:14" x14ac:dyDescent="0.25">
      <c r="A3" t="s">
        <v>73</v>
      </c>
      <c r="B3" s="10">
        <v>0</v>
      </c>
      <c r="C3" s="10">
        <v>1</v>
      </c>
      <c r="D3" s="10">
        <v>1</v>
      </c>
      <c r="E3" s="10">
        <v>1</v>
      </c>
      <c r="F3" s="10">
        <v>1</v>
      </c>
      <c r="G3" s="10">
        <v>1</v>
      </c>
      <c r="H3" s="10">
        <v>1</v>
      </c>
      <c r="I3" s="10">
        <v>1</v>
      </c>
      <c r="J3" s="10">
        <v>1</v>
      </c>
      <c r="K3" s="10">
        <v>1</v>
      </c>
      <c r="L3" s="10">
        <v>1</v>
      </c>
      <c r="M3" s="10">
        <v>1</v>
      </c>
      <c r="N3" s="10">
        <v>1</v>
      </c>
    </row>
    <row r="4" spans="1:14" x14ac:dyDescent="0.25">
      <c r="A4" t="s">
        <v>74</v>
      </c>
      <c r="B4" s="10">
        <v>0</v>
      </c>
      <c r="C4" s="10">
        <v>0</v>
      </c>
      <c r="D4" s="10">
        <v>1</v>
      </c>
      <c r="E4" s="10">
        <v>1</v>
      </c>
      <c r="F4" s="10">
        <v>1</v>
      </c>
      <c r="G4" s="10">
        <v>1</v>
      </c>
      <c r="H4" s="10">
        <v>1</v>
      </c>
      <c r="I4" s="10">
        <v>1</v>
      </c>
      <c r="J4" s="10">
        <v>1</v>
      </c>
      <c r="K4" s="10">
        <v>1</v>
      </c>
      <c r="L4" s="10">
        <v>1</v>
      </c>
      <c r="M4" s="10">
        <v>1</v>
      </c>
      <c r="N4" s="10">
        <v>1</v>
      </c>
    </row>
    <row r="5" spans="1:14" x14ac:dyDescent="0.25">
      <c r="A5" s="2" t="s">
        <v>75</v>
      </c>
      <c r="B5" s="30">
        <v>0</v>
      </c>
      <c r="C5" s="10">
        <v>0</v>
      </c>
      <c r="D5" s="10">
        <v>0</v>
      </c>
      <c r="E5" s="10">
        <v>1</v>
      </c>
      <c r="F5" s="10">
        <v>1</v>
      </c>
      <c r="G5" s="10">
        <v>1</v>
      </c>
      <c r="H5" s="10">
        <v>1</v>
      </c>
      <c r="I5" s="10">
        <v>1</v>
      </c>
      <c r="J5" s="10">
        <v>1</v>
      </c>
      <c r="K5" s="10">
        <v>1</v>
      </c>
      <c r="L5" s="10">
        <v>1</v>
      </c>
      <c r="M5" s="10">
        <v>1</v>
      </c>
      <c r="N5" s="10">
        <v>1</v>
      </c>
    </row>
    <row r="6" spans="1:14" x14ac:dyDescent="0.25">
      <c r="A6" s="2" t="s">
        <v>76</v>
      </c>
      <c r="B6" s="30">
        <v>0</v>
      </c>
      <c r="C6" s="10">
        <v>0</v>
      </c>
      <c r="D6" s="10">
        <v>0</v>
      </c>
      <c r="E6" s="10">
        <v>0</v>
      </c>
      <c r="F6" s="10">
        <v>1</v>
      </c>
      <c r="G6" s="10">
        <v>1</v>
      </c>
      <c r="H6" s="10">
        <v>1</v>
      </c>
      <c r="I6" s="10">
        <v>1</v>
      </c>
      <c r="J6" s="10">
        <v>1</v>
      </c>
      <c r="K6" s="10">
        <v>1</v>
      </c>
      <c r="L6" s="10">
        <v>1</v>
      </c>
      <c r="M6" s="10">
        <v>1</v>
      </c>
      <c r="N6" s="10">
        <v>1</v>
      </c>
    </row>
    <row r="7" spans="1:14" x14ac:dyDescent="0.25">
      <c r="A7" t="s">
        <v>77</v>
      </c>
      <c r="B7" s="10">
        <v>0</v>
      </c>
      <c r="C7" s="10">
        <v>0</v>
      </c>
      <c r="D7" s="10">
        <v>0</v>
      </c>
      <c r="E7" s="10">
        <v>0</v>
      </c>
      <c r="F7" s="10">
        <v>0</v>
      </c>
      <c r="G7" s="10">
        <v>1</v>
      </c>
      <c r="H7" s="10">
        <v>1</v>
      </c>
      <c r="I7" s="10">
        <v>1</v>
      </c>
      <c r="J7" s="10">
        <v>1</v>
      </c>
      <c r="K7" s="10">
        <v>1</v>
      </c>
      <c r="L7" s="10">
        <v>1</v>
      </c>
      <c r="M7" s="10">
        <v>1</v>
      </c>
      <c r="N7" s="10">
        <v>1</v>
      </c>
    </row>
    <row r="8" spans="1:14" x14ac:dyDescent="0.25">
      <c r="A8" s="2" t="s">
        <v>78</v>
      </c>
      <c r="B8" s="30">
        <v>0</v>
      </c>
      <c r="C8" s="10">
        <v>0</v>
      </c>
      <c r="D8" s="10">
        <v>0</v>
      </c>
      <c r="E8" s="10">
        <v>0</v>
      </c>
      <c r="F8" s="10">
        <v>0</v>
      </c>
      <c r="G8" s="10">
        <v>0</v>
      </c>
      <c r="H8" s="10">
        <v>1</v>
      </c>
      <c r="I8" s="10">
        <v>1</v>
      </c>
      <c r="J8" s="10">
        <v>1</v>
      </c>
      <c r="K8" s="10">
        <v>1</v>
      </c>
      <c r="L8" s="10">
        <v>1</v>
      </c>
      <c r="M8" s="10">
        <v>1</v>
      </c>
      <c r="N8" s="10">
        <v>1</v>
      </c>
    </row>
    <row r="9" spans="1:14" x14ac:dyDescent="0.25">
      <c r="A9" s="2" t="s">
        <v>79</v>
      </c>
      <c r="B9" s="30">
        <v>0</v>
      </c>
      <c r="C9" s="10">
        <v>0</v>
      </c>
      <c r="D9" s="10">
        <v>0</v>
      </c>
      <c r="E9" s="10">
        <v>0</v>
      </c>
      <c r="F9" s="10">
        <v>0</v>
      </c>
      <c r="G9" s="10">
        <v>0</v>
      </c>
      <c r="H9" s="10">
        <v>0</v>
      </c>
      <c r="I9" s="10">
        <v>1</v>
      </c>
      <c r="J9" s="10">
        <v>1</v>
      </c>
      <c r="K9" s="10">
        <v>1</v>
      </c>
      <c r="L9" s="10">
        <v>1</v>
      </c>
      <c r="M9" s="10">
        <v>1</v>
      </c>
      <c r="N9" s="10">
        <v>1</v>
      </c>
    </row>
    <row r="10" spans="1:14" x14ac:dyDescent="0.25">
      <c r="A10" s="2" t="s">
        <v>80</v>
      </c>
      <c r="B10" s="30">
        <v>0</v>
      </c>
      <c r="C10" s="10">
        <v>0</v>
      </c>
      <c r="D10" s="10">
        <v>0</v>
      </c>
      <c r="E10" s="10">
        <v>0</v>
      </c>
      <c r="F10" s="10">
        <v>0</v>
      </c>
      <c r="G10" s="10">
        <v>0</v>
      </c>
      <c r="H10" s="10">
        <v>0</v>
      </c>
      <c r="I10" s="10">
        <v>0</v>
      </c>
      <c r="J10" s="10">
        <v>1</v>
      </c>
      <c r="K10" s="10">
        <v>1</v>
      </c>
      <c r="L10" s="10">
        <v>1</v>
      </c>
      <c r="M10" s="10">
        <v>1</v>
      </c>
      <c r="N10" s="10">
        <v>1</v>
      </c>
    </row>
    <row r="11" spans="1:14" x14ac:dyDescent="0.25">
      <c r="A11" t="s">
        <v>81</v>
      </c>
      <c r="B11" s="10">
        <v>0</v>
      </c>
      <c r="C11" s="10">
        <v>0</v>
      </c>
      <c r="D11" s="10">
        <v>0</v>
      </c>
      <c r="E11" s="10">
        <v>0</v>
      </c>
      <c r="F11" s="10">
        <v>0</v>
      </c>
      <c r="G11" s="10">
        <v>0</v>
      </c>
      <c r="H11" s="10">
        <v>0</v>
      </c>
      <c r="I11" s="10">
        <v>0</v>
      </c>
      <c r="J11" s="10">
        <v>0</v>
      </c>
      <c r="K11" s="10">
        <v>1</v>
      </c>
      <c r="L11" s="10">
        <v>1</v>
      </c>
      <c r="M11" s="10">
        <v>1</v>
      </c>
      <c r="N11" s="10">
        <v>1</v>
      </c>
    </row>
    <row r="12" spans="1:14" x14ac:dyDescent="0.25">
      <c r="A12" t="s">
        <v>82</v>
      </c>
      <c r="B12" s="10">
        <v>0</v>
      </c>
      <c r="C12" s="10">
        <v>0</v>
      </c>
      <c r="D12" s="10">
        <v>0</v>
      </c>
      <c r="E12" s="10">
        <v>0</v>
      </c>
      <c r="F12" s="10">
        <v>0</v>
      </c>
      <c r="G12" s="10">
        <v>0</v>
      </c>
      <c r="H12" s="10">
        <v>0</v>
      </c>
      <c r="I12" s="10">
        <v>0</v>
      </c>
      <c r="J12" s="10">
        <v>0</v>
      </c>
      <c r="K12" s="10">
        <v>0</v>
      </c>
      <c r="L12" s="10">
        <v>1</v>
      </c>
      <c r="M12" s="10">
        <v>1</v>
      </c>
      <c r="N12" s="10">
        <v>1</v>
      </c>
    </row>
    <row r="13" spans="1:14" x14ac:dyDescent="0.25">
      <c r="A13" t="s">
        <v>83</v>
      </c>
      <c r="B13" s="10">
        <v>0</v>
      </c>
      <c r="C13" s="10">
        <v>0</v>
      </c>
      <c r="D13" s="10">
        <v>0</v>
      </c>
      <c r="E13" s="10">
        <v>0</v>
      </c>
      <c r="F13" s="10">
        <v>0</v>
      </c>
      <c r="G13" s="10">
        <v>0</v>
      </c>
      <c r="H13" s="10">
        <v>0</v>
      </c>
      <c r="I13" s="10">
        <v>0</v>
      </c>
      <c r="J13" s="10">
        <v>0</v>
      </c>
      <c r="K13" s="10">
        <v>0</v>
      </c>
      <c r="L13" s="10">
        <v>0</v>
      </c>
      <c r="M13" s="10">
        <v>1</v>
      </c>
      <c r="N13" s="10">
        <v>1</v>
      </c>
    </row>
    <row r="14" spans="1:14" x14ac:dyDescent="0.25">
      <c r="A14" t="s">
        <v>84</v>
      </c>
      <c r="B14" s="10">
        <v>0</v>
      </c>
      <c r="C14" s="10">
        <v>0</v>
      </c>
      <c r="D14" s="10">
        <v>0</v>
      </c>
      <c r="E14" s="10">
        <v>0</v>
      </c>
      <c r="F14" s="10">
        <v>0</v>
      </c>
      <c r="G14" s="10">
        <v>0</v>
      </c>
      <c r="H14" s="10">
        <v>0</v>
      </c>
      <c r="I14" s="10">
        <v>0</v>
      </c>
      <c r="J14" s="10">
        <v>0</v>
      </c>
      <c r="K14" s="10">
        <v>0</v>
      </c>
      <c r="L14" s="10">
        <v>0</v>
      </c>
      <c r="M14" s="10">
        <v>0</v>
      </c>
      <c r="N14" s="10">
        <v>1</v>
      </c>
    </row>
  </sheetData>
  <conditionalFormatting sqref="B2:N14">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24061-B464-4865-8043-BA4EE76AACDB}">
  <sheetPr codeName="Sheet63">
    <tabColor rgb="FF00B050"/>
  </sheetPr>
  <dimension ref="A1:B15"/>
  <sheetViews>
    <sheetView workbookViewId="0">
      <selection activeCell="B11" sqref="B11"/>
    </sheetView>
  </sheetViews>
  <sheetFormatPr defaultRowHeight="15" x14ac:dyDescent="0.25"/>
  <cols>
    <col min="1" max="1" width="23" customWidth="1"/>
    <col min="2" max="2" width="15.33203125" customWidth="1"/>
  </cols>
  <sheetData>
    <row r="1" spans="1:2" x14ac:dyDescent="0.25">
      <c r="A1" t="s">
        <v>85</v>
      </c>
      <c r="B1" t="s">
        <v>85</v>
      </c>
    </row>
    <row r="2" spans="1:2" x14ac:dyDescent="0.25">
      <c r="A2" t="s">
        <v>21</v>
      </c>
      <c r="B2" t="s">
        <v>180</v>
      </c>
    </row>
    <row r="3" spans="1:2" x14ac:dyDescent="0.25">
      <c r="A3" t="s">
        <v>22</v>
      </c>
      <c r="B3" t="s">
        <v>176</v>
      </c>
    </row>
    <row r="4" spans="1:2" x14ac:dyDescent="0.25">
      <c r="A4" t="s">
        <v>17</v>
      </c>
      <c r="B4" t="s">
        <v>177</v>
      </c>
    </row>
    <row r="5" spans="1:2" x14ac:dyDescent="0.25">
      <c r="A5" t="s">
        <v>0</v>
      </c>
      <c r="B5" t="s">
        <v>184</v>
      </c>
    </row>
    <row r="6" spans="1:2" x14ac:dyDescent="0.25">
      <c r="A6" t="s">
        <v>16</v>
      </c>
      <c r="B6" t="s">
        <v>174</v>
      </c>
    </row>
    <row r="7" spans="1:2" x14ac:dyDescent="0.25">
      <c r="A7" t="s">
        <v>18</v>
      </c>
      <c r="B7" t="s">
        <v>178</v>
      </c>
    </row>
    <row r="8" spans="1:2" x14ac:dyDescent="0.25">
      <c r="A8" t="s">
        <v>19</v>
      </c>
      <c r="B8" t="s">
        <v>181</v>
      </c>
    </row>
    <row r="9" spans="1:2" x14ac:dyDescent="0.25">
      <c r="A9" t="s">
        <v>23</v>
      </c>
      <c r="B9" t="s">
        <v>182</v>
      </c>
    </row>
    <row r="10" spans="1:2" x14ac:dyDescent="0.25">
      <c r="A10" t="s">
        <v>24</v>
      </c>
      <c r="B10" t="s">
        <v>179</v>
      </c>
    </row>
    <row r="11" spans="1:2" x14ac:dyDescent="0.25">
      <c r="A11" t="s">
        <v>25</v>
      </c>
      <c r="B11" t="s">
        <v>171</v>
      </c>
    </row>
    <row r="12" spans="1:2" x14ac:dyDescent="0.25">
      <c r="A12" t="s">
        <v>26</v>
      </c>
      <c r="B12" t="s">
        <v>183</v>
      </c>
    </row>
    <row r="13" spans="1:2" x14ac:dyDescent="0.25">
      <c r="A13" t="s">
        <v>27</v>
      </c>
      <c r="B13" t="s">
        <v>175</v>
      </c>
    </row>
    <row r="14" spans="1:2" x14ac:dyDescent="0.25">
      <c r="A14" t="s">
        <v>28</v>
      </c>
      <c r="B14" t="s">
        <v>172</v>
      </c>
    </row>
    <row r="15" spans="1:2" x14ac:dyDescent="0.25">
      <c r="A15" s="2" t="s">
        <v>13</v>
      </c>
      <c r="B15" t="s">
        <v>173</v>
      </c>
    </row>
  </sheetData>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CDC3E-252F-4A7A-8CF3-BDCC92B88BF3}">
  <sheetPr codeName="Sheet64">
    <tabColor rgb="FF00B050"/>
  </sheetPr>
  <dimension ref="A1:B13"/>
  <sheetViews>
    <sheetView workbookViewId="0">
      <selection activeCell="C10" sqref="C10"/>
    </sheetView>
  </sheetViews>
  <sheetFormatPr defaultRowHeight="15" x14ac:dyDescent="0.25"/>
  <cols>
    <col min="1" max="1" width="23" customWidth="1"/>
    <col min="2" max="2" width="11.33203125" customWidth="1"/>
  </cols>
  <sheetData>
    <row r="1" spans="1:2" x14ac:dyDescent="0.25">
      <c r="A1" t="s">
        <v>85</v>
      </c>
      <c r="B1" t="s">
        <v>86</v>
      </c>
    </row>
    <row r="2" spans="1:2" x14ac:dyDescent="0.25">
      <c r="A2" t="s">
        <v>87</v>
      </c>
      <c r="B2">
        <v>10</v>
      </c>
    </row>
    <row r="3" spans="1:2" x14ac:dyDescent="0.25">
      <c r="A3" t="s">
        <v>88</v>
      </c>
      <c r="B3">
        <v>11</v>
      </c>
    </row>
    <row r="4" spans="1:2" x14ac:dyDescent="0.25">
      <c r="A4" t="s">
        <v>89</v>
      </c>
      <c r="B4">
        <v>12</v>
      </c>
    </row>
    <row r="5" spans="1:2" x14ac:dyDescent="0.25">
      <c r="A5" t="s">
        <v>90</v>
      </c>
      <c r="B5">
        <v>1</v>
      </c>
    </row>
    <row r="6" spans="1:2" x14ac:dyDescent="0.25">
      <c r="A6" t="s">
        <v>91</v>
      </c>
      <c r="B6">
        <v>2</v>
      </c>
    </row>
    <row r="7" spans="1:2" x14ac:dyDescent="0.25">
      <c r="A7" t="s">
        <v>6</v>
      </c>
      <c r="B7">
        <v>3</v>
      </c>
    </row>
    <row r="8" spans="1:2" x14ac:dyDescent="0.25">
      <c r="A8" t="s">
        <v>92</v>
      </c>
      <c r="B8">
        <v>4</v>
      </c>
    </row>
    <row r="9" spans="1:2" x14ac:dyDescent="0.25">
      <c r="A9" t="s">
        <v>8</v>
      </c>
      <c r="B9">
        <v>5</v>
      </c>
    </row>
    <row r="10" spans="1:2" x14ac:dyDescent="0.25">
      <c r="A10" t="s">
        <v>93</v>
      </c>
      <c r="B10">
        <v>6</v>
      </c>
    </row>
    <row r="11" spans="1:2" x14ac:dyDescent="0.25">
      <c r="A11" t="s">
        <v>94</v>
      </c>
      <c r="B11">
        <v>7</v>
      </c>
    </row>
    <row r="12" spans="1:2" x14ac:dyDescent="0.25">
      <c r="A12" t="s">
        <v>95</v>
      </c>
      <c r="B12">
        <v>8</v>
      </c>
    </row>
    <row r="13" spans="1:2" x14ac:dyDescent="0.25">
      <c r="A13" t="s">
        <v>96</v>
      </c>
      <c r="B13">
        <v>9</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E8991-2C7C-45D0-9DDD-9BE15D8568AE}">
  <sheetPr codeName="Sheet68">
    <tabColor rgb="FF00B050"/>
  </sheetPr>
  <dimension ref="A1:B13"/>
  <sheetViews>
    <sheetView workbookViewId="0">
      <selection activeCell="B2" sqref="B2:B13"/>
    </sheetView>
  </sheetViews>
  <sheetFormatPr defaultRowHeight="15" x14ac:dyDescent="0.25"/>
  <cols>
    <col min="1" max="1" width="23" customWidth="1"/>
    <col min="2" max="2" width="11.33203125" customWidth="1"/>
  </cols>
  <sheetData>
    <row r="1" spans="1:2" x14ac:dyDescent="0.25">
      <c r="A1" t="s">
        <v>85</v>
      </c>
      <c r="B1" t="s">
        <v>86</v>
      </c>
    </row>
    <row r="2" spans="1:2" x14ac:dyDescent="0.25">
      <c r="A2" t="s">
        <v>87</v>
      </c>
      <c r="B2" t="s">
        <v>140</v>
      </c>
    </row>
    <row r="3" spans="1:2" x14ac:dyDescent="0.25">
      <c r="A3" t="s">
        <v>88</v>
      </c>
      <c r="B3" t="s">
        <v>139</v>
      </c>
    </row>
    <row r="4" spans="1:2" x14ac:dyDescent="0.25">
      <c r="A4" t="s">
        <v>89</v>
      </c>
      <c r="B4" t="s">
        <v>138</v>
      </c>
    </row>
    <row r="5" spans="1:2" x14ac:dyDescent="0.25">
      <c r="A5" t="s">
        <v>90</v>
      </c>
      <c r="B5" t="s">
        <v>137</v>
      </c>
    </row>
    <row r="6" spans="1:2" x14ac:dyDescent="0.25">
      <c r="A6" t="s">
        <v>91</v>
      </c>
      <c r="B6" t="s">
        <v>136</v>
      </c>
    </row>
    <row r="7" spans="1:2" x14ac:dyDescent="0.25">
      <c r="A7" t="s">
        <v>6</v>
      </c>
      <c r="B7" t="s">
        <v>135</v>
      </c>
    </row>
    <row r="8" spans="1:2" x14ac:dyDescent="0.25">
      <c r="A8" t="s">
        <v>92</v>
      </c>
      <c r="B8" t="s">
        <v>134</v>
      </c>
    </row>
    <row r="9" spans="1:2" x14ac:dyDescent="0.25">
      <c r="A9" t="s">
        <v>8</v>
      </c>
      <c r="B9" t="s">
        <v>133</v>
      </c>
    </row>
    <row r="10" spans="1:2" x14ac:dyDescent="0.25">
      <c r="A10" t="s">
        <v>93</v>
      </c>
      <c r="B10" t="s">
        <v>132</v>
      </c>
    </row>
    <row r="11" spans="1:2" x14ac:dyDescent="0.25">
      <c r="A11" t="s">
        <v>94</v>
      </c>
      <c r="B11" t="s">
        <v>131</v>
      </c>
    </row>
    <row r="12" spans="1:2" x14ac:dyDescent="0.25">
      <c r="A12" t="s">
        <v>95</v>
      </c>
      <c r="B12" t="s">
        <v>130</v>
      </c>
    </row>
    <row r="13" spans="1:2" x14ac:dyDescent="0.25">
      <c r="A13" t="s">
        <v>96</v>
      </c>
      <c r="B13" t="s">
        <v>129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70</vt:i4>
      </vt:variant>
    </vt:vector>
  </HeadingPairs>
  <TitlesOfParts>
    <vt:vector size="70" baseType="lpstr">
      <vt:lpstr>MATRIX_NEW</vt:lpstr>
      <vt:lpstr>DOM_TABLES</vt:lpstr>
      <vt:lpstr>SRB NODES 2025</vt:lpstr>
      <vt:lpstr>PEN_COEF</vt:lpstr>
      <vt:lpstr>NAT_INF_NOR</vt:lpstr>
      <vt:lpstr>NAT_EMC_B</vt:lpstr>
      <vt:lpstr>NAT_EMC_C</vt:lpstr>
      <vt:lpstr>NAT_EMC_D</vt:lpstr>
      <vt:lpstr>NAT_EMC_E</vt:lpstr>
      <vt:lpstr>NAT_EMC_F</vt:lpstr>
      <vt:lpstr>EN_DEMAND</vt:lpstr>
      <vt:lpstr>IR_DEMAND</vt:lpstr>
      <vt:lpstr>SW_DOM_TOTAL_ALLOC</vt:lpstr>
      <vt:lpstr>SW_DOM_TOTAL_RETRN</vt:lpstr>
      <vt:lpstr>SW_IRG_OTHER_ALLOC</vt:lpstr>
      <vt:lpstr>SW_IRG_OTHER_CONS_RATIO</vt:lpstr>
      <vt:lpstr>SW_IRG_MAIN_CONS_RATIO</vt:lpstr>
      <vt:lpstr>OBS_DEMAND</vt:lpstr>
      <vt:lpstr>LOWER_BOUND</vt:lpstr>
      <vt:lpstr>UPPER_BOUND</vt:lpstr>
      <vt:lpstr>S_0</vt:lpstr>
      <vt:lpstr>S_MIN</vt:lpstr>
      <vt:lpstr>S_MAX</vt:lpstr>
      <vt:lpstr>S_INI</vt:lpstr>
      <vt:lpstr>S_MIN_ALL</vt:lpstr>
      <vt:lpstr>S_MAX_ALL</vt:lpstr>
      <vt:lpstr>CONS_OTHER</vt:lpstr>
      <vt:lpstr>CONS_HIDR</vt:lpstr>
      <vt:lpstr>EN_OPER_CAP</vt:lpstr>
      <vt:lpstr>INST_CAP</vt:lpstr>
      <vt:lpstr>TAILWAT_LEV</vt:lpstr>
      <vt:lpstr>TUNNEL_DIA</vt:lpstr>
      <vt:lpstr>TUNNEL_L</vt:lpstr>
      <vt:lpstr>N_HOUR</vt:lpstr>
      <vt:lpstr>SPILLAGE_CAP</vt:lpstr>
      <vt:lpstr>VOL_ELV_COEF</vt:lpstr>
      <vt:lpstr>ELV_ARE_COEF</vt:lpstr>
      <vt:lpstr>OBS_EN_FIRM</vt:lpstr>
      <vt:lpstr>OBS_EN_FIRM_GWH</vt:lpstr>
      <vt:lpstr>OBS_EN_FIRM_MW</vt:lpstr>
      <vt:lpstr>EVA_MM</vt:lpstr>
      <vt:lpstr>EVA_MM_CLM45</vt:lpstr>
      <vt:lpstr>OBS_DEC_VARS</vt:lpstr>
      <vt:lpstr>OBS_SDELTA</vt:lpstr>
      <vt:lpstr>OBS_EVA</vt:lpstr>
      <vt:lpstr>OBS_NAT_FLOW</vt:lpstr>
      <vt:lpstr>OBS_OUTFLOW</vt:lpstr>
      <vt:lpstr>OBS_ECO_DEMAND</vt:lpstr>
      <vt:lpstr>OBS_ECO_DEMAND_INDV</vt:lpstr>
      <vt:lpstr>OBS_STO</vt:lpstr>
      <vt:lpstr>OBS_STO_90PRC</vt:lpstr>
      <vt:lpstr>OBS_STO_50PRC</vt:lpstr>
      <vt:lpstr>OBS_SPL</vt:lpstr>
      <vt:lpstr>OBS_POW_MW</vt:lpstr>
      <vt:lpstr>OBS_EN_GWH</vt:lpstr>
      <vt:lpstr>GWH_CAP</vt:lpstr>
      <vt:lpstr>OBS_NET_HEAD</vt:lpstr>
      <vt:lpstr>OBS_EFF</vt:lpstr>
      <vt:lpstr>OBS_ELEV</vt:lpstr>
      <vt:lpstr>S_MIN_LEVEL</vt:lpstr>
      <vt:lpstr>S_MAX_LEVEL</vt:lpstr>
      <vt:lpstr>OBS_EN_MIN</vt:lpstr>
      <vt:lpstr>OBS_EN_MAX</vt:lpstr>
      <vt:lpstr>MX_ENR</vt:lpstr>
      <vt:lpstr>MX_CON_IRG</vt:lpstr>
      <vt:lpstr>MX_CON</vt:lpstr>
      <vt:lpstr>MX_STO</vt:lpstr>
      <vt:lpstr>CH_NAMES</vt:lpstr>
      <vt:lpstr>CH_MONTHS</vt:lpstr>
      <vt:lpstr>CH_MONTHS_NAME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Salim Yaykıran</dc:creator>
  <cp:lastModifiedBy>Salim YAYKIRAN</cp:lastModifiedBy>
  <dcterms:created xsi:type="dcterms:W3CDTF">2024-01-21T10:14:22Z</dcterms:created>
  <dcterms:modified xsi:type="dcterms:W3CDTF">2026-03-15T14:19:38Z</dcterms:modified>
</cp:coreProperties>
</file>